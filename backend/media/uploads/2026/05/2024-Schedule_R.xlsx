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codeName="ThisWorkbook"/>
  <bookViews>
    <workbookView xWindow="-120" yWindow="-120" windowWidth="29040" windowHeight="15840"/>
  </bookViews>
  <sheets>
    <sheet name="Sheet1" sheetId="1" r:id="rId1"/>
    <sheet name="Sheet3" sheetId="3" r:id="rId2"/>
    <sheet name="Sheet2" sheetId="2" r:id="rId3"/>
    <sheet name="Sheet4" sheetId="4" r:id="rId4"/>
  </sheets>
  <definedNames>
    <definedName name="_xlnm.Print_Area" localSheetId="0">Sheet1!$A$384:$AG$400</definedName>
    <definedName name="_xlnm.Print_Area" localSheetId="2">Sheet2!$A$1:$AG$28</definedName>
    <definedName name="_xlnm.Print_Area" localSheetId="1">Sheet3!$A$1:$F$28</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389" i="1"/>
  <c r="AG369"/>
  <c r="AK264"/>
  <c r="AN254"/>
  <c r="AN252"/>
  <c r="AK252"/>
  <c r="AK254"/>
  <c r="AN268"/>
  <c r="AM268"/>
  <c r="AO254"/>
  <c r="AQ272"/>
  <c r="AP272"/>
  <c r="AO272"/>
  <c r="AN272"/>
  <c r="AM272"/>
  <c r="AL272"/>
  <c r="AK272"/>
  <c r="AI272"/>
  <c r="AQ270"/>
  <c r="AP270"/>
  <c r="AO270"/>
  <c r="AN270"/>
  <c r="AM270"/>
  <c r="AL270"/>
  <c r="AK270"/>
  <c r="AI270"/>
  <c r="AQ268"/>
  <c r="AP268"/>
  <c r="AO268"/>
  <c r="AL268"/>
  <c r="AK268"/>
  <c r="AI268"/>
  <c r="AH268"/>
  <c r="AQ266"/>
  <c r="AP266"/>
  <c r="AO266"/>
  <c r="AN266"/>
  <c r="AM266"/>
  <c r="AL266"/>
  <c r="AK266"/>
  <c r="AI266"/>
  <c r="AH266"/>
  <c r="AQ264"/>
  <c r="AP264"/>
  <c r="AO264"/>
  <c r="AN264"/>
  <c r="AM264"/>
  <c r="AL264"/>
  <c r="AI264"/>
  <c r="AH264"/>
  <c r="AQ262"/>
  <c r="AP262"/>
  <c r="AO262"/>
  <c r="AN262"/>
  <c r="AM262"/>
  <c r="AL262"/>
  <c r="AK262"/>
  <c r="AI262"/>
  <c r="AH262"/>
  <c r="AQ260"/>
  <c r="AP260"/>
  <c r="AO260"/>
  <c r="AN260"/>
  <c r="AM260"/>
  <c r="AL260"/>
  <c r="AK260"/>
  <c r="AI260"/>
  <c r="AH260"/>
  <c r="AQ258"/>
  <c r="AP258"/>
  <c r="AO258"/>
  <c r="AN258"/>
  <c r="AM258"/>
  <c r="AL258"/>
  <c r="AK258"/>
  <c r="AI258"/>
  <c r="AH258"/>
  <c r="AQ256"/>
  <c r="AP256"/>
  <c r="AO256"/>
  <c r="AN256"/>
  <c r="AM256"/>
  <c r="AL256"/>
  <c r="AK256"/>
  <c r="AQ254"/>
  <c r="AP254"/>
  <c r="AM254"/>
  <c r="AL254"/>
  <c r="AQ252"/>
  <c r="AP252"/>
  <c r="AO252"/>
  <c r="AM252"/>
  <c r="AL252"/>
  <c r="AQ298"/>
  <c r="AP298"/>
  <c r="AO298"/>
  <c r="AN298"/>
  <c r="AM298"/>
  <c r="AL298"/>
  <c r="AK298"/>
  <c r="AQ302"/>
  <c r="AP302"/>
  <c r="AO302"/>
  <c r="AN302"/>
  <c r="AM302"/>
  <c r="AL302"/>
  <c r="AK302"/>
  <c r="AQ300"/>
  <c r="AP300"/>
  <c r="AO300"/>
  <c r="AN300"/>
  <c r="AM300"/>
  <c r="AL300"/>
  <c r="AK300"/>
  <c r="AR272" l="1"/>
  <c r="AR270"/>
  <c r="AS270"/>
  <c r="AS272"/>
  <c r="AR266"/>
  <c r="AS264"/>
  <c r="AG264" s="1"/>
  <c r="AR268"/>
  <c r="AS258"/>
  <c r="AR256"/>
  <c r="AS254"/>
  <c r="AG254" s="1"/>
  <c r="AS252"/>
  <c r="AG252" s="1"/>
  <c r="AR254"/>
  <c r="AS256"/>
  <c r="AG256" s="1"/>
  <c r="AR252"/>
  <c r="AS260"/>
  <c r="AG260" s="1"/>
  <c r="AR260"/>
  <c r="AR262"/>
  <c r="AS262"/>
  <c r="AG262" s="1"/>
  <c r="AS268"/>
  <c r="AG268" s="1"/>
  <c r="AG258"/>
  <c r="AR258"/>
  <c r="AS266"/>
  <c r="AG266" s="1"/>
  <c r="AR264"/>
  <c r="AR302"/>
  <c r="AR300"/>
  <c r="AS300"/>
  <c r="AG300" s="1"/>
  <c r="AS298"/>
  <c r="AG298" s="1"/>
  <c r="AR298"/>
  <c r="AS302"/>
  <c r="AG302" s="1"/>
  <c r="AO218"/>
  <c r="AO222"/>
  <c r="AO232"/>
  <c r="AL222"/>
  <c r="AQ511" l="1"/>
  <c r="AP511"/>
  <c r="AO511"/>
  <c r="AN511"/>
  <c r="AM511"/>
  <c r="AL511"/>
  <c r="AK511"/>
  <c r="AI511"/>
  <c r="AQ509"/>
  <c r="AP509"/>
  <c r="AO509"/>
  <c r="AN509"/>
  <c r="AM509"/>
  <c r="AL509"/>
  <c r="AK509"/>
  <c r="AI509"/>
  <c r="AQ507"/>
  <c r="AP507"/>
  <c r="AO507"/>
  <c r="AN507"/>
  <c r="AM507"/>
  <c r="AL507"/>
  <c r="AK507"/>
  <c r="AI507"/>
  <c r="AQ505"/>
  <c r="AP505"/>
  <c r="AO505"/>
  <c r="AN505"/>
  <c r="AM505"/>
  <c r="AL505"/>
  <c r="AK505"/>
  <c r="AI505"/>
  <c r="AH505"/>
  <c r="AQ503"/>
  <c r="AP503"/>
  <c r="AO503"/>
  <c r="AN503"/>
  <c r="AM503"/>
  <c r="AL503"/>
  <c r="AK503"/>
  <c r="AI503"/>
  <c r="AH503"/>
  <c r="AQ501"/>
  <c r="AP501"/>
  <c r="AO501"/>
  <c r="AN501"/>
  <c r="AM501"/>
  <c r="AL501"/>
  <c r="AK501"/>
  <c r="AQ499"/>
  <c r="AP499"/>
  <c r="AO499"/>
  <c r="AN499"/>
  <c r="AM499"/>
  <c r="AL499"/>
  <c r="AK499"/>
  <c r="AI499"/>
  <c r="AH499"/>
  <c r="AQ497"/>
  <c r="AP497"/>
  <c r="AO497"/>
  <c r="AN497"/>
  <c r="AM497"/>
  <c r="AL497"/>
  <c r="AK497"/>
  <c r="AI497"/>
  <c r="AH497"/>
  <c r="AQ495"/>
  <c r="AP495"/>
  <c r="AO495"/>
  <c r="AN495"/>
  <c r="AM495"/>
  <c r="AL495"/>
  <c r="AK495"/>
  <c r="AI495"/>
  <c r="AH495"/>
  <c r="AQ484"/>
  <c r="AP484"/>
  <c r="AO484"/>
  <c r="AN484"/>
  <c r="AM484"/>
  <c r="AL484"/>
  <c r="AK484"/>
  <c r="AI484"/>
  <c r="AQ482"/>
  <c r="AP482"/>
  <c r="AO482"/>
  <c r="AN482"/>
  <c r="AM482"/>
  <c r="AL482"/>
  <c r="AK482"/>
  <c r="AI482"/>
  <c r="AQ480"/>
  <c r="AP480"/>
  <c r="AO480"/>
  <c r="AN480"/>
  <c r="AM480"/>
  <c r="AL480"/>
  <c r="AK480"/>
  <c r="AI480"/>
  <c r="AQ478"/>
  <c r="AP478"/>
  <c r="AO478"/>
  <c r="AN478"/>
  <c r="AM478"/>
  <c r="AL478"/>
  <c r="AK478"/>
  <c r="AI478"/>
  <c r="AH478"/>
  <c r="AQ476"/>
  <c r="AP476"/>
  <c r="AO476"/>
  <c r="AN476"/>
  <c r="AM476"/>
  <c r="AL476"/>
  <c r="AK476"/>
  <c r="AI476"/>
  <c r="AH476"/>
  <c r="AQ474"/>
  <c r="AP474"/>
  <c r="AO474"/>
  <c r="AN474"/>
  <c r="AM474"/>
  <c r="AL474"/>
  <c r="AK474"/>
  <c r="AQ472"/>
  <c r="AP472"/>
  <c r="AO472"/>
  <c r="AN472"/>
  <c r="AM472"/>
  <c r="AL472"/>
  <c r="AK472"/>
  <c r="AI472"/>
  <c r="AH472"/>
  <c r="AQ470"/>
  <c r="AP470"/>
  <c r="AO470"/>
  <c r="AN470"/>
  <c r="AM470"/>
  <c r="AL470"/>
  <c r="AK470"/>
  <c r="AI470"/>
  <c r="AH470"/>
  <c r="AQ468"/>
  <c r="AP468"/>
  <c r="AO468"/>
  <c r="AN468"/>
  <c r="AM468"/>
  <c r="AL468"/>
  <c r="AK468"/>
  <c r="AI468"/>
  <c r="AH468"/>
  <c r="AQ456"/>
  <c r="AP456"/>
  <c r="AO456"/>
  <c r="AN456"/>
  <c r="AM456"/>
  <c r="AL456"/>
  <c r="AK456"/>
  <c r="AI456"/>
  <c r="AQ454"/>
  <c r="AP454"/>
  <c r="AO454"/>
  <c r="AN454"/>
  <c r="AM454"/>
  <c r="AL454"/>
  <c r="AK454"/>
  <c r="AI454"/>
  <c r="AQ452"/>
  <c r="AP452"/>
  <c r="AO452"/>
  <c r="AN452"/>
  <c r="AM452"/>
  <c r="AL452"/>
  <c r="AK452"/>
  <c r="AI452"/>
  <c r="AQ450"/>
  <c r="AP450"/>
  <c r="AO450"/>
  <c r="AN450"/>
  <c r="AM450"/>
  <c r="AL450"/>
  <c r="AK450"/>
  <c r="AI450"/>
  <c r="AH450"/>
  <c r="AQ448"/>
  <c r="AP448"/>
  <c r="AO448"/>
  <c r="AN448"/>
  <c r="AM448"/>
  <c r="AL448"/>
  <c r="AK448"/>
  <c r="AI448"/>
  <c r="AH448"/>
  <c r="AQ446"/>
  <c r="AP446"/>
  <c r="AO446"/>
  <c r="AN446"/>
  <c r="AM446"/>
  <c r="AL446"/>
  <c r="AK446"/>
  <c r="AH446"/>
  <c r="AQ444"/>
  <c r="AP444"/>
  <c r="AO444"/>
  <c r="AN444"/>
  <c r="AM444"/>
  <c r="AL444"/>
  <c r="AK444"/>
  <c r="AI444"/>
  <c r="AH444"/>
  <c r="AQ442"/>
  <c r="AP442"/>
  <c r="AO442"/>
  <c r="AN442"/>
  <c r="AM442"/>
  <c r="AL442"/>
  <c r="AK442"/>
  <c r="AI442"/>
  <c r="AH442"/>
  <c r="AQ440"/>
  <c r="AP440"/>
  <c r="AO440"/>
  <c r="AN440"/>
  <c r="AM440"/>
  <c r="AL440"/>
  <c r="AK440"/>
  <c r="AI440"/>
  <c r="AH440"/>
  <c r="AQ428"/>
  <c r="AP428"/>
  <c r="AO428"/>
  <c r="AN428"/>
  <c r="AM428"/>
  <c r="AL428"/>
  <c r="AK428"/>
  <c r="AI428"/>
  <c r="AQ426"/>
  <c r="AP426"/>
  <c r="AO426"/>
  <c r="AN426"/>
  <c r="AM426"/>
  <c r="AL426"/>
  <c r="AK426"/>
  <c r="AI426"/>
  <c r="AQ424"/>
  <c r="AP424"/>
  <c r="AO424"/>
  <c r="AN424"/>
  <c r="AM424"/>
  <c r="AL424"/>
  <c r="AK424"/>
  <c r="AI424"/>
  <c r="AQ422"/>
  <c r="AP422"/>
  <c r="AO422"/>
  <c r="AN422"/>
  <c r="AM422"/>
  <c r="AL422"/>
  <c r="AK422"/>
  <c r="AI422"/>
  <c r="AH422"/>
  <c r="AQ420"/>
  <c r="AP420"/>
  <c r="AO420"/>
  <c r="AN420"/>
  <c r="AM420"/>
  <c r="AL420"/>
  <c r="AK420"/>
  <c r="AI420"/>
  <c r="AH420"/>
  <c r="AQ418"/>
  <c r="AP418"/>
  <c r="AO418"/>
  <c r="AN418"/>
  <c r="AM418"/>
  <c r="AL418"/>
  <c r="AK418"/>
  <c r="AQ416"/>
  <c r="AP416"/>
  <c r="AO416"/>
  <c r="AN416"/>
  <c r="AM416"/>
  <c r="AL416"/>
  <c r="AK416"/>
  <c r="AI416"/>
  <c r="AH416"/>
  <c r="AQ414"/>
  <c r="AP414"/>
  <c r="AO414"/>
  <c r="AN414"/>
  <c r="AM414"/>
  <c r="AL414"/>
  <c r="AK414"/>
  <c r="AI414"/>
  <c r="AH414"/>
  <c r="AQ412"/>
  <c r="AP412"/>
  <c r="AO412"/>
  <c r="AN412"/>
  <c r="AM412"/>
  <c r="AL412"/>
  <c r="AK412"/>
  <c r="AI412"/>
  <c r="AH412"/>
  <c r="AQ400"/>
  <c r="AP400"/>
  <c r="AO400"/>
  <c r="AN400"/>
  <c r="AM400"/>
  <c r="AL400"/>
  <c r="AK400"/>
  <c r="AI400"/>
  <c r="AQ398"/>
  <c r="AP398"/>
  <c r="AO398"/>
  <c r="AN398"/>
  <c r="AM398"/>
  <c r="AL398"/>
  <c r="AK398"/>
  <c r="AQ395"/>
  <c r="AP395"/>
  <c r="AO395"/>
  <c r="AN395"/>
  <c r="AM395"/>
  <c r="AL395"/>
  <c r="AK395"/>
  <c r="AI395"/>
  <c r="AH395"/>
  <c r="AQ393"/>
  <c r="AP393"/>
  <c r="AO393"/>
  <c r="AN393"/>
  <c r="AM393"/>
  <c r="AL393"/>
  <c r="AK393"/>
  <c r="AH393"/>
  <c r="AQ391"/>
  <c r="AP391"/>
  <c r="AO391"/>
  <c r="AN391"/>
  <c r="AM391"/>
  <c r="AL391"/>
  <c r="AK391"/>
  <c r="AI391"/>
  <c r="AH391"/>
  <c r="AQ389"/>
  <c r="AP389"/>
  <c r="AO389"/>
  <c r="AN389"/>
  <c r="AL389"/>
  <c r="AK389"/>
  <c r="AI389"/>
  <c r="AH389"/>
  <c r="AQ387"/>
  <c r="AP387"/>
  <c r="AO387"/>
  <c r="AN387"/>
  <c r="AM387"/>
  <c r="AL387"/>
  <c r="AK387"/>
  <c r="AI387"/>
  <c r="AH387"/>
  <c r="AQ236"/>
  <c r="AP236"/>
  <c r="AO236"/>
  <c r="AN236"/>
  <c r="AM236"/>
  <c r="AL236"/>
  <c r="AK236"/>
  <c r="AI236"/>
  <c r="AQ232"/>
  <c r="AP232"/>
  <c r="AN232"/>
  <c r="AM232"/>
  <c r="AL232"/>
  <c r="AK232"/>
  <c r="AI232"/>
  <c r="AH232"/>
  <c r="AQ230"/>
  <c r="AP230"/>
  <c r="AO230"/>
  <c r="AN230"/>
  <c r="AM230"/>
  <c r="AL230"/>
  <c r="AK230"/>
  <c r="AI230"/>
  <c r="AH230"/>
  <c r="AQ228"/>
  <c r="AP228"/>
  <c r="AO228"/>
  <c r="AN228"/>
  <c r="AM228"/>
  <c r="AL228"/>
  <c r="AK228"/>
  <c r="AI228"/>
  <c r="AH228"/>
  <c r="AQ226"/>
  <c r="AP226"/>
  <c r="AO226"/>
  <c r="AN226"/>
  <c r="AM226"/>
  <c r="AL226"/>
  <c r="AK226"/>
  <c r="AI226"/>
  <c r="AH226"/>
  <c r="AQ224"/>
  <c r="AP224"/>
  <c r="AO224"/>
  <c r="AN224"/>
  <c r="AM224"/>
  <c r="AL224"/>
  <c r="AK224"/>
  <c r="AI224"/>
  <c r="AH224"/>
  <c r="AQ222"/>
  <c r="AP222"/>
  <c r="AN222"/>
  <c r="AM222"/>
  <c r="AK222"/>
  <c r="AI222"/>
  <c r="AH222"/>
  <c r="AQ220"/>
  <c r="AP220"/>
  <c r="AO220"/>
  <c r="AN220"/>
  <c r="AM220"/>
  <c r="AL220"/>
  <c r="AK220"/>
  <c r="AQ218"/>
  <c r="AP218"/>
  <c r="AN218"/>
  <c r="AM218"/>
  <c r="AL218"/>
  <c r="AK218"/>
  <c r="AQ216"/>
  <c r="AP216"/>
  <c r="AO216"/>
  <c r="AN216"/>
  <c r="AM216"/>
  <c r="AL216"/>
  <c r="AK216"/>
  <c r="AG14" i="4"/>
  <c r="AG12"/>
  <c r="AG10"/>
  <c r="AG8"/>
  <c r="AG6"/>
  <c r="AG4"/>
  <c r="AR497" i="1" l="1"/>
  <c r="AR507"/>
  <c r="AR452"/>
  <c r="AR499"/>
  <c r="AS499"/>
  <c r="AG499" s="1"/>
  <c r="AR501"/>
  <c r="AR503"/>
  <c r="AS507"/>
  <c r="AS509"/>
  <c r="AS511"/>
  <c r="AS497"/>
  <c r="AG497" s="1"/>
  <c r="AS503"/>
  <c r="AG503" s="1"/>
  <c r="AR509"/>
  <c r="AR511"/>
  <c r="AR495"/>
  <c r="AS495"/>
  <c r="AG495" s="1"/>
  <c r="AS501"/>
  <c r="AG501" s="1"/>
  <c r="AN234"/>
  <c r="AI234"/>
  <c r="AK234"/>
  <c r="AL234"/>
  <c r="AM234"/>
  <c r="AO234"/>
  <c r="AP234"/>
  <c r="AQ234"/>
  <c r="AS505"/>
  <c r="AG505" s="1"/>
  <c r="AR505"/>
  <c r="AR398"/>
  <c r="AR400"/>
  <c r="AR446"/>
  <c r="AR448"/>
  <c r="AS454"/>
  <c r="AS456"/>
  <c r="AS474"/>
  <c r="AG474" s="1"/>
  <c r="AR474"/>
  <c r="AS400"/>
  <c r="AR442"/>
  <c r="AS448"/>
  <c r="AG448" s="1"/>
  <c r="AS452"/>
  <c r="AR476"/>
  <c r="AR440"/>
  <c r="AS450"/>
  <c r="AG450" s="1"/>
  <c r="AR482"/>
  <c r="AR484"/>
  <c r="AR424"/>
  <c r="AS424"/>
  <c r="AS426"/>
  <c r="AS428"/>
  <c r="AR450"/>
  <c r="AR454"/>
  <c r="AR456"/>
  <c r="AS470"/>
  <c r="AG470" s="1"/>
  <c r="AR444"/>
  <c r="AS440"/>
  <c r="AG440" s="1"/>
  <c r="AR468"/>
  <c r="AS472"/>
  <c r="AG472" s="1"/>
  <c r="AS476"/>
  <c r="AG476" s="1"/>
  <c r="AS468"/>
  <c r="AG468" s="1"/>
  <c r="AS422"/>
  <c r="AG422" s="1"/>
  <c r="AR426"/>
  <c r="AS442"/>
  <c r="AG442" s="1"/>
  <c r="AR480"/>
  <c r="AS482"/>
  <c r="AR470"/>
  <c r="AS412"/>
  <c r="AG412" s="1"/>
  <c r="AR418"/>
  <c r="AR428"/>
  <c r="AS444"/>
  <c r="AG444" s="1"/>
  <c r="AS446"/>
  <c r="AG446" s="1"/>
  <c r="AR472"/>
  <c r="AS480"/>
  <c r="AS484"/>
  <c r="AR478"/>
  <c r="AS478"/>
  <c r="AG478" s="1"/>
  <c r="AS414"/>
  <c r="AG414" s="1"/>
  <c r="AS416"/>
  <c r="AG416" s="1"/>
  <c r="AR412"/>
  <c r="AS418"/>
  <c r="AG418" s="1"/>
  <c r="AS420"/>
  <c r="AG420" s="1"/>
  <c r="AR414"/>
  <c r="AR416"/>
  <c r="AR420"/>
  <c r="AR422"/>
  <c r="AS387"/>
  <c r="AG387" s="1"/>
  <c r="AS391"/>
  <c r="AG391" s="1"/>
  <c r="AS393"/>
  <c r="AG393" s="1"/>
  <c r="AS389"/>
  <c r="AG389" s="1"/>
  <c r="AS395"/>
  <c r="AG395" s="1"/>
  <c r="AR387"/>
  <c r="AR391"/>
  <c r="AR393"/>
  <c r="AR395"/>
  <c r="AR389"/>
  <c r="AR232"/>
  <c r="AS236"/>
  <c r="AR220"/>
  <c r="AR224"/>
  <c r="AS232"/>
  <c r="AG232" s="1"/>
  <c r="AS218"/>
  <c r="AG218" s="1"/>
  <c r="AS220"/>
  <c r="AG220" s="1"/>
  <c r="AR218"/>
  <c r="AS224"/>
  <c r="AG224" s="1"/>
  <c r="AR236"/>
  <c r="AR226"/>
  <c r="AS226"/>
  <c r="AG226" s="1"/>
  <c r="AR222"/>
  <c r="AS222"/>
  <c r="AG222" s="1"/>
  <c r="AR228"/>
  <c r="AS228"/>
  <c r="AG228" s="1"/>
  <c r="AR216"/>
  <c r="AS216"/>
  <c r="AG216" s="1"/>
  <c r="AR230"/>
  <c r="AS230"/>
  <c r="AG230" s="1"/>
  <c r="AI399" l="1"/>
  <c r="AI398"/>
  <c r="AS398" s="1"/>
  <c r="AS234"/>
  <c r="AR234"/>
  <c r="AH333"/>
  <c r="AH306"/>
  <c r="AM165" l="1"/>
  <c r="AQ375" l="1"/>
  <c r="AP375"/>
  <c r="AO375"/>
  <c r="AN375"/>
  <c r="AM375"/>
  <c r="AL375"/>
  <c r="AK375"/>
  <c r="AI375"/>
  <c r="AQ373"/>
  <c r="AP373"/>
  <c r="AO373"/>
  <c r="AN373"/>
  <c r="AM373"/>
  <c r="AL373"/>
  <c r="AK373"/>
  <c r="AI373"/>
  <c r="AQ367"/>
  <c r="AP367"/>
  <c r="AO367"/>
  <c r="AN367"/>
  <c r="AM367"/>
  <c r="AL367"/>
  <c r="AK367"/>
  <c r="AI367"/>
  <c r="AQ365"/>
  <c r="AP365"/>
  <c r="AO365"/>
  <c r="AN365"/>
  <c r="AM365"/>
  <c r="AL365"/>
  <c r="AK365"/>
  <c r="AI365"/>
  <c r="AH365"/>
  <c r="AQ363"/>
  <c r="AP363"/>
  <c r="AO363"/>
  <c r="AN363"/>
  <c r="AM363"/>
  <c r="AL363"/>
  <c r="AK363"/>
  <c r="AI363"/>
  <c r="AH363"/>
  <c r="AQ361"/>
  <c r="AP361"/>
  <c r="AO361"/>
  <c r="AN361"/>
  <c r="AM361"/>
  <c r="AL361"/>
  <c r="AK361"/>
  <c r="AQ359"/>
  <c r="AP359"/>
  <c r="AO359"/>
  <c r="AN359"/>
  <c r="AM359"/>
  <c r="AL359"/>
  <c r="AK359"/>
  <c r="AI359"/>
  <c r="AH359"/>
  <c r="AQ357"/>
  <c r="AP357"/>
  <c r="AO357"/>
  <c r="AN357"/>
  <c r="AM357"/>
  <c r="AL357"/>
  <c r="AK357"/>
  <c r="AI357"/>
  <c r="AH357"/>
  <c r="AQ355"/>
  <c r="AP355"/>
  <c r="AO355"/>
  <c r="AN355"/>
  <c r="AM355"/>
  <c r="AL355"/>
  <c r="AK355"/>
  <c r="AI355"/>
  <c r="AH355"/>
  <c r="AR359" l="1"/>
  <c r="AS367"/>
  <c r="AG367" s="1"/>
  <c r="AR361"/>
  <c r="AR373"/>
  <c r="AR367"/>
  <c r="AS373"/>
  <c r="AR375"/>
  <c r="AS375"/>
  <c r="AR363"/>
  <c r="AR357"/>
  <c r="AS357"/>
  <c r="AG357" s="1"/>
  <c r="AS361"/>
  <c r="AG361" s="1"/>
  <c r="AS363"/>
  <c r="AG363" s="1"/>
  <c r="AR355"/>
  <c r="AR365"/>
  <c r="AS365"/>
  <c r="AG365" s="1"/>
  <c r="AS355"/>
  <c r="AG355" s="1"/>
  <c r="AS359"/>
  <c r="AG359" s="1"/>
  <c r="AQ196" l="1"/>
  <c r="AP196"/>
  <c r="AO196"/>
  <c r="AN196"/>
  <c r="AM196"/>
  <c r="AL196"/>
  <c r="AK196"/>
  <c r="AQ194"/>
  <c r="AP194"/>
  <c r="AO194"/>
  <c r="AN194"/>
  <c r="AM194"/>
  <c r="AL194"/>
  <c r="AK194"/>
  <c r="AQ192"/>
  <c r="AP192"/>
  <c r="AO192"/>
  <c r="AN192"/>
  <c r="AM192"/>
  <c r="AL192"/>
  <c r="AK192"/>
  <c r="AQ190"/>
  <c r="AP190"/>
  <c r="AO190"/>
  <c r="AN190"/>
  <c r="AM190"/>
  <c r="AL190"/>
  <c r="AK190"/>
  <c r="AQ188"/>
  <c r="AP188"/>
  <c r="AO188"/>
  <c r="AN188"/>
  <c r="AM188"/>
  <c r="AL188"/>
  <c r="AK188"/>
  <c r="AQ343"/>
  <c r="AP343"/>
  <c r="AO343"/>
  <c r="AN343"/>
  <c r="AM343"/>
  <c r="AL343"/>
  <c r="AK343"/>
  <c r="AI343"/>
  <c r="AQ341"/>
  <c r="AP341"/>
  <c r="AO341"/>
  <c r="AN341"/>
  <c r="AM341"/>
  <c r="AL341"/>
  <c r="AK341"/>
  <c r="AI341"/>
  <c r="AQ339"/>
  <c r="AP339"/>
  <c r="AO339"/>
  <c r="AN339"/>
  <c r="AM339"/>
  <c r="AL339"/>
  <c r="AK339"/>
  <c r="AI339"/>
  <c r="AQ337"/>
  <c r="AP337"/>
  <c r="AO337"/>
  <c r="AN337"/>
  <c r="AM337"/>
  <c r="AL337"/>
  <c r="AK337"/>
  <c r="AI337"/>
  <c r="AH337"/>
  <c r="AQ335"/>
  <c r="AP335"/>
  <c r="AO335"/>
  <c r="AN335"/>
  <c r="AM335"/>
  <c r="AL335"/>
  <c r="AK335"/>
  <c r="AI335"/>
  <c r="AH335"/>
  <c r="AQ333"/>
  <c r="AP333"/>
  <c r="AO333"/>
  <c r="AN333"/>
  <c r="AM333"/>
  <c r="AL333"/>
  <c r="AK333"/>
  <c r="AQ331"/>
  <c r="AP331"/>
  <c r="AO331"/>
  <c r="AN331"/>
  <c r="AM331"/>
  <c r="AL331"/>
  <c r="AK331"/>
  <c r="AI331"/>
  <c r="AH331"/>
  <c r="AQ329"/>
  <c r="AP329"/>
  <c r="AO329"/>
  <c r="AN329"/>
  <c r="AM329"/>
  <c r="AL329"/>
  <c r="AK329"/>
  <c r="AI329"/>
  <c r="AH329"/>
  <c r="AQ327"/>
  <c r="AP327"/>
  <c r="AO327"/>
  <c r="AN327"/>
  <c r="AM327"/>
  <c r="AL327"/>
  <c r="AK327"/>
  <c r="AI327"/>
  <c r="AH327"/>
  <c r="AQ316"/>
  <c r="AP316"/>
  <c r="AO316"/>
  <c r="AN316"/>
  <c r="AM316"/>
  <c r="AL316"/>
  <c r="AK316"/>
  <c r="AI316"/>
  <c r="AQ314"/>
  <c r="AP314"/>
  <c r="AO314"/>
  <c r="AN314"/>
  <c r="AM314"/>
  <c r="AL314"/>
  <c r="AK314"/>
  <c r="AI314"/>
  <c r="AQ312"/>
  <c r="AP312"/>
  <c r="AO312"/>
  <c r="AN312"/>
  <c r="AM312"/>
  <c r="AL312"/>
  <c r="AK312"/>
  <c r="AI312"/>
  <c r="AQ310"/>
  <c r="AP310"/>
  <c r="AO310"/>
  <c r="AN310"/>
  <c r="AM310"/>
  <c r="AL310"/>
  <c r="AK310"/>
  <c r="AI310"/>
  <c r="AH310"/>
  <c r="AQ308"/>
  <c r="AP308"/>
  <c r="AO308"/>
  <c r="AN308"/>
  <c r="AM308"/>
  <c r="AL308"/>
  <c r="AK308"/>
  <c r="AI308"/>
  <c r="AH308"/>
  <c r="AQ306"/>
  <c r="AP306"/>
  <c r="AO306"/>
  <c r="AN306"/>
  <c r="AM306"/>
  <c r="AL306"/>
  <c r="AK306"/>
  <c r="AQ304"/>
  <c r="AP304"/>
  <c r="AO304"/>
  <c r="AN304"/>
  <c r="AM304"/>
  <c r="AL304"/>
  <c r="AK304"/>
  <c r="AI304"/>
  <c r="AH304"/>
  <c r="AQ296"/>
  <c r="AP296"/>
  <c r="AO296"/>
  <c r="AN296"/>
  <c r="AM296"/>
  <c r="AL296"/>
  <c r="AK296"/>
  <c r="AI296"/>
  <c r="AQ294"/>
  <c r="AP294"/>
  <c r="AO294"/>
  <c r="AN294"/>
  <c r="AM294"/>
  <c r="AL294"/>
  <c r="AK294"/>
  <c r="AI294"/>
  <c r="AH294"/>
  <c r="AR296" l="1"/>
  <c r="AS296"/>
  <c r="AG296" s="1"/>
  <c r="AR196"/>
  <c r="AR194"/>
  <c r="AS194"/>
  <c r="AG194" s="1"/>
  <c r="AR190"/>
  <c r="AS190"/>
  <c r="AG190" s="1"/>
  <c r="AS192"/>
  <c r="AG192" s="1"/>
  <c r="AR192"/>
  <c r="AR188"/>
  <c r="AS188"/>
  <c r="AG188" s="1"/>
  <c r="AR339"/>
  <c r="AR341"/>
  <c r="AR343"/>
  <c r="AS312"/>
  <c r="AS314"/>
  <c r="AS316"/>
  <c r="AR312"/>
  <c r="AR314"/>
  <c r="AR316"/>
  <c r="AS339"/>
  <c r="AR331"/>
  <c r="AS333"/>
  <c r="AG333" s="1"/>
  <c r="AR335"/>
  <c r="AS341"/>
  <c r="AS343"/>
  <c r="AS294"/>
  <c r="AG294" s="1"/>
  <c r="AS304"/>
  <c r="AG304" s="1"/>
  <c r="AS308"/>
  <c r="AG308" s="1"/>
  <c r="AS306"/>
  <c r="AG306" s="1"/>
  <c r="AR294"/>
  <c r="AR304"/>
  <c r="AR308"/>
  <c r="AS310"/>
  <c r="AG310" s="1"/>
  <c r="AS327"/>
  <c r="AG327" s="1"/>
  <c r="AR327"/>
  <c r="AS331"/>
  <c r="AG331" s="1"/>
  <c r="AS335"/>
  <c r="AG335" s="1"/>
  <c r="AR329"/>
  <c r="AR333"/>
  <c r="AS337"/>
  <c r="AG337" s="1"/>
  <c r="AR337"/>
  <c r="AS329"/>
  <c r="AG329" s="1"/>
  <c r="AR306"/>
  <c r="AR310"/>
  <c r="AI196" l="1"/>
  <c r="AH196"/>
  <c r="AI194"/>
  <c r="AH194"/>
  <c r="AQ165"/>
  <c r="AP165"/>
  <c r="AO165"/>
  <c r="AN165"/>
  <c r="AL165"/>
  <c r="AK165"/>
  <c r="AI165"/>
  <c r="AH165"/>
  <c r="AQ171"/>
  <c r="AP171"/>
  <c r="AO171"/>
  <c r="AN171"/>
  <c r="AM171"/>
  <c r="AL171"/>
  <c r="AK171"/>
  <c r="AI171"/>
  <c r="AH171"/>
  <c r="AQ169"/>
  <c r="AP169"/>
  <c r="AO169"/>
  <c r="AN169"/>
  <c r="AM169"/>
  <c r="AL169"/>
  <c r="AK169"/>
  <c r="AI169"/>
  <c r="AH169"/>
  <c r="AQ167"/>
  <c r="AP167"/>
  <c r="AO167"/>
  <c r="AN167"/>
  <c r="AM167"/>
  <c r="AL167"/>
  <c r="AK167"/>
  <c r="AI167"/>
  <c r="AH167"/>
  <c r="AQ163"/>
  <c r="AP163"/>
  <c r="AO163"/>
  <c r="AN163"/>
  <c r="AM163"/>
  <c r="AL163"/>
  <c r="AK163"/>
  <c r="AI163"/>
  <c r="AH163"/>
  <c r="AQ161"/>
  <c r="AP161"/>
  <c r="AO161"/>
  <c r="AN161"/>
  <c r="AM161"/>
  <c r="AL161"/>
  <c r="AK161"/>
  <c r="AQ159"/>
  <c r="AP159"/>
  <c r="AO159"/>
  <c r="AN159"/>
  <c r="AM159"/>
  <c r="AL159"/>
  <c r="AK159"/>
  <c r="AI159"/>
  <c r="AH159"/>
  <c r="AQ157"/>
  <c r="AP157"/>
  <c r="AO157"/>
  <c r="AN157"/>
  <c r="AM157"/>
  <c r="AL157"/>
  <c r="AK157"/>
  <c r="AI157"/>
  <c r="AH157"/>
  <c r="AQ155"/>
  <c r="AP155"/>
  <c r="AO155"/>
  <c r="AN155"/>
  <c r="AM155"/>
  <c r="AL155"/>
  <c r="AK155"/>
  <c r="AI155"/>
  <c r="AH155"/>
  <c r="AS196" l="1"/>
  <c r="AG196" s="1"/>
  <c r="AR161"/>
  <c r="AR159"/>
  <c r="AS157"/>
  <c r="AG157" s="1"/>
  <c r="AS161"/>
  <c r="AG161" s="1"/>
  <c r="AR155"/>
  <c r="AR157"/>
  <c r="AS159"/>
  <c r="AG159" s="1"/>
  <c r="AS155"/>
  <c r="AG155" s="1"/>
  <c r="AR171"/>
  <c r="AS169"/>
  <c r="AG169" s="1"/>
  <c r="AR169"/>
  <c r="AR165"/>
  <c r="AS165"/>
  <c r="AG165" s="1"/>
  <c r="AS171"/>
  <c r="AG171" s="1"/>
  <c r="AS163"/>
  <c r="AG163" s="1"/>
  <c r="AR163"/>
  <c r="AS167"/>
  <c r="AG167" s="1"/>
  <c r="AR167"/>
  <c r="AQ126" l="1"/>
  <c r="AP126"/>
  <c r="AO126"/>
  <c r="AN126"/>
  <c r="AM126"/>
  <c r="AL126"/>
  <c r="AK126"/>
  <c r="AI126"/>
  <c r="AH126"/>
  <c r="AQ124"/>
  <c r="AP124"/>
  <c r="AO124"/>
  <c r="AN124"/>
  <c r="AM124"/>
  <c r="AL124"/>
  <c r="AK124"/>
  <c r="AI124"/>
  <c r="AH124"/>
  <c r="AQ122"/>
  <c r="AP122"/>
  <c r="AO122"/>
  <c r="AN122"/>
  <c r="AM122"/>
  <c r="AL122"/>
  <c r="AK122"/>
  <c r="AI122"/>
  <c r="AH122"/>
  <c r="AQ138"/>
  <c r="AP138"/>
  <c r="AO138"/>
  <c r="AN138"/>
  <c r="AM138"/>
  <c r="AL138"/>
  <c r="AK138"/>
  <c r="AI138"/>
  <c r="AH138"/>
  <c r="AQ136"/>
  <c r="AP136"/>
  <c r="AO136"/>
  <c r="AN136"/>
  <c r="AM136"/>
  <c r="AL136"/>
  <c r="AK136"/>
  <c r="AI136"/>
  <c r="AH136"/>
  <c r="AQ134"/>
  <c r="AP134"/>
  <c r="AO134"/>
  <c r="AN134"/>
  <c r="AM134"/>
  <c r="AL134"/>
  <c r="AK134"/>
  <c r="AI134"/>
  <c r="AH134"/>
  <c r="AQ132"/>
  <c r="AP132"/>
  <c r="AO132"/>
  <c r="AN132"/>
  <c r="AM132"/>
  <c r="AL132"/>
  <c r="AK132"/>
  <c r="AI132"/>
  <c r="AH132"/>
  <c r="AQ130"/>
  <c r="AP130"/>
  <c r="AO130"/>
  <c r="AN130"/>
  <c r="AM130"/>
  <c r="AL130"/>
  <c r="AK130"/>
  <c r="AI130"/>
  <c r="AH130"/>
  <c r="AQ105"/>
  <c r="AP105"/>
  <c r="AO105"/>
  <c r="AN105"/>
  <c r="AM105"/>
  <c r="AL105"/>
  <c r="AK105"/>
  <c r="AI105"/>
  <c r="AH105"/>
  <c r="AQ103"/>
  <c r="AP103"/>
  <c r="AO103"/>
  <c r="AN103"/>
  <c r="AM103"/>
  <c r="AL103"/>
  <c r="AK103"/>
  <c r="AI103"/>
  <c r="AH103"/>
  <c r="AQ101"/>
  <c r="AP101"/>
  <c r="AO101"/>
  <c r="AN101"/>
  <c r="AM101"/>
  <c r="AL101"/>
  <c r="AK101"/>
  <c r="AI101"/>
  <c r="AH101"/>
  <c r="AQ99"/>
  <c r="AP99"/>
  <c r="AO99"/>
  <c r="AN99"/>
  <c r="AM99"/>
  <c r="AL99"/>
  <c r="AK99"/>
  <c r="AI99"/>
  <c r="AH99"/>
  <c r="AQ97"/>
  <c r="AP97"/>
  <c r="AO97"/>
  <c r="AN97"/>
  <c r="AM97"/>
  <c r="AL97"/>
  <c r="AK97"/>
  <c r="AI97"/>
  <c r="AH97"/>
  <c r="AR101" l="1"/>
  <c r="AR103"/>
  <c r="AR99"/>
  <c r="AR105"/>
  <c r="AS97"/>
  <c r="AR132"/>
  <c r="AS99"/>
  <c r="AS101"/>
  <c r="AS103"/>
  <c r="AR97"/>
  <c r="AS105"/>
  <c r="AR126"/>
  <c r="AS126"/>
  <c r="AR124"/>
  <c r="AS124"/>
  <c r="AS130"/>
  <c r="AS132"/>
  <c r="AS134"/>
  <c r="AS136"/>
  <c r="AS138"/>
  <c r="AR134"/>
  <c r="AR136"/>
  <c r="AR138"/>
  <c r="AR130"/>
  <c r="AR122"/>
  <c r="AS122"/>
  <c r="C35" i="3" l="1"/>
  <c r="D35"/>
  <c r="E35"/>
  <c r="B36"/>
  <c r="C36"/>
  <c r="E36"/>
  <c r="C37"/>
  <c r="D37"/>
  <c r="E37"/>
  <c r="AK128" i="1"/>
  <c r="AL128"/>
  <c r="C38" i="3" s="1"/>
  <c r="AM128" i="1"/>
  <c r="D38" i="3" s="1"/>
  <c r="AN128" i="1"/>
  <c r="AO128"/>
  <c r="E38" i="3" s="1"/>
  <c r="AP128" i="1"/>
  <c r="AQ128"/>
  <c r="B39" i="3"/>
  <c r="C39"/>
  <c r="D39"/>
  <c r="E39"/>
  <c r="B40"/>
  <c r="C40"/>
  <c r="D40"/>
  <c r="E40"/>
  <c r="C41"/>
  <c r="D41"/>
  <c r="E41"/>
  <c r="B42"/>
  <c r="C42"/>
  <c r="D42"/>
  <c r="E42"/>
  <c r="B43"/>
  <c r="C43"/>
  <c r="D43"/>
  <c r="E43"/>
  <c r="AG132" i="1" l="1"/>
  <c r="AS128"/>
  <c r="AG128" s="1"/>
  <c r="AG130"/>
  <c r="AG134"/>
  <c r="AG138"/>
  <c r="AG122"/>
  <c r="AG124"/>
  <c r="AG136"/>
  <c r="AG126"/>
  <c r="B41" i="3"/>
  <c r="F41" s="1"/>
  <c r="B35"/>
  <c r="F35" s="1"/>
  <c r="AR128" i="1"/>
  <c r="B37" i="3"/>
  <c r="F37" s="1"/>
  <c r="F39"/>
  <c r="B38"/>
  <c r="F38" s="1"/>
  <c r="D36"/>
  <c r="F36" s="1"/>
  <c r="F43"/>
  <c r="F40"/>
  <c r="F42"/>
  <c r="AK91" i="1"/>
  <c r="AL91"/>
  <c r="AO91"/>
  <c r="AM91"/>
  <c r="E10" i="3"/>
  <c r="C10"/>
  <c r="E8"/>
  <c r="D8"/>
  <c r="C8"/>
  <c r="C7"/>
  <c r="AQ95" i="1"/>
  <c r="AP95"/>
  <c r="AO95"/>
  <c r="AN95"/>
  <c r="AM95"/>
  <c r="AL95"/>
  <c r="C6" i="3" s="1"/>
  <c r="AK95" i="1"/>
  <c r="AQ93"/>
  <c r="AP93"/>
  <c r="AO93"/>
  <c r="AN93"/>
  <c r="AM93"/>
  <c r="AL93"/>
  <c r="C5" i="3" s="1"/>
  <c r="AK93" i="1"/>
  <c r="AQ91"/>
  <c r="AP91"/>
  <c r="AN91"/>
  <c r="D4" i="3" l="1"/>
  <c r="D5"/>
  <c r="E7"/>
  <c r="E4"/>
  <c r="E6"/>
  <c r="C11"/>
  <c r="C4"/>
  <c r="E5"/>
  <c r="B9"/>
  <c r="D11"/>
  <c r="B4"/>
  <c r="AR91" i="1"/>
  <c r="C9" i="3"/>
  <c r="B7"/>
  <c r="D9"/>
  <c r="E11"/>
  <c r="B6"/>
  <c r="AR95" i="1"/>
  <c r="AR93"/>
  <c r="D7" i="3"/>
  <c r="E9"/>
  <c r="B11"/>
  <c r="B10"/>
  <c r="AS93" i="1"/>
  <c r="B5" i="3"/>
  <c r="D6"/>
  <c r="AS95" i="1"/>
  <c r="D10" i="3"/>
  <c r="B8"/>
  <c r="F8" s="1"/>
  <c r="AS91" i="1"/>
  <c r="F7" i="3" l="1"/>
  <c r="F9"/>
  <c r="F5"/>
  <c r="F4"/>
  <c r="F11"/>
  <c r="F6"/>
  <c r="F10"/>
  <c r="AG95" i="1"/>
  <c r="AG93"/>
  <c r="AG91"/>
  <c r="AP72" l="1"/>
  <c r="AO72"/>
  <c r="AN72"/>
  <c r="AM72"/>
  <c r="AL72"/>
  <c r="AK72"/>
  <c r="AJ72"/>
  <c r="AI72"/>
  <c r="AH72"/>
  <c r="AP70"/>
  <c r="AO70"/>
  <c r="AN70"/>
  <c r="AM70"/>
  <c r="AL70"/>
  <c r="AK70"/>
  <c r="AJ70"/>
  <c r="AI70"/>
  <c r="AH70"/>
  <c r="AP68"/>
  <c r="AO68"/>
  <c r="AN68"/>
  <c r="AM68"/>
  <c r="AL68"/>
  <c r="AK68"/>
  <c r="AJ68"/>
  <c r="AI68"/>
  <c r="AH68"/>
  <c r="AP66"/>
  <c r="AO66"/>
  <c r="AN66"/>
  <c r="AM66"/>
  <c r="AL66"/>
  <c r="AK66"/>
  <c r="AJ66"/>
  <c r="AI66"/>
  <c r="AH66"/>
  <c r="AP64"/>
  <c r="AO64"/>
  <c r="AN64"/>
  <c r="AM64"/>
  <c r="AL64"/>
  <c r="AK64"/>
  <c r="AJ64"/>
  <c r="AI64"/>
  <c r="AH64"/>
  <c r="AP62"/>
  <c r="AO62"/>
  <c r="AN62"/>
  <c r="AM62"/>
  <c r="AL62"/>
  <c r="AK62"/>
  <c r="AJ62"/>
  <c r="AH62"/>
  <c r="AR62" l="1"/>
  <c r="AG62" s="1"/>
  <c r="AQ62"/>
  <c r="AQ66"/>
  <c r="AQ72"/>
  <c r="AR72"/>
  <c r="AG72" s="1"/>
  <c r="AQ68"/>
  <c r="AR68"/>
  <c r="AG68" s="1"/>
  <c r="AR66"/>
  <c r="AG66" s="1"/>
  <c r="AR64"/>
  <c r="AG64" s="1"/>
  <c r="AQ64"/>
  <c r="AQ70"/>
  <c r="AR70"/>
  <c r="AG70" s="1"/>
  <c r="AP44"/>
  <c r="AO44"/>
  <c r="AN44"/>
  <c r="AM44"/>
  <c r="AL44"/>
  <c r="AK44"/>
  <c r="AJ44"/>
  <c r="AI44"/>
  <c r="AH44"/>
  <c r="AP42"/>
  <c r="AO42"/>
  <c r="AN42"/>
  <c r="AM42"/>
  <c r="AL42"/>
  <c r="AK42"/>
  <c r="AJ42"/>
  <c r="AI42"/>
  <c r="AH42"/>
  <c r="AP40"/>
  <c r="AO40"/>
  <c r="AN40"/>
  <c r="AM40"/>
  <c r="AL40"/>
  <c r="AK40"/>
  <c r="AJ40"/>
  <c r="AI40"/>
  <c r="AH40"/>
  <c r="AP38"/>
  <c r="AO38"/>
  <c r="AN38"/>
  <c r="AM38"/>
  <c r="AL38"/>
  <c r="AK38"/>
  <c r="AJ38"/>
  <c r="AI38"/>
  <c r="AH38"/>
  <c r="AP36"/>
  <c r="AO36"/>
  <c r="AN36"/>
  <c r="AM36"/>
  <c r="AL36"/>
  <c r="AK36"/>
  <c r="AJ36"/>
  <c r="AI36"/>
  <c r="AH36"/>
  <c r="AP34"/>
  <c r="AO34"/>
  <c r="AN34"/>
  <c r="AM34"/>
  <c r="AL34"/>
  <c r="AK34"/>
  <c r="AJ34"/>
  <c r="AH34"/>
  <c r="AQ34" l="1"/>
  <c r="AQ44"/>
  <c r="AQ42"/>
  <c r="AQ38"/>
  <c r="AR36"/>
  <c r="AG36" s="1"/>
  <c r="AQ36"/>
  <c r="AR40"/>
  <c r="AG40" s="1"/>
  <c r="AR38"/>
  <c r="AG38" s="1"/>
  <c r="AR42"/>
  <c r="AG42" s="1"/>
  <c r="AR34"/>
  <c r="AG34" s="1"/>
  <c r="AQ40"/>
  <c r="AR44"/>
  <c r="AG44" s="1"/>
  <c r="AG105" l="1"/>
  <c r="AG103"/>
  <c r="AG101"/>
  <c r="AG99"/>
  <c r="AG97"/>
  <c r="AP15" l="1"/>
  <c r="AO15"/>
  <c r="AN15"/>
  <c r="AM15"/>
  <c r="AL15"/>
  <c r="AK15"/>
  <c r="AJ15"/>
  <c r="AI15"/>
  <c r="AH15"/>
  <c r="AP13"/>
  <c r="AO13"/>
  <c r="AN13"/>
  <c r="AM13"/>
  <c r="AL13"/>
  <c r="AK13"/>
  <c r="AJ13"/>
  <c r="AI13"/>
  <c r="AH13"/>
  <c r="AP11"/>
  <c r="AO11"/>
  <c r="AN11"/>
  <c r="AM11"/>
  <c r="AL11"/>
  <c r="AK11"/>
  <c r="AJ11"/>
  <c r="AI11"/>
  <c r="AH11"/>
  <c r="AP9"/>
  <c r="AO9"/>
  <c r="AN9"/>
  <c r="AM9"/>
  <c r="AL9"/>
  <c r="AK9"/>
  <c r="AJ9"/>
  <c r="AI9"/>
  <c r="AH9"/>
  <c r="AP7"/>
  <c r="AO7"/>
  <c r="AN7"/>
  <c r="AM7"/>
  <c r="AL7"/>
  <c r="AK7"/>
  <c r="AJ7"/>
  <c r="AI7"/>
  <c r="AH7"/>
  <c r="AP5"/>
  <c r="AO5"/>
  <c r="AN5"/>
  <c r="AM5"/>
  <c r="AL5"/>
  <c r="AK5"/>
  <c r="AJ5"/>
  <c r="AH5"/>
  <c r="AQ13" l="1"/>
  <c r="AR13"/>
  <c r="AG13" s="1"/>
  <c r="AQ11"/>
  <c r="AR11"/>
  <c r="AG11" s="1"/>
  <c r="AR7"/>
  <c r="AG7" s="1"/>
  <c r="AQ7"/>
  <c r="AR9"/>
  <c r="AG9" s="1"/>
  <c r="AQ9"/>
  <c r="AQ15"/>
  <c r="AR15"/>
  <c r="AG15" s="1"/>
  <c r="AR5"/>
  <c r="AG5" s="1"/>
  <c r="AQ5"/>
  <c r="AX15" i="2" l="1"/>
  <c r="AW15"/>
  <c r="AV15"/>
  <c r="AU15"/>
  <c r="AT15"/>
  <c r="AP15"/>
  <c r="AO15"/>
  <c r="AN15"/>
  <c r="AM15"/>
  <c r="AL15"/>
  <c r="AK15"/>
  <c r="AJ15"/>
  <c r="AX13"/>
  <c r="AW13"/>
  <c r="AV13"/>
  <c r="AU13"/>
  <c r="AT13"/>
  <c r="AP13"/>
  <c r="AO13"/>
  <c r="AN13"/>
  <c r="AM13"/>
  <c r="AL13"/>
  <c r="AK13"/>
  <c r="AJ13"/>
  <c r="AX11"/>
  <c r="AW11"/>
  <c r="AV11"/>
  <c r="AU11"/>
  <c r="AT11"/>
  <c r="AP11"/>
  <c r="AO11"/>
  <c r="AN11"/>
  <c r="AM11"/>
  <c r="AL11"/>
  <c r="AK11"/>
  <c r="AJ11"/>
  <c r="AX9"/>
  <c r="AW9"/>
  <c r="AV9"/>
  <c r="AU9"/>
  <c r="AT9"/>
  <c r="AP9"/>
  <c r="AO9"/>
  <c r="AN9"/>
  <c r="AM9"/>
  <c r="AL9"/>
  <c r="AK9"/>
  <c r="AJ9"/>
  <c r="AX7"/>
  <c r="AW7"/>
  <c r="AV7"/>
  <c r="AU7"/>
  <c r="AT7"/>
  <c r="AP7"/>
  <c r="AO7"/>
  <c r="AN7"/>
  <c r="AM7"/>
  <c r="AL7"/>
  <c r="AK7"/>
  <c r="AJ7"/>
  <c r="AX5"/>
  <c r="AW5"/>
  <c r="AV5"/>
  <c r="AU5"/>
  <c r="AT5"/>
  <c r="AP5"/>
  <c r="AO5"/>
  <c r="AN5"/>
  <c r="AM5"/>
  <c r="AL5"/>
  <c r="AK5"/>
  <c r="AJ5"/>
  <c r="AQ7" l="1"/>
  <c r="AR7"/>
  <c r="AG7" s="1"/>
  <c r="AQ5"/>
  <c r="AY13"/>
  <c r="AR13"/>
  <c r="AG13" s="1"/>
  <c r="AQ9"/>
  <c r="AY7"/>
  <c r="AQ11"/>
  <c r="AQ15"/>
  <c r="AR11"/>
  <c r="AG11" s="1"/>
  <c r="AY11"/>
  <c r="AR15"/>
  <c r="AG15" s="1"/>
  <c r="AY15"/>
  <c r="AR5"/>
  <c r="AG5" s="1"/>
  <c r="AR9"/>
  <c r="AG9" s="1"/>
  <c r="AY9"/>
  <c r="AY5"/>
  <c r="AQ13"/>
</calcChain>
</file>

<file path=xl/sharedStrings.xml><?xml version="1.0" encoding="utf-8"?>
<sst xmlns="http://schemas.openxmlformats.org/spreadsheetml/2006/main" count="2651" uniqueCount="113">
  <si>
    <t>ENGINEER II SHIFTING SCHEDULE</t>
  </si>
  <si>
    <t>Name of</t>
  </si>
  <si>
    <t>WED</t>
  </si>
  <si>
    <t>THU</t>
  </si>
  <si>
    <t>FRI</t>
  </si>
  <si>
    <t>SAT</t>
  </si>
  <si>
    <t>SUN</t>
  </si>
  <si>
    <t>MON</t>
  </si>
  <si>
    <t>TUE</t>
  </si>
  <si>
    <t>Personnel</t>
  </si>
  <si>
    <t>DO</t>
  </si>
  <si>
    <t>R</t>
  </si>
  <si>
    <t>ALFECHE</t>
  </si>
  <si>
    <t>MICABALO</t>
  </si>
  <si>
    <t>PACTURANAN</t>
  </si>
  <si>
    <t>RUDINAS</t>
  </si>
  <si>
    <t>MACUNTE</t>
  </si>
  <si>
    <t>-</t>
  </si>
  <si>
    <t>Legend:</t>
  </si>
  <si>
    <t>0000H</t>
  </si>
  <si>
    <t>0800H</t>
  </si>
  <si>
    <t>1700H</t>
  </si>
  <si>
    <t>1600H</t>
  </si>
  <si>
    <t>Day off</t>
  </si>
  <si>
    <t>2400H</t>
  </si>
  <si>
    <t>Prepared By:</t>
  </si>
  <si>
    <t>Reviewed By:</t>
  </si>
  <si>
    <t>Noted By:</t>
  </si>
  <si>
    <t>E.L. ADIONG</t>
  </si>
  <si>
    <t>Engineer II</t>
  </si>
  <si>
    <t xml:space="preserve">     Prin. Engr. A, GPD</t>
  </si>
  <si>
    <t>LUSPO</t>
  </si>
  <si>
    <t>1200H</t>
  </si>
  <si>
    <t>OIC-Division Manager, GPD</t>
  </si>
  <si>
    <t>J.O.H. LUSPO</t>
  </si>
  <si>
    <t>J.M.M. MATA</t>
  </si>
  <si>
    <t>For the month of November 2023</t>
  </si>
  <si>
    <t>D.R.B. CAIRO</t>
  </si>
  <si>
    <t>For the month of January 2024</t>
  </si>
  <si>
    <t>Acting-Division Manager, GPD</t>
  </si>
  <si>
    <t>For the month of February 2024</t>
  </si>
  <si>
    <t>For the month of March 2024</t>
  </si>
  <si>
    <t>`</t>
  </si>
  <si>
    <t>PULANGI 4 HEHEHEEHEHEHEHE</t>
  </si>
  <si>
    <t>PE-A 1</t>
  </si>
  <si>
    <t>PE-A 2</t>
  </si>
  <si>
    <t>J.J. RUDINAS</t>
  </si>
  <si>
    <t>Division Manager, GPD</t>
  </si>
  <si>
    <t>SHIFTERS</t>
  </si>
  <si>
    <t>1. MACUNTE</t>
  </si>
  <si>
    <t>2. PE-A 1</t>
  </si>
  <si>
    <t>3. PE-A 2</t>
  </si>
  <si>
    <t>4. ALFECHE</t>
  </si>
  <si>
    <t>5. MICABALO</t>
  </si>
  <si>
    <t>6. PACTURANAN</t>
  </si>
  <si>
    <t>7. RUDINAS</t>
  </si>
  <si>
    <t>8. LUSPO</t>
  </si>
  <si>
    <t>SUMMARY OF DUTIES FOR 2 PE-A AND 6 ENGR II</t>
  </si>
  <si>
    <t>3RD SHIFT</t>
  </si>
  <si>
    <t>1ST SHIFT</t>
  </si>
  <si>
    <t>2ND SHIFT</t>
  </si>
  <si>
    <t>REGULAR DUTY</t>
  </si>
  <si>
    <t>TOTAL DAYS</t>
  </si>
  <si>
    <t>4. PE-A 3</t>
  </si>
  <si>
    <t>SUMMARY OF DUTIES FOR 3 PE-A AND 6 ENGR II</t>
  </si>
  <si>
    <t>5. ALFECHE</t>
  </si>
  <si>
    <t>6. MICABALO</t>
  </si>
  <si>
    <t>7. PACTURANAN</t>
  </si>
  <si>
    <t>8. RUDINAS</t>
  </si>
  <si>
    <t>9. LUSPO</t>
  </si>
  <si>
    <t>S.M. PACTURANAN</t>
  </si>
  <si>
    <t>ABAYAN</t>
  </si>
  <si>
    <t>ADIONG</t>
  </si>
  <si>
    <t>CAIRO</t>
  </si>
  <si>
    <t>For the month of April 2024</t>
  </si>
  <si>
    <t>For the month of May 2024</t>
  </si>
  <si>
    <t xml:space="preserve"> </t>
  </si>
  <si>
    <t>.</t>
  </si>
  <si>
    <t>N.D.M. ALFECHE</t>
  </si>
  <si>
    <t xml:space="preserve"> SHIFTING SCHEDULE</t>
  </si>
  <si>
    <t>R.A. ABAYAN</t>
  </si>
  <si>
    <t>Engineer II, GPD</t>
  </si>
  <si>
    <t>For the month of July 2024</t>
  </si>
  <si>
    <t>Prin. Engr. A, GPD</t>
  </si>
  <si>
    <t>Prin. Engr. A, DRWMD</t>
  </si>
  <si>
    <t>KASAL</t>
  </si>
  <si>
    <t>For the month of August 2024</t>
  </si>
  <si>
    <t>For the month of June 2024</t>
  </si>
  <si>
    <t>S. M. PACTURANAN</t>
  </si>
  <si>
    <t>BIRTHDAY</t>
  </si>
  <si>
    <t>For the month of September 2024</t>
  </si>
  <si>
    <t>For the month of October 2024</t>
  </si>
  <si>
    <t>For the month of November 2024</t>
  </si>
  <si>
    <t>For the month of December 2024</t>
  </si>
  <si>
    <t>For the month of January 2025</t>
  </si>
  <si>
    <t>1400H</t>
  </si>
  <si>
    <t>2200H</t>
  </si>
  <si>
    <t xml:space="preserve">MICABALO </t>
  </si>
  <si>
    <t xml:space="preserve">ALFECHE </t>
  </si>
  <si>
    <t xml:space="preserve">LUSPO </t>
  </si>
  <si>
    <t>A</t>
  </si>
  <si>
    <t>B</t>
  </si>
  <si>
    <t>C</t>
  </si>
  <si>
    <t>D</t>
  </si>
  <si>
    <t>E</t>
  </si>
  <si>
    <t>For the month of _________________</t>
  </si>
  <si>
    <t>C (2 pax)</t>
  </si>
  <si>
    <t>B (2 pax)</t>
  </si>
  <si>
    <t>A (2 pax)</t>
  </si>
  <si>
    <t>D (2 pax)</t>
  </si>
  <si>
    <t>E (2pax)</t>
  </si>
  <si>
    <t>Total
Days</t>
  </si>
  <si>
    <t>Group</t>
  </si>
</sst>
</file>

<file path=xl/styles.xml><?xml version="1.0" encoding="utf-8"?>
<styleSheet xmlns="http://schemas.openxmlformats.org/spreadsheetml/2006/main">
  <numFmts count="1">
    <numFmt numFmtId="164" formatCode="0.0"/>
  </numFmts>
  <fonts count="27">
    <font>
      <sz val="11"/>
      <color theme="1"/>
      <name val="Calibri"/>
      <family val="2"/>
      <scheme val="minor"/>
    </font>
    <font>
      <b/>
      <sz val="14"/>
      <color theme="1"/>
      <name val="Calibri"/>
      <family val="2"/>
      <scheme val="minor"/>
    </font>
    <font>
      <sz val="10"/>
      <name val="Arial"/>
      <family val="2"/>
    </font>
    <font>
      <sz val="10"/>
      <color indexed="8"/>
      <name val="Arial"/>
      <family val="2"/>
    </font>
    <font>
      <sz val="5"/>
      <name val="Arial"/>
      <family val="2"/>
    </font>
    <font>
      <sz val="10"/>
      <color rgb="FF000000"/>
      <name val="Arial"/>
      <family val="2"/>
    </font>
    <font>
      <u/>
      <sz val="11"/>
      <color theme="1"/>
      <name val="Calibri"/>
      <family val="2"/>
      <scheme val="minor"/>
    </font>
    <font>
      <sz val="8"/>
      <color theme="1"/>
      <name val="Arial"/>
      <family val="2"/>
    </font>
    <font>
      <b/>
      <sz val="10"/>
      <name val="Arial"/>
      <family val="2"/>
    </font>
    <font>
      <b/>
      <sz val="10"/>
      <color indexed="8"/>
      <name val="Arial"/>
      <family val="2"/>
    </font>
    <font>
      <b/>
      <sz val="10"/>
      <color rgb="FF000000"/>
      <name val="Arial"/>
      <family val="2"/>
    </font>
    <font>
      <sz val="10"/>
      <color rgb="FFFF0000"/>
      <name val="Arial"/>
      <family val="2"/>
    </font>
    <font>
      <b/>
      <sz val="10"/>
      <color rgb="FFFF0000"/>
      <name val="Arial"/>
      <family val="2"/>
    </font>
    <font>
      <sz val="11"/>
      <color theme="1"/>
      <name val="Calibri"/>
      <family val="2"/>
      <scheme val="minor"/>
    </font>
    <font>
      <sz val="11"/>
      <color indexed="8"/>
      <name val="Arial"/>
      <family val="2"/>
    </font>
    <font>
      <sz val="11"/>
      <name val="Arial"/>
      <family val="2"/>
    </font>
    <font>
      <sz val="11"/>
      <color rgb="FF000000"/>
      <name val="Arial"/>
      <family val="2"/>
    </font>
    <font>
      <b/>
      <sz val="11"/>
      <name val="Arial"/>
      <family val="2"/>
    </font>
    <font>
      <b/>
      <sz val="11"/>
      <color theme="1"/>
      <name val="Calibri"/>
      <family val="2"/>
      <scheme val="minor"/>
    </font>
    <font>
      <sz val="8"/>
      <color rgb="FF000000"/>
      <name val="Arial"/>
      <family val="2"/>
    </font>
    <font>
      <sz val="8"/>
      <color indexed="8"/>
      <name val="Arial"/>
      <family val="2"/>
    </font>
    <font>
      <b/>
      <sz val="18"/>
      <color theme="1"/>
      <name val="Arial"/>
      <family val="2"/>
    </font>
    <font>
      <sz val="11"/>
      <color theme="1"/>
      <name val="Arial"/>
      <family val="2"/>
    </font>
    <font>
      <b/>
      <sz val="14"/>
      <color theme="1"/>
      <name val="Arial"/>
      <family val="2"/>
    </font>
    <font>
      <u/>
      <sz val="11"/>
      <color theme="1"/>
      <name val="Arial"/>
      <family val="2"/>
    </font>
    <font>
      <strike/>
      <sz val="10"/>
      <color rgb="FF000000"/>
      <name val="Arial"/>
      <family val="2"/>
    </font>
    <font>
      <sz val="10"/>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FF"/>
        <bgColor indexed="64"/>
      </patternFill>
    </fill>
    <fill>
      <patternFill patternType="solid">
        <fgColor theme="9"/>
        <bgColor indexed="64"/>
      </patternFill>
    </fill>
    <fill>
      <patternFill patternType="solid">
        <fgColor theme="9" tint="0.59996337778862885"/>
        <bgColor indexed="64"/>
      </patternFill>
    </fill>
  </fills>
  <borders count="14">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indexed="64"/>
      </bottom>
      <diagonal/>
    </border>
    <border>
      <left/>
      <right style="thin">
        <color auto="1"/>
      </right>
      <top style="thin">
        <color auto="1"/>
      </top>
      <bottom style="thin">
        <color indexed="64"/>
      </bottom>
      <diagonal/>
    </border>
    <border>
      <left/>
      <right/>
      <top/>
      <bottom style="thin">
        <color indexed="64"/>
      </bottom>
      <diagonal/>
    </border>
    <border>
      <left/>
      <right/>
      <top style="thin">
        <color indexed="64"/>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s>
  <cellStyleXfs count="2">
    <xf numFmtId="0" fontId="0" fillId="0" borderId="0"/>
    <xf numFmtId="0" fontId="2" fillId="0" borderId="0"/>
  </cellStyleXfs>
  <cellXfs count="173">
    <xf numFmtId="0" fontId="0" fillId="0" borderId="0" xfId="0"/>
    <xf numFmtId="0" fontId="3" fillId="0" borderId="1" xfId="1" applyFont="1" applyBorder="1" applyAlignment="1">
      <alignment horizontal="center" vertical="center"/>
    </xf>
    <xf numFmtId="0" fontId="4" fillId="2" borderId="2" xfId="1" applyFont="1" applyFill="1" applyBorder="1" applyAlignment="1">
      <alignment horizontal="center" vertical="center"/>
    </xf>
    <xf numFmtId="0" fontId="3" fillId="0" borderId="3" xfId="1" applyFont="1" applyBorder="1" applyAlignment="1">
      <alignment horizontal="center" vertical="center"/>
    </xf>
    <xf numFmtId="0" fontId="3" fillId="0" borderId="2" xfId="1" applyFont="1" applyBorder="1" applyAlignment="1">
      <alignment horizontal="center"/>
    </xf>
    <xf numFmtId="0" fontId="2" fillId="3" borderId="2" xfId="1" applyFill="1" applyBorder="1" applyAlignment="1">
      <alignment horizontal="center"/>
    </xf>
    <xf numFmtId="0" fontId="3" fillId="3" borderId="2" xfId="1" applyFont="1" applyFill="1" applyBorder="1" applyAlignment="1">
      <alignment horizontal="center"/>
    </xf>
    <xf numFmtId="0" fontId="2" fillId="0" borderId="0" xfId="0" applyFont="1" applyAlignment="1">
      <alignment horizontal="center"/>
    </xf>
    <xf numFmtId="0" fontId="2" fillId="0" borderId="2" xfId="1" applyBorder="1" applyAlignment="1">
      <alignment horizontal="center"/>
    </xf>
    <xf numFmtId="0" fontId="2" fillId="2" borderId="2" xfId="0" applyFont="1" applyFill="1" applyBorder="1" applyAlignment="1">
      <alignment horizontal="center"/>
    </xf>
    <xf numFmtId="0" fontId="0" fillId="0" borderId="0" xfId="0" applyAlignment="1">
      <alignment horizontal="center" vertical="center"/>
    </xf>
    <xf numFmtId="0" fontId="3" fillId="0" borderId="2" xfId="1" quotePrefix="1" applyFont="1" applyBorder="1" applyAlignment="1">
      <alignment horizontal="center"/>
    </xf>
    <xf numFmtId="0" fontId="5" fillId="0" borderId="2" xfId="0" applyFont="1" applyBorder="1" applyAlignment="1">
      <alignment horizontal="center"/>
    </xf>
    <xf numFmtId="0" fontId="5" fillId="4" borderId="2" xfId="0" applyFont="1" applyFill="1" applyBorder="1" applyAlignment="1">
      <alignment horizontal="center"/>
    </xf>
    <xf numFmtId="0" fontId="5" fillId="2" borderId="2" xfId="0" applyFont="1" applyFill="1" applyBorder="1" applyAlignment="1">
      <alignment horizontal="center"/>
    </xf>
    <xf numFmtId="0" fontId="3" fillId="2" borderId="2" xfId="1" applyFont="1" applyFill="1" applyBorder="1" applyAlignment="1">
      <alignment horizontal="center"/>
    </xf>
    <xf numFmtId="0" fontId="2" fillId="2" borderId="2" xfId="1" applyFill="1" applyBorder="1" applyAlignment="1">
      <alignment horizontal="center"/>
    </xf>
    <xf numFmtId="0" fontId="2" fillId="4" borderId="1" xfId="0" applyFont="1" applyFill="1" applyBorder="1" applyAlignment="1">
      <alignment horizontal="center"/>
    </xf>
    <xf numFmtId="0" fontId="0" fillId="0" borderId="4" xfId="0" applyBorder="1"/>
    <xf numFmtId="0" fontId="0" fillId="0" borderId="5" xfId="0" applyBorder="1"/>
    <xf numFmtId="0" fontId="3" fillId="0" borderId="0" xfId="1" applyFont="1" applyAlignment="1">
      <alignment horizontal="center" vertical="center"/>
    </xf>
    <xf numFmtId="0" fontId="3" fillId="0" borderId="0" xfId="1" applyFont="1" applyAlignment="1">
      <alignment horizontal="center"/>
    </xf>
    <xf numFmtId="0" fontId="5" fillId="0" borderId="0" xfId="0" applyFont="1" applyAlignment="1">
      <alignment horizontal="center"/>
    </xf>
    <xf numFmtId="0" fontId="5" fillId="0" borderId="0" xfId="0" applyFont="1" applyAlignment="1">
      <alignment horizontal="left"/>
    </xf>
    <xf numFmtId="0" fontId="3" fillId="0" borderId="0" xfId="1" applyFont="1"/>
    <xf numFmtId="0" fontId="6" fillId="0" borderId="0" xfId="0" applyFont="1"/>
    <xf numFmtId="0" fontId="7" fillId="0" borderId="0" xfId="0" applyFont="1"/>
    <xf numFmtId="0" fontId="4" fillId="4" borderId="2" xfId="1" applyFont="1" applyFill="1" applyBorder="1" applyAlignment="1">
      <alignment horizontal="center" vertical="center"/>
    </xf>
    <xf numFmtId="0" fontId="0" fillId="0" borderId="2" xfId="0" applyBorder="1"/>
    <xf numFmtId="0" fontId="8" fillId="0" borderId="2" xfId="1" applyFont="1" applyBorder="1" applyAlignment="1">
      <alignment horizontal="center"/>
    </xf>
    <xf numFmtId="0" fontId="8" fillId="2" borderId="2" xfId="0" applyFont="1" applyFill="1" applyBorder="1" applyAlignment="1">
      <alignment horizontal="center"/>
    </xf>
    <xf numFmtId="0" fontId="3" fillId="0" borderId="0" xfId="1" applyFont="1" applyAlignment="1">
      <alignment horizontal="left" vertical="center"/>
    </xf>
    <xf numFmtId="0" fontId="9" fillId="0" borderId="2" xfId="1" applyFont="1" applyBorder="1" applyAlignment="1">
      <alignment horizontal="center"/>
    </xf>
    <xf numFmtId="0" fontId="10" fillId="0" borderId="2" xfId="0" applyFont="1" applyBorder="1" applyAlignment="1">
      <alignment horizontal="center"/>
    </xf>
    <xf numFmtId="0" fontId="11" fillId="0" borderId="2" xfId="0" applyFont="1" applyBorder="1" applyAlignment="1">
      <alignment horizontal="center"/>
    </xf>
    <xf numFmtId="0" fontId="5" fillId="0" borderId="2" xfId="0" applyFont="1" applyBorder="1" applyAlignment="1">
      <alignment horizontal="center" vertical="center"/>
    </xf>
    <xf numFmtId="0" fontId="15" fillId="0" borderId="2" xfId="1" applyFont="1" applyBorder="1" applyAlignment="1">
      <alignment horizontal="center"/>
    </xf>
    <xf numFmtId="0" fontId="14" fillId="0" borderId="0" xfId="1" applyFont="1" applyAlignment="1">
      <alignment horizontal="center"/>
    </xf>
    <xf numFmtId="0" fontId="16" fillId="0" borderId="0" xfId="0" applyFont="1" applyAlignment="1">
      <alignment horizontal="center"/>
    </xf>
    <xf numFmtId="0" fontId="13" fillId="0" borderId="0" xfId="0" applyFont="1"/>
    <xf numFmtId="0" fontId="14" fillId="0" borderId="0" xfId="1" applyFont="1" applyAlignment="1">
      <alignment horizontal="center" vertical="center"/>
    </xf>
    <xf numFmtId="0" fontId="17" fillId="0" borderId="2" xfId="1" applyFont="1" applyBorder="1" applyAlignment="1">
      <alignment horizontal="center"/>
    </xf>
    <xf numFmtId="0" fontId="18" fillId="0" borderId="0" xfId="0" applyFont="1"/>
    <xf numFmtId="0" fontId="18" fillId="0" borderId="2" xfId="0" applyFont="1" applyBorder="1"/>
    <xf numFmtId="0" fontId="12" fillId="0" borderId="2" xfId="0" applyFont="1" applyBorder="1" applyAlignment="1">
      <alignment horizontal="center"/>
    </xf>
    <xf numFmtId="0" fontId="10" fillId="0" borderId="2" xfId="0" applyFont="1" applyBorder="1" applyAlignment="1">
      <alignment horizontal="center" vertical="center"/>
    </xf>
    <xf numFmtId="0" fontId="10" fillId="2" borderId="2" xfId="0" applyFont="1" applyFill="1" applyBorder="1" applyAlignment="1">
      <alignment horizontal="center"/>
    </xf>
    <xf numFmtId="164" fontId="19" fillId="0" borderId="0" xfId="0" applyNumberFormat="1" applyFont="1" applyAlignment="1">
      <alignment horizontal="center"/>
    </xf>
    <xf numFmtId="164" fontId="5" fillId="0" borderId="0" xfId="0" applyNumberFormat="1" applyFont="1" applyAlignment="1">
      <alignment horizontal="center"/>
    </xf>
    <xf numFmtId="164" fontId="20" fillId="0" borderId="0" xfId="1" applyNumberFormat="1" applyFont="1" applyAlignment="1">
      <alignment horizontal="center"/>
    </xf>
    <xf numFmtId="164" fontId="3" fillId="0" borderId="0" xfId="1" applyNumberFormat="1" applyFont="1" applyAlignment="1">
      <alignment horizontal="center"/>
    </xf>
    <xf numFmtId="0" fontId="9" fillId="2" borderId="2" xfId="1" applyFont="1" applyFill="1" applyBorder="1" applyAlignment="1">
      <alignment horizontal="center"/>
    </xf>
    <xf numFmtId="0" fontId="9" fillId="0" borderId="2" xfId="1" quotePrefix="1" applyFont="1" applyBorder="1" applyAlignment="1">
      <alignment horizontal="center"/>
    </xf>
    <xf numFmtId="0" fontId="18" fillId="0" borderId="5" xfId="0" applyFont="1" applyBorder="1"/>
    <xf numFmtId="0" fontId="0" fillId="0" borderId="0" xfId="0" applyAlignment="1">
      <alignment horizontal="center"/>
    </xf>
    <xf numFmtId="0" fontId="15" fillId="0" borderId="0" xfId="1" applyFont="1" applyAlignment="1">
      <alignment horizontal="center"/>
    </xf>
    <xf numFmtId="0" fontId="0" fillId="0" borderId="0" xfId="0" applyAlignment="1">
      <alignment horizontal="right"/>
    </xf>
    <xf numFmtId="0" fontId="3" fillId="5" borderId="2" xfId="1" applyFont="1" applyFill="1" applyBorder="1" applyAlignment="1">
      <alignment horizontal="center"/>
    </xf>
    <xf numFmtId="0" fontId="22" fillId="0" borderId="0" xfId="0" applyFont="1"/>
    <xf numFmtId="0" fontId="23" fillId="0" borderId="2" xfId="0" applyFont="1" applyBorder="1"/>
    <xf numFmtId="0" fontId="23" fillId="0" borderId="2" xfId="0" applyFont="1" applyBorder="1" applyAlignment="1">
      <alignment horizontal="center" vertical="center"/>
    </xf>
    <xf numFmtId="1" fontId="23" fillId="0" borderId="2" xfId="0" applyNumberFormat="1" applyFont="1" applyBorder="1" applyAlignment="1">
      <alignment horizontal="left"/>
    </xf>
    <xf numFmtId="0" fontId="22" fillId="0" borderId="2" xfId="0" applyFont="1" applyBorder="1" applyAlignment="1">
      <alignment horizontal="right"/>
    </xf>
    <xf numFmtId="0" fontId="22" fillId="0" borderId="2" xfId="0" applyFont="1" applyBorder="1"/>
    <xf numFmtId="0" fontId="24" fillId="0" borderId="0" xfId="0" applyFont="1" applyAlignment="1">
      <alignment horizontal="center" vertical="center"/>
    </xf>
    <xf numFmtId="0" fontId="22" fillId="0" borderId="0" xfId="0" applyFont="1" applyAlignment="1">
      <alignment horizontal="center" vertical="center"/>
    </xf>
    <xf numFmtId="0" fontId="23" fillId="0" borderId="0" xfId="0" applyFont="1"/>
    <xf numFmtId="0" fontId="22" fillId="0" borderId="0" xfId="0" applyFont="1" applyAlignment="1">
      <alignment horizontal="right"/>
    </xf>
    <xf numFmtId="0" fontId="3" fillId="0" borderId="0" xfId="1" applyFont="1" applyAlignment="1">
      <alignment horizontal="right" vertical="center"/>
    </xf>
    <xf numFmtId="0" fontId="3" fillId="4" borderId="2" xfId="1" applyFont="1" applyFill="1" applyBorder="1" applyAlignment="1">
      <alignment horizontal="center"/>
    </xf>
    <xf numFmtId="0" fontId="2" fillId="4" borderId="2" xfId="1" applyFill="1" applyBorder="1" applyAlignment="1">
      <alignment horizontal="center"/>
    </xf>
    <xf numFmtId="0" fontId="2" fillId="4" borderId="2" xfId="0" applyFont="1" applyFill="1" applyBorder="1" applyAlignment="1">
      <alignment horizontal="center"/>
    </xf>
    <xf numFmtId="0" fontId="8" fillId="4" borderId="2" xfId="0" applyFont="1" applyFill="1" applyBorder="1" applyAlignment="1">
      <alignment horizontal="center"/>
    </xf>
    <xf numFmtId="0" fontId="8" fillId="4" borderId="2" xfId="1" applyFont="1" applyFill="1" applyBorder="1" applyAlignment="1">
      <alignment horizontal="center"/>
    </xf>
    <xf numFmtId="0" fontId="10" fillId="4" borderId="2" xfId="0" applyFont="1" applyFill="1" applyBorder="1" applyAlignment="1">
      <alignment horizontal="center"/>
    </xf>
    <xf numFmtId="0" fontId="3" fillId="4" borderId="2" xfId="1" quotePrefix="1" applyFont="1" applyFill="1" applyBorder="1" applyAlignment="1">
      <alignment horizontal="center"/>
    </xf>
    <xf numFmtId="0" fontId="17" fillId="4" borderId="2" xfId="1" applyFont="1" applyFill="1" applyBorder="1" applyAlignment="1">
      <alignment horizontal="center"/>
    </xf>
    <xf numFmtId="0" fontId="5" fillId="4" borderId="2" xfId="0" applyFont="1" applyFill="1" applyBorder="1" applyAlignment="1">
      <alignment horizontal="center" vertical="center"/>
    </xf>
    <xf numFmtId="0" fontId="0" fillId="4" borderId="2" xfId="0" applyFill="1" applyBorder="1"/>
    <xf numFmtId="0" fontId="0" fillId="4" borderId="5" xfId="0" applyFill="1" applyBorder="1"/>
    <xf numFmtId="0" fontId="18" fillId="4" borderId="2" xfId="0" applyFont="1" applyFill="1" applyBorder="1"/>
    <xf numFmtId="0" fontId="11" fillId="4" borderId="2" xfId="0" applyFont="1" applyFill="1" applyBorder="1" applyAlignment="1">
      <alignment horizontal="center"/>
    </xf>
    <xf numFmtId="2" fontId="0" fillId="0" borderId="0" xfId="0" applyNumberFormat="1" applyAlignment="1">
      <alignment horizontal="center" vertical="center"/>
    </xf>
    <xf numFmtId="0" fontId="15" fillId="4" borderId="2" xfId="1" applyFont="1" applyFill="1" applyBorder="1" applyAlignment="1">
      <alignment horizontal="center"/>
    </xf>
    <xf numFmtId="0" fontId="4" fillId="3" borderId="2" xfId="1" applyFont="1" applyFill="1" applyBorder="1" applyAlignment="1">
      <alignment horizontal="center" vertical="center"/>
    </xf>
    <xf numFmtId="0" fontId="3" fillId="0" borderId="0" xfId="1" applyFont="1" applyAlignment="1">
      <alignment horizontal="left"/>
    </xf>
    <xf numFmtId="0" fontId="4" fillId="6" borderId="2" xfId="1" applyFont="1" applyFill="1" applyBorder="1" applyAlignment="1">
      <alignment horizontal="center" vertical="center"/>
    </xf>
    <xf numFmtId="0" fontId="3" fillId="6" borderId="2" xfId="1" applyFont="1" applyFill="1" applyBorder="1" applyAlignment="1">
      <alignment horizontal="center"/>
    </xf>
    <xf numFmtId="0" fontId="5" fillId="6" borderId="2" xfId="0" applyFont="1" applyFill="1" applyBorder="1" applyAlignment="1">
      <alignment horizontal="center"/>
    </xf>
    <xf numFmtId="0" fontId="8" fillId="6" borderId="2" xfId="1" applyFont="1" applyFill="1" applyBorder="1" applyAlignment="1">
      <alignment horizontal="center"/>
    </xf>
    <xf numFmtId="0" fontId="8" fillId="6" borderId="2" xfId="0" applyFont="1" applyFill="1" applyBorder="1" applyAlignment="1">
      <alignment horizontal="center"/>
    </xf>
    <xf numFmtId="0" fontId="3" fillId="6" borderId="2" xfId="1" quotePrefix="1" applyFont="1" applyFill="1" applyBorder="1" applyAlignment="1">
      <alignment horizontal="center"/>
    </xf>
    <xf numFmtId="0" fontId="2" fillId="6" borderId="2" xfId="0" applyFont="1" applyFill="1" applyBorder="1" applyAlignment="1">
      <alignment horizontal="center"/>
    </xf>
    <xf numFmtId="0" fontId="4" fillId="5" borderId="2" xfId="1" applyFont="1" applyFill="1" applyBorder="1" applyAlignment="1">
      <alignment horizontal="center" vertical="center"/>
    </xf>
    <xf numFmtId="0" fontId="5" fillId="0" borderId="2" xfId="0" applyFont="1" applyBorder="1"/>
    <xf numFmtId="0" fontId="16" fillId="0" borderId="12" xfId="0" applyFont="1" applyBorder="1"/>
    <xf numFmtId="0" fontId="16" fillId="0" borderId="4" xfId="0" applyFont="1" applyBorder="1"/>
    <xf numFmtId="0" fontId="16" fillId="0" borderId="5" xfId="0" applyFont="1" applyBorder="1"/>
    <xf numFmtId="0" fontId="2" fillId="0" borderId="2" xfId="0" applyFont="1" applyBorder="1" applyAlignment="1">
      <alignment horizontal="center"/>
    </xf>
    <xf numFmtId="0" fontId="8" fillId="0" borderId="2" xfId="0" applyFont="1" applyBorder="1" applyAlignment="1">
      <alignment horizontal="center"/>
    </xf>
    <xf numFmtId="0" fontId="25" fillId="0" borderId="2" xfId="0" applyFont="1" applyBorder="1" applyAlignment="1">
      <alignment horizontal="center"/>
    </xf>
    <xf numFmtId="0" fontId="26" fillId="0" borderId="2" xfId="0" applyFont="1" applyBorder="1"/>
    <xf numFmtId="0" fontId="26" fillId="4" borderId="2" xfId="0" applyFont="1" applyFill="1" applyBorder="1"/>
    <xf numFmtId="0" fontId="26" fillId="0" borderId="4" xfId="0" applyFont="1" applyBorder="1"/>
    <xf numFmtId="0" fontId="26" fillId="4" borderId="5" xfId="0" applyFont="1" applyFill="1" applyBorder="1"/>
    <xf numFmtId="0" fontId="26" fillId="0" borderId="0" xfId="0" applyFont="1"/>
    <xf numFmtId="0" fontId="26" fillId="0" borderId="5" xfId="0" applyFont="1" applyBorder="1"/>
    <xf numFmtId="14" fontId="0" fillId="0" borderId="0" xfId="0" applyNumberFormat="1"/>
    <xf numFmtId="0" fontId="8" fillId="7" borderId="2" xfId="0" applyFont="1" applyFill="1" applyBorder="1" applyAlignment="1">
      <alignment horizontal="center"/>
    </xf>
    <xf numFmtId="0" fontId="5" fillId="0" borderId="0" xfId="0" applyFont="1" applyAlignment="1">
      <alignment horizontal="center"/>
    </xf>
    <xf numFmtId="0" fontId="3" fillId="0" borderId="0" xfId="1" applyFont="1" applyAlignment="1">
      <alignment horizontal="center"/>
    </xf>
    <xf numFmtId="0" fontId="3" fillId="0" borderId="0" xfId="1" applyFont="1" applyAlignment="1">
      <alignment horizontal="center" vertical="center"/>
    </xf>
    <xf numFmtId="2" fontId="2" fillId="4" borderId="1" xfId="0" applyNumberFormat="1" applyFont="1" applyFill="1" applyBorder="1" applyAlignment="1">
      <alignment horizontal="center"/>
    </xf>
    <xf numFmtId="0" fontId="8" fillId="0" borderId="0" xfId="1" applyFont="1" applyAlignment="1"/>
    <xf numFmtId="0" fontId="3" fillId="8" borderId="2" xfId="1" applyFont="1" applyFill="1" applyBorder="1" applyAlignment="1">
      <alignment horizontal="center"/>
    </xf>
    <xf numFmtId="0" fontId="2" fillId="0" borderId="2" xfId="1" applyFont="1" applyBorder="1" applyAlignment="1">
      <alignment horizontal="center"/>
    </xf>
    <xf numFmtId="0" fontId="0" fillId="0" borderId="0" xfId="0" applyBorder="1" applyAlignment="1"/>
    <xf numFmtId="0" fontId="0" fillId="0" borderId="0" xfId="0" applyAlignment="1"/>
    <xf numFmtId="0" fontId="2" fillId="0" borderId="0" xfId="1" applyFont="1" applyAlignment="1"/>
    <xf numFmtId="0" fontId="8" fillId="10" borderId="2" xfId="1" applyFont="1" applyFill="1" applyBorder="1" applyAlignment="1">
      <alignment horizontal="center"/>
    </xf>
    <xf numFmtId="0" fontId="0" fillId="10" borderId="2" xfId="0" applyFill="1" applyBorder="1" applyAlignment="1">
      <alignment horizontal="center"/>
    </xf>
    <xf numFmtId="0" fontId="0" fillId="2" borderId="0" xfId="0" applyFill="1" applyAlignment="1">
      <alignment horizontal="center"/>
    </xf>
    <xf numFmtId="0" fontId="0" fillId="0" borderId="2" xfId="0" applyFont="1" applyBorder="1"/>
    <xf numFmtId="0" fontId="0" fillId="0" borderId="0" xfId="0" applyFont="1"/>
    <xf numFmtId="0" fontId="2" fillId="7" borderId="2" xfId="0" applyFont="1" applyFill="1" applyBorder="1" applyAlignment="1">
      <alignment horizontal="center"/>
    </xf>
    <xf numFmtId="0" fontId="2" fillId="7" borderId="2" xfId="1" applyFont="1" applyFill="1" applyBorder="1" applyAlignment="1">
      <alignment horizontal="center"/>
    </xf>
    <xf numFmtId="0" fontId="2" fillId="2" borderId="2" xfId="1" applyFont="1" applyFill="1" applyBorder="1" applyAlignment="1">
      <alignment horizontal="center"/>
    </xf>
    <xf numFmtId="0" fontId="4" fillId="9" borderId="2" xfId="1" applyFont="1" applyFill="1" applyBorder="1" applyAlignment="1">
      <alignment horizontal="center" vertical="center"/>
    </xf>
    <xf numFmtId="0" fontId="0" fillId="2" borderId="2" xfId="0" applyFill="1" applyBorder="1" applyAlignment="1">
      <alignment horizontal="center"/>
    </xf>
    <xf numFmtId="1" fontId="2" fillId="4" borderId="1" xfId="0" applyNumberFormat="1" applyFont="1" applyFill="1" applyBorder="1" applyAlignment="1">
      <alignment horizontal="center"/>
    </xf>
    <xf numFmtId="0" fontId="0" fillId="0" borderId="0" xfId="0" applyAlignment="1">
      <alignment horizontal="center"/>
    </xf>
    <xf numFmtId="0" fontId="5" fillId="0" borderId="0" xfId="0" applyFont="1" applyAlignment="1">
      <alignment horizontal="center"/>
    </xf>
    <xf numFmtId="0" fontId="3" fillId="0" borderId="0" xfId="1" applyFont="1" applyAlignment="1">
      <alignment horizontal="center"/>
    </xf>
    <xf numFmtId="0" fontId="3" fillId="0" borderId="1" xfId="1" applyFont="1" applyBorder="1" applyAlignment="1">
      <alignment horizontal="center" vertical="center"/>
    </xf>
    <xf numFmtId="0" fontId="3" fillId="0" borderId="3" xfId="1" applyFont="1" applyBorder="1" applyAlignment="1">
      <alignment horizontal="center" vertical="center"/>
    </xf>
    <xf numFmtId="0" fontId="3" fillId="0" borderId="0" xfId="1" applyFont="1" applyAlignment="1">
      <alignment horizontal="center" vertical="center"/>
    </xf>
    <xf numFmtId="0" fontId="0" fillId="0" borderId="0" xfId="0" applyAlignment="1">
      <alignment horizontal="center"/>
    </xf>
    <xf numFmtId="0" fontId="3" fillId="0" borderId="0" xfId="1" applyFont="1" applyAlignment="1">
      <alignment horizontal="center"/>
    </xf>
    <xf numFmtId="0" fontId="3" fillId="0" borderId="0" xfId="1" applyFont="1" applyAlignment="1">
      <alignment horizontal="center" vertical="center"/>
    </xf>
    <xf numFmtId="0" fontId="3" fillId="0" borderId="0" xfId="1" applyFont="1" applyAlignment="1">
      <alignment horizontal="center"/>
    </xf>
    <xf numFmtId="0" fontId="5" fillId="0" borderId="0" xfId="0" applyFont="1" applyAlignment="1">
      <alignment horizontal="center"/>
    </xf>
    <xf numFmtId="0" fontId="26" fillId="2" borderId="2" xfId="0" applyFont="1" applyFill="1" applyBorder="1"/>
    <xf numFmtId="0" fontId="5" fillId="2" borderId="2" xfId="0" applyFont="1" applyFill="1" applyBorder="1" applyAlignment="1">
      <alignment horizontal="center" vertical="center"/>
    </xf>
    <xf numFmtId="0" fontId="3" fillId="0" borderId="3" xfId="1" applyFont="1" applyBorder="1" applyAlignment="1">
      <alignment horizontal="center" vertical="center"/>
    </xf>
    <xf numFmtId="0" fontId="5" fillId="0" borderId="0" xfId="0" applyFont="1" applyAlignment="1">
      <alignment horizontal="center"/>
    </xf>
    <xf numFmtId="0" fontId="3" fillId="0" borderId="0" xfId="1" applyFont="1" applyAlignment="1">
      <alignment horizontal="center"/>
    </xf>
    <xf numFmtId="0" fontId="0" fillId="0" borderId="6"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1" fillId="0" borderId="0" xfId="0" applyFont="1" applyAlignment="1">
      <alignment horizontal="center"/>
    </xf>
    <xf numFmtId="0" fontId="3" fillId="0" borderId="1" xfId="1" applyFont="1" applyBorder="1" applyAlignment="1">
      <alignment horizontal="center" vertical="center"/>
    </xf>
    <xf numFmtId="0" fontId="3" fillId="0" borderId="3" xfId="1" applyFont="1" applyBorder="1" applyAlignment="1">
      <alignment horizontal="center" vertical="center"/>
    </xf>
    <xf numFmtId="0" fontId="16" fillId="0" borderId="12" xfId="0" applyFont="1" applyBorder="1" applyAlignment="1">
      <alignment horizontal="center"/>
    </xf>
    <xf numFmtId="0" fontId="16" fillId="0" borderId="4" xfId="0" applyFont="1" applyBorder="1" applyAlignment="1">
      <alignment horizontal="center"/>
    </xf>
    <xf numFmtId="0" fontId="16" fillId="0" borderId="5" xfId="0" applyFont="1" applyBorder="1" applyAlignment="1">
      <alignment horizontal="center"/>
    </xf>
    <xf numFmtId="0" fontId="3" fillId="0" borderId="0" xfId="1" applyFont="1" applyAlignment="1">
      <alignment horizontal="center" vertical="center"/>
    </xf>
    <xf numFmtId="0" fontId="8" fillId="0" borderId="8" xfId="1" applyFont="1" applyBorder="1" applyAlignment="1">
      <alignment horizontal="center" vertical="center"/>
    </xf>
    <xf numFmtId="0" fontId="8" fillId="0" borderId="7" xfId="1" applyFont="1" applyBorder="1" applyAlignment="1">
      <alignment horizontal="center" vertical="center"/>
    </xf>
    <xf numFmtId="0" fontId="8" fillId="0" borderId="9" xfId="1" applyFont="1" applyBorder="1" applyAlignment="1">
      <alignment horizontal="center" vertical="center"/>
    </xf>
    <xf numFmtId="0" fontId="8" fillId="0" borderId="10" xfId="1" applyFont="1" applyBorder="1" applyAlignment="1">
      <alignment horizontal="center" vertical="center"/>
    </xf>
    <xf numFmtId="0" fontId="8" fillId="0" borderId="6" xfId="1" applyFont="1" applyBorder="1" applyAlignment="1">
      <alignment horizontal="center" vertical="center"/>
    </xf>
    <xf numFmtId="0" fontId="8" fillId="0" borderId="11" xfId="1" applyFont="1" applyBorder="1" applyAlignment="1">
      <alignment horizontal="center" vertical="center"/>
    </xf>
    <xf numFmtId="0" fontId="5" fillId="0" borderId="12"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0" fontId="0" fillId="0" borderId="0" xfId="0" applyBorder="1" applyAlignment="1">
      <alignment horizontal="center"/>
    </xf>
    <xf numFmtId="0" fontId="21" fillId="0" borderId="2" xfId="0" applyFont="1" applyBorder="1" applyAlignment="1">
      <alignment horizontal="center" vertical="center"/>
    </xf>
    <xf numFmtId="0" fontId="13" fillId="0" borderId="7" xfId="0" applyFont="1" applyBorder="1" applyAlignment="1">
      <alignment horizontal="center"/>
    </xf>
    <xf numFmtId="0" fontId="13" fillId="0" borderId="0" xfId="0" applyFont="1" applyAlignment="1">
      <alignment horizontal="center"/>
    </xf>
    <xf numFmtId="0" fontId="13" fillId="0" borderId="6" xfId="0" applyFont="1" applyBorder="1" applyAlignment="1">
      <alignment horizontal="center"/>
    </xf>
    <xf numFmtId="0" fontId="8" fillId="2" borderId="2" xfId="1" applyFont="1" applyFill="1" applyBorder="1" applyAlignment="1">
      <alignment horizontal="center"/>
    </xf>
    <xf numFmtId="0" fontId="7" fillId="0" borderId="0" xfId="0" applyFont="1" applyAlignment="1">
      <alignment horizontal="center" wrapText="1"/>
    </xf>
    <xf numFmtId="0" fontId="5" fillId="0" borderId="13" xfId="0" applyFont="1" applyBorder="1" applyAlignment="1">
      <alignment horizontal="center"/>
    </xf>
  </cellXfs>
  <cellStyles count="2">
    <cellStyle name="Normal" xfId="0" builtinId="0"/>
    <cellStyle name="Normal 2" xfId="1"/>
  </cellStyles>
  <dxfs count="3317">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
      <fill>
        <patternFill>
          <bgColor theme="7" tint="0.59996337778862885"/>
        </patternFill>
      </fill>
    </dxf>
    <dxf>
      <fill>
        <patternFill>
          <bgColor rgb="FF00B050"/>
        </patternFill>
      </fill>
    </dxf>
    <dxf>
      <fill>
        <patternFill>
          <bgColor rgb="FFFF5D5D"/>
        </patternFill>
      </fill>
    </dxf>
    <dxf>
      <fill>
        <patternFill>
          <bgColor rgb="FFFFC000"/>
        </patternFill>
      </fill>
    </dxf>
    <dxf>
      <fill>
        <patternFill>
          <bgColor rgb="FF00B0F0"/>
        </patternFill>
      </fill>
    </dxf>
  </dxfs>
  <tableStyles count="0" defaultTableStyle="TableStyleMedium2" defaultPivotStyle="PivotStyleLight16"/>
  <colors>
    <mruColors>
      <color rgb="FFFFFFFF"/>
      <color rgb="FFFF5050"/>
      <color rgb="FFFF5D5D"/>
      <color rgb="FF47C0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pageSetUpPr fitToPage="1"/>
  </sheetPr>
  <dimension ref="A1:AS517"/>
  <sheetViews>
    <sheetView tabSelected="1" view="pageBreakPreview" topLeftCell="A172" zoomScaleNormal="115" zoomScaleSheetLayoutView="100" workbookViewId="0">
      <selection activeCell="R206" sqref="R206"/>
    </sheetView>
  </sheetViews>
  <sheetFormatPr defaultRowHeight="15"/>
  <cols>
    <col min="1" max="1" width="15.7109375" customWidth="1"/>
    <col min="2" max="32" width="4.28515625" customWidth="1"/>
    <col min="33" max="33" width="7.140625" customWidth="1"/>
    <col min="34" max="34" width="3.42578125" customWidth="1"/>
    <col min="35" max="35" width="12.42578125" customWidth="1"/>
    <col min="36" max="39" width="3.42578125" customWidth="1"/>
    <col min="40" max="42" width="4.5703125" customWidth="1"/>
    <col min="43" max="43" width="6.5703125" bestFit="1" customWidth="1"/>
    <col min="44" max="44" width="9.85546875" bestFit="1" customWidth="1"/>
    <col min="45" max="45" width="7.28515625" bestFit="1" customWidth="1"/>
    <col min="46" max="50" width="3.42578125" customWidth="1"/>
    <col min="51" max="51" width="6.5703125" bestFit="1" customWidth="1"/>
    <col min="52" max="52" width="9.85546875" bestFit="1" customWidth="1"/>
  </cols>
  <sheetData>
    <row r="1" spans="1:44" ht="18.75">
      <c r="A1" s="149"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row>
    <row r="2" spans="1:44" ht="18.75">
      <c r="A2" s="149" t="s">
        <v>38</v>
      </c>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A2" s="149"/>
      <c r="AB2" s="149"/>
      <c r="AC2" s="149"/>
      <c r="AD2" s="149"/>
      <c r="AE2" s="149"/>
      <c r="AF2" s="149"/>
      <c r="AG2" s="149"/>
    </row>
    <row r="3" spans="1:44">
      <c r="A3" s="1" t="s">
        <v>1</v>
      </c>
      <c r="B3" s="2" t="s">
        <v>7</v>
      </c>
      <c r="C3" s="2" t="s">
        <v>8</v>
      </c>
      <c r="D3" s="2" t="s">
        <v>2</v>
      </c>
      <c r="E3" s="2" t="s">
        <v>3</v>
      </c>
      <c r="F3" s="2" t="s">
        <v>4</v>
      </c>
      <c r="G3" s="2" t="s">
        <v>5</v>
      </c>
      <c r="H3" s="2" t="s">
        <v>6</v>
      </c>
      <c r="I3" s="2" t="s">
        <v>7</v>
      </c>
      <c r="J3" s="2" t="s">
        <v>8</v>
      </c>
      <c r="K3" s="2" t="s">
        <v>2</v>
      </c>
      <c r="L3" s="2" t="s">
        <v>3</v>
      </c>
      <c r="M3" s="2" t="s">
        <v>4</v>
      </c>
      <c r="N3" s="2" t="s">
        <v>5</v>
      </c>
      <c r="O3" s="2" t="s">
        <v>6</v>
      </c>
      <c r="P3" s="2" t="s">
        <v>7</v>
      </c>
      <c r="Q3" s="2" t="s">
        <v>8</v>
      </c>
      <c r="R3" s="2" t="s">
        <v>2</v>
      </c>
      <c r="S3" s="2" t="s">
        <v>3</v>
      </c>
      <c r="T3" s="2" t="s">
        <v>4</v>
      </c>
      <c r="U3" s="2" t="s">
        <v>5</v>
      </c>
      <c r="V3" s="2" t="s">
        <v>6</v>
      </c>
      <c r="W3" s="2" t="s">
        <v>7</v>
      </c>
      <c r="X3" s="2" t="s">
        <v>8</v>
      </c>
      <c r="Y3" s="2" t="s">
        <v>2</v>
      </c>
      <c r="Z3" s="2" t="s">
        <v>3</v>
      </c>
      <c r="AA3" s="2" t="s">
        <v>4</v>
      </c>
      <c r="AB3" s="2" t="s">
        <v>5</v>
      </c>
      <c r="AC3" s="2" t="s">
        <v>6</v>
      </c>
      <c r="AD3" s="2" t="s">
        <v>7</v>
      </c>
      <c r="AE3" s="2" t="s">
        <v>8</v>
      </c>
      <c r="AF3" s="2" t="s">
        <v>2</v>
      </c>
      <c r="AG3" s="26"/>
    </row>
    <row r="4" spans="1:44">
      <c r="A4" s="3" t="s">
        <v>9</v>
      </c>
      <c r="B4" s="15">
        <v>1</v>
      </c>
      <c r="C4" s="15">
        <v>2</v>
      </c>
      <c r="D4" s="15">
        <v>3</v>
      </c>
      <c r="E4" s="16">
        <v>4</v>
      </c>
      <c r="F4" s="16">
        <v>5</v>
      </c>
      <c r="G4" s="6">
        <v>6</v>
      </c>
      <c r="H4" s="6">
        <v>7</v>
      </c>
      <c r="I4" s="15">
        <v>8</v>
      </c>
      <c r="J4" s="15">
        <v>9</v>
      </c>
      <c r="K4" s="15">
        <v>10</v>
      </c>
      <c r="L4" s="15">
        <v>11</v>
      </c>
      <c r="M4" s="15">
        <v>12</v>
      </c>
      <c r="N4" s="6">
        <v>13</v>
      </c>
      <c r="O4" s="6">
        <v>14</v>
      </c>
      <c r="P4" s="15">
        <v>15</v>
      </c>
      <c r="Q4" s="15">
        <v>16</v>
      </c>
      <c r="R4" s="15">
        <v>17</v>
      </c>
      <c r="S4" s="15">
        <v>18</v>
      </c>
      <c r="T4" s="15">
        <v>19</v>
      </c>
      <c r="U4" s="6">
        <v>20</v>
      </c>
      <c r="V4" s="6">
        <v>21</v>
      </c>
      <c r="W4" s="15">
        <v>22</v>
      </c>
      <c r="X4" s="15">
        <v>23</v>
      </c>
      <c r="Y4" s="15">
        <v>24</v>
      </c>
      <c r="Z4" s="15">
        <v>25</v>
      </c>
      <c r="AA4" s="15">
        <v>26</v>
      </c>
      <c r="AB4" s="6">
        <v>27</v>
      </c>
      <c r="AC4" s="6">
        <v>28</v>
      </c>
      <c r="AD4" s="15">
        <v>29</v>
      </c>
      <c r="AE4" s="15">
        <v>30</v>
      </c>
      <c r="AF4" s="15">
        <v>31</v>
      </c>
      <c r="AG4" s="27">
        <v>24</v>
      </c>
    </row>
    <row r="5" spans="1:44">
      <c r="A5" s="150" t="s">
        <v>16</v>
      </c>
      <c r="B5" s="30" t="s">
        <v>10</v>
      </c>
      <c r="C5" s="29" t="s">
        <v>11</v>
      </c>
      <c r="D5" s="29" t="s">
        <v>11</v>
      </c>
      <c r="E5" s="29" t="s">
        <v>11</v>
      </c>
      <c r="F5" s="29" t="s">
        <v>11</v>
      </c>
      <c r="G5" s="29">
        <v>2</v>
      </c>
      <c r="H5" s="29" t="s">
        <v>10</v>
      </c>
      <c r="I5" s="30" t="s">
        <v>11</v>
      </c>
      <c r="J5" s="29" t="s">
        <v>11</v>
      </c>
      <c r="K5" s="29" t="s">
        <v>11</v>
      </c>
      <c r="L5" s="29" t="s">
        <v>11</v>
      </c>
      <c r="M5" s="29" t="s">
        <v>11</v>
      </c>
      <c r="N5" s="29" t="s">
        <v>10</v>
      </c>
      <c r="O5" s="29">
        <v>2</v>
      </c>
      <c r="P5" s="30" t="s">
        <v>11</v>
      </c>
      <c r="Q5" s="29" t="s">
        <v>11</v>
      </c>
      <c r="R5" s="29" t="s">
        <v>11</v>
      </c>
      <c r="S5" s="29" t="s">
        <v>11</v>
      </c>
      <c r="T5" s="29" t="s">
        <v>11</v>
      </c>
      <c r="U5" s="29" t="s">
        <v>10</v>
      </c>
      <c r="V5" s="29">
        <v>2</v>
      </c>
      <c r="W5" s="30" t="s">
        <v>11</v>
      </c>
      <c r="X5" s="29" t="s">
        <v>11</v>
      </c>
      <c r="Y5" s="29" t="s">
        <v>11</v>
      </c>
      <c r="Z5" s="29" t="s">
        <v>11</v>
      </c>
      <c r="AA5" s="29" t="s">
        <v>11</v>
      </c>
      <c r="AB5" s="29" t="s">
        <v>10</v>
      </c>
      <c r="AC5" s="29">
        <v>2</v>
      </c>
      <c r="AD5" s="30" t="s">
        <v>11</v>
      </c>
      <c r="AE5" s="29" t="s">
        <v>11</v>
      </c>
      <c r="AF5" s="29" t="s">
        <v>11</v>
      </c>
      <c r="AG5" s="17">
        <f>AR5</f>
        <v>26</v>
      </c>
      <c r="AH5">
        <f>COUNTIF($B5:$AF5,4)</f>
        <v>0</v>
      </c>
      <c r="AJ5" s="10">
        <f>COUNTIF($B5:$AF5,3)</f>
        <v>0</v>
      </c>
      <c r="AK5" s="10">
        <f>COUNTIF($B5:$AF5,1)</f>
        <v>0</v>
      </c>
      <c r="AL5" s="10">
        <f>COUNTIF($B5:$AF5,2)</f>
        <v>4</v>
      </c>
      <c r="AM5" s="10">
        <f>COUNTIF($B5:$AF5,"DO")</f>
        <v>5</v>
      </c>
      <c r="AN5" s="10">
        <f>COUNTIF($B5:$AF5,"R")</f>
        <v>22</v>
      </c>
      <c r="AO5" s="10">
        <f>COUNTIF($B5:$AF5,4)</f>
        <v>0</v>
      </c>
      <c r="AP5" s="10">
        <f>COUNTIF($B5:$AF5,5)</f>
        <v>0</v>
      </c>
      <c r="AQ5" s="10">
        <f>SUM(AJ5:AN5)</f>
        <v>31</v>
      </c>
      <c r="AR5" s="10">
        <f>AP5+AO5+AN5+AL5+AK5+AJ5+((AH5+AI5)/2)</f>
        <v>26</v>
      </c>
    </row>
    <row r="6" spans="1:44">
      <c r="A6" s="151"/>
      <c r="B6" s="52"/>
      <c r="C6" s="33"/>
      <c r="D6" s="33"/>
      <c r="E6" s="33"/>
      <c r="F6" s="52"/>
      <c r="G6" s="33"/>
      <c r="H6" s="33"/>
      <c r="I6" s="33"/>
      <c r="J6" s="52"/>
      <c r="K6" s="33"/>
      <c r="L6" s="33"/>
      <c r="M6" s="33"/>
      <c r="N6" s="52"/>
      <c r="O6" s="33"/>
      <c r="P6" s="33"/>
      <c r="Q6" s="33"/>
      <c r="R6" s="52"/>
      <c r="S6" s="33"/>
      <c r="T6" s="33"/>
      <c r="U6" s="33"/>
      <c r="V6" s="52"/>
      <c r="W6" s="33"/>
      <c r="X6" s="33"/>
      <c r="Y6" s="33"/>
      <c r="Z6" s="52"/>
      <c r="AA6" s="33"/>
      <c r="AB6" s="33"/>
      <c r="AC6" s="33"/>
      <c r="AD6" s="33"/>
      <c r="AE6" s="33"/>
      <c r="AF6" s="33"/>
      <c r="AG6" s="17"/>
      <c r="AJ6" s="10"/>
      <c r="AK6" s="10"/>
      <c r="AL6" s="10"/>
      <c r="AM6" s="10"/>
      <c r="AN6" s="10"/>
      <c r="AO6" s="10"/>
      <c r="AP6" s="10"/>
      <c r="AQ6" s="10"/>
      <c r="AR6" s="10"/>
    </row>
    <row r="7" spans="1:44">
      <c r="A7" s="150" t="s">
        <v>12</v>
      </c>
      <c r="B7" s="30">
        <v>2</v>
      </c>
      <c r="C7" s="29">
        <v>5</v>
      </c>
      <c r="D7" s="29">
        <v>1</v>
      </c>
      <c r="E7" s="29">
        <v>2</v>
      </c>
      <c r="F7" s="30">
        <v>3</v>
      </c>
      <c r="G7" s="29">
        <v>1</v>
      </c>
      <c r="H7" s="29">
        <v>5</v>
      </c>
      <c r="I7" s="41">
        <v>1</v>
      </c>
      <c r="J7" s="30">
        <v>3</v>
      </c>
      <c r="K7" s="29">
        <v>1</v>
      </c>
      <c r="L7" s="30">
        <v>3</v>
      </c>
      <c r="M7" s="41">
        <v>4</v>
      </c>
      <c r="N7" s="30" t="s">
        <v>10</v>
      </c>
      <c r="O7" s="29">
        <v>3</v>
      </c>
      <c r="P7" s="30">
        <v>1</v>
      </c>
      <c r="Q7" s="29">
        <v>2</v>
      </c>
      <c r="R7" s="30">
        <v>3</v>
      </c>
      <c r="S7" s="29">
        <v>1</v>
      </c>
      <c r="T7" s="30">
        <v>2</v>
      </c>
      <c r="U7" s="29">
        <v>3</v>
      </c>
      <c r="V7" s="30">
        <v>1</v>
      </c>
      <c r="W7" s="29" t="s">
        <v>10</v>
      </c>
      <c r="X7" s="30">
        <v>3</v>
      </c>
      <c r="Y7" s="29">
        <v>1</v>
      </c>
      <c r="Z7" s="30">
        <v>3</v>
      </c>
      <c r="AA7" s="41">
        <v>4</v>
      </c>
      <c r="AB7" s="30" t="s">
        <v>10</v>
      </c>
      <c r="AC7" s="29" t="s">
        <v>10</v>
      </c>
      <c r="AD7" s="30">
        <v>3</v>
      </c>
      <c r="AE7" s="41">
        <v>4</v>
      </c>
      <c r="AF7" s="29">
        <v>5</v>
      </c>
      <c r="AG7" s="17">
        <f>AR7</f>
        <v>30</v>
      </c>
      <c r="AH7">
        <f>COUNTIF($B7:$AF7,4)</f>
        <v>3</v>
      </c>
      <c r="AI7">
        <f>COUNTIF($B7:$AF7,5)</f>
        <v>3</v>
      </c>
      <c r="AJ7" s="10">
        <f>COUNTIF($B7:$AF7,3)</f>
        <v>9</v>
      </c>
      <c r="AK7" s="10">
        <f>COUNTIF($B7:$AF7,1)</f>
        <v>8</v>
      </c>
      <c r="AL7" s="10">
        <f>COUNTIF($B7:$AF7,2)</f>
        <v>4</v>
      </c>
      <c r="AM7" s="10">
        <f>COUNTIF($B7:$AF7,"DO")</f>
        <v>4</v>
      </c>
      <c r="AN7" s="10">
        <f>COUNTIF($B7:$AF7,"R")</f>
        <v>0</v>
      </c>
      <c r="AO7" s="10">
        <f t="shared" ref="AO7:AO15" si="0">COUNTIF($B7:$AF7,4)</f>
        <v>3</v>
      </c>
      <c r="AP7" s="10">
        <f t="shared" ref="AP7:AP15" si="1">COUNTIF($B7:$AF7,5)</f>
        <v>3</v>
      </c>
      <c r="AQ7" s="10">
        <f>SUM(AJ7:AN7)</f>
        <v>25</v>
      </c>
      <c r="AR7" s="10">
        <f>AP7+AO7+AN7+AL7+AK7+AJ7+((AH7+AI7)/2)</f>
        <v>30</v>
      </c>
    </row>
    <row r="8" spans="1:44">
      <c r="A8" s="151"/>
      <c r="B8" s="32"/>
      <c r="C8" s="33"/>
      <c r="D8" s="33"/>
      <c r="E8" s="33"/>
      <c r="F8" s="33"/>
      <c r="G8" s="33"/>
      <c r="H8" s="43"/>
      <c r="I8" s="33"/>
      <c r="J8" s="43"/>
      <c r="K8" s="33"/>
      <c r="L8" s="33"/>
      <c r="M8" s="33"/>
      <c r="N8" s="32"/>
      <c r="O8" s="33"/>
      <c r="P8" s="33"/>
      <c r="Q8" s="33"/>
      <c r="R8" s="33"/>
      <c r="S8" s="33"/>
      <c r="T8" s="32"/>
      <c r="U8" s="33"/>
      <c r="V8" s="33"/>
      <c r="W8" s="33"/>
      <c r="X8" s="33"/>
      <c r="Y8" s="33"/>
      <c r="Z8" s="32"/>
      <c r="AA8" s="33"/>
      <c r="AB8" s="33"/>
      <c r="AC8" s="33"/>
      <c r="AD8" s="44"/>
      <c r="AE8" s="33"/>
      <c r="AF8" s="33"/>
      <c r="AG8" s="17"/>
      <c r="AJ8" s="10"/>
      <c r="AK8" s="10"/>
      <c r="AL8" s="10"/>
      <c r="AM8" s="10"/>
      <c r="AN8" s="10"/>
      <c r="AO8" s="10"/>
      <c r="AP8" s="10"/>
      <c r="AQ8" s="10"/>
      <c r="AR8" s="10"/>
    </row>
    <row r="9" spans="1:44">
      <c r="A9" s="150" t="s">
        <v>13</v>
      </c>
      <c r="B9" s="29">
        <v>3</v>
      </c>
      <c r="C9" s="41">
        <v>4</v>
      </c>
      <c r="D9" s="29">
        <v>2</v>
      </c>
      <c r="E9" s="29">
        <v>3</v>
      </c>
      <c r="F9" s="30">
        <v>1</v>
      </c>
      <c r="G9" s="29">
        <v>3</v>
      </c>
      <c r="H9" s="29">
        <v>1</v>
      </c>
      <c r="I9" s="29">
        <v>3</v>
      </c>
      <c r="J9" s="41">
        <v>4</v>
      </c>
      <c r="K9" s="29">
        <v>2</v>
      </c>
      <c r="L9" s="30" t="s">
        <v>10</v>
      </c>
      <c r="M9" s="29">
        <v>3</v>
      </c>
      <c r="N9" s="29">
        <v>1</v>
      </c>
      <c r="O9" s="29">
        <v>3</v>
      </c>
      <c r="P9" s="41">
        <v>4</v>
      </c>
      <c r="Q9" s="29">
        <v>3</v>
      </c>
      <c r="R9" s="30">
        <v>1</v>
      </c>
      <c r="S9" s="29">
        <v>3</v>
      </c>
      <c r="T9" s="29">
        <v>1</v>
      </c>
      <c r="U9" s="29">
        <v>5</v>
      </c>
      <c r="V9" s="29">
        <v>1</v>
      </c>
      <c r="W9" s="29">
        <v>3</v>
      </c>
      <c r="X9" s="30">
        <v>1</v>
      </c>
      <c r="Y9" s="29">
        <v>3</v>
      </c>
      <c r="Z9" s="29">
        <v>1</v>
      </c>
      <c r="AA9" s="29" t="s">
        <v>10</v>
      </c>
      <c r="AB9" s="29">
        <v>3</v>
      </c>
      <c r="AC9" s="29">
        <v>1</v>
      </c>
      <c r="AD9" s="30">
        <v>2</v>
      </c>
      <c r="AE9" s="29" t="s">
        <v>10</v>
      </c>
      <c r="AF9" s="30" t="s">
        <v>10</v>
      </c>
      <c r="AG9" s="17">
        <f>AR9</f>
        <v>29</v>
      </c>
      <c r="AH9">
        <f t="shared" ref="AH9:AH15" si="2">COUNTIF($B9:$AF9,4)</f>
        <v>3</v>
      </c>
      <c r="AI9">
        <f t="shared" ref="AI9:AI15" si="3">COUNTIF($B9:$AF9,5)</f>
        <v>1</v>
      </c>
      <c r="AJ9" s="10">
        <f>COUNTIF($B9:$AF9,3)</f>
        <v>11</v>
      </c>
      <c r="AK9" s="10">
        <f>COUNTIF($B9:$AF9,1)</f>
        <v>9</v>
      </c>
      <c r="AL9" s="10">
        <f>COUNTIF($B9:$AF9,2)</f>
        <v>3</v>
      </c>
      <c r="AM9" s="10">
        <f>COUNTIF($B9:$AF9,"DO")</f>
        <v>4</v>
      </c>
      <c r="AN9" s="10">
        <f>COUNTIF($B9:$AF9,"R")</f>
        <v>0</v>
      </c>
      <c r="AO9" s="10">
        <f t="shared" si="0"/>
        <v>3</v>
      </c>
      <c r="AP9" s="10">
        <f t="shared" si="1"/>
        <v>1</v>
      </c>
      <c r="AQ9" s="10">
        <f>SUM(AJ9:AN9)</f>
        <v>27</v>
      </c>
      <c r="AR9" s="10">
        <f>AP9+AO9+AN9+AL9+AK9+AJ9+((AH9+AI9)/2)</f>
        <v>29</v>
      </c>
    </row>
    <row r="10" spans="1:44">
      <c r="A10" s="151"/>
      <c r="B10" s="32"/>
      <c r="C10" s="45"/>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42"/>
      <c r="AE10" s="33"/>
      <c r="AF10" s="43"/>
      <c r="AG10" s="17"/>
      <c r="AJ10" s="10"/>
      <c r="AK10" s="10"/>
      <c r="AL10" s="10"/>
      <c r="AM10" s="10"/>
      <c r="AN10" s="10"/>
      <c r="AO10" s="10"/>
      <c r="AP10" s="10"/>
      <c r="AQ10" s="10"/>
      <c r="AR10" s="10"/>
    </row>
    <row r="11" spans="1:44">
      <c r="A11" s="150" t="s">
        <v>14</v>
      </c>
      <c r="B11" s="29">
        <v>3</v>
      </c>
      <c r="C11" s="33">
        <v>1</v>
      </c>
      <c r="D11" s="33">
        <v>3</v>
      </c>
      <c r="E11" s="33">
        <v>1</v>
      </c>
      <c r="F11" s="29">
        <v>5</v>
      </c>
      <c r="G11" s="32">
        <v>1</v>
      </c>
      <c r="H11" s="33">
        <v>3</v>
      </c>
      <c r="I11" s="41">
        <v>4</v>
      </c>
      <c r="J11" s="29">
        <v>5</v>
      </c>
      <c r="K11" s="29">
        <v>1</v>
      </c>
      <c r="L11" s="30">
        <v>2</v>
      </c>
      <c r="M11" s="29" t="s">
        <v>10</v>
      </c>
      <c r="N11" s="29">
        <v>2</v>
      </c>
      <c r="O11" s="29" t="s">
        <v>10</v>
      </c>
      <c r="P11" s="29">
        <v>5</v>
      </c>
      <c r="Q11" s="29">
        <v>1</v>
      </c>
      <c r="R11" s="30">
        <v>2</v>
      </c>
      <c r="S11" s="29">
        <v>3</v>
      </c>
      <c r="T11" s="29">
        <v>1</v>
      </c>
      <c r="U11" s="29" t="s">
        <v>10</v>
      </c>
      <c r="V11" s="29" t="s">
        <v>10</v>
      </c>
      <c r="W11" s="29">
        <v>5</v>
      </c>
      <c r="X11" s="30">
        <v>1</v>
      </c>
      <c r="Y11" s="29">
        <v>3</v>
      </c>
      <c r="Z11" s="29">
        <v>1</v>
      </c>
      <c r="AA11" s="29">
        <v>3</v>
      </c>
      <c r="AB11" s="29">
        <v>1</v>
      </c>
      <c r="AC11" s="29" t="s">
        <v>10</v>
      </c>
      <c r="AD11" s="30">
        <v>3</v>
      </c>
      <c r="AE11" s="41">
        <v>1</v>
      </c>
      <c r="AF11" s="30">
        <v>3</v>
      </c>
      <c r="AG11" s="17">
        <f>AR11</f>
        <v>28.5</v>
      </c>
      <c r="AH11">
        <f t="shared" si="2"/>
        <v>1</v>
      </c>
      <c r="AI11">
        <f t="shared" si="3"/>
        <v>4</v>
      </c>
      <c r="AJ11" s="10">
        <f>COUNTIF($B11:$AF11,3)</f>
        <v>8</v>
      </c>
      <c r="AK11" s="10">
        <f>COUNTIF($B11:$AF11,1)</f>
        <v>10</v>
      </c>
      <c r="AL11" s="10">
        <f>COUNTIF($B11:$AF11,2)</f>
        <v>3</v>
      </c>
      <c r="AM11" s="10">
        <f>COUNTIF($B11:$AF11,"DO")</f>
        <v>5</v>
      </c>
      <c r="AN11" s="10">
        <f>COUNTIF($B11:$AF11,"R")</f>
        <v>0</v>
      </c>
      <c r="AO11" s="10">
        <f t="shared" si="0"/>
        <v>1</v>
      </c>
      <c r="AP11" s="10">
        <f t="shared" si="1"/>
        <v>4</v>
      </c>
      <c r="AQ11" s="10">
        <f>SUM(AJ11:AN11)</f>
        <v>26</v>
      </c>
      <c r="AR11" s="10">
        <f>AP11+AO11+AN11+AL11+AK11+AJ11+((AH11+AI11)/2)</f>
        <v>28.5</v>
      </c>
    </row>
    <row r="12" spans="1:44">
      <c r="A12" s="151"/>
      <c r="B12" s="32"/>
      <c r="C12" s="33"/>
      <c r="D12" s="33"/>
      <c r="E12" s="33"/>
      <c r="F12" s="33"/>
      <c r="G12" s="32"/>
      <c r="H12" s="33"/>
      <c r="I12" s="33"/>
      <c r="J12" s="33"/>
      <c r="K12" s="33"/>
      <c r="L12" s="33"/>
      <c r="M12" s="32"/>
      <c r="N12" s="33"/>
      <c r="O12" s="33"/>
      <c r="P12" s="33"/>
      <c r="Q12" s="33"/>
      <c r="R12" s="33"/>
      <c r="S12" s="32"/>
      <c r="T12" s="33"/>
      <c r="U12" s="33"/>
      <c r="V12" s="33"/>
      <c r="W12" s="33"/>
      <c r="X12" s="33"/>
      <c r="Y12" s="32"/>
      <c r="Z12" s="33"/>
      <c r="AA12" s="33"/>
      <c r="AB12" s="33"/>
      <c r="AC12" s="46"/>
      <c r="AD12" s="33"/>
      <c r="AE12" s="44"/>
      <c r="AF12" s="33"/>
      <c r="AG12" s="17"/>
      <c r="AJ12" s="10"/>
      <c r="AK12" s="10"/>
      <c r="AL12" s="10"/>
      <c r="AM12" s="10"/>
      <c r="AN12" s="10"/>
      <c r="AO12" s="10"/>
      <c r="AP12" s="10"/>
      <c r="AQ12" s="10"/>
      <c r="AR12" s="10"/>
    </row>
    <row r="13" spans="1:44">
      <c r="A13" s="150" t="s">
        <v>15</v>
      </c>
      <c r="B13" s="29" t="s">
        <v>10</v>
      </c>
      <c r="C13" s="29">
        <v>3</v>
      </c>
      <c r="D13" s="29">
        <v>1</v>
      </c>
      <c r="E13" s="29">
        <v>3</v>
      </c>
      <c r="F13" s="41">
        <v>4</v>
      </c>
      <c r="G13" s="29">
        <v>3</v>
      </c>
      <c r="H13" s="41">
        <v>4</v>
      </c>
      <c r="I13" s="30" t="s">
        <v>10</v>
      </c>
      <c r="J13" s="29" t="s">
        <v>10</v>
      </c>
      <c r="K13" s="30" t="s">
        <v>10</v>
      </c>
      <c r="L13" s="29" t="s">
        <v>10</v>
      </c>
      <c r="M13" s="30" t="s">
        <v>10</v>
      </c>
      <c r="N13" s="30">
        <v>3</v>
      </c>
      <c r="O13" s="30">
        <v>1</v>
      </c>
      <c r="P13" s="30" t="s">
        <v>10</v>
      </c>
      <c r="Q13" s="29">
        <v>3</v>
      </c>
      <c r="R13" s="30">
        <v>1</v>
      </c>
      <c r="S13" s="29">
        <v>2</v>
      </c>
      <c r="T13" s="30">
        <v>3</v>
      </c>
      <c r="U13" s="29">
        <v>1</v>
      </c>
      <c r="V13" s="30">
        <v>3</v>
      </c>
      <c r="W13" s="29">
        <v>1</v>
      </c>
      <c r="X13" s="30">
        <v>2</v>
      </c>
      <c r="Y13" s="29">
        <v>2</v>
      </c>
      <c r="Z13" s="30">
        <v>3</v>
      </c>
      <c r="AA13" s="29">
        <v>1</v>
      </c>
      <c r="AB13" s="30" t="s">
        <v>10</v>
      </c>
      <c r="AC13" s="29">
        <v>3</v>
      </c>
      <c r="AD13" s="30">
        <v>1</v>
      </c>
      <c r="AE13" s="29">
        <v>3</v>
      </c>
      <c r="AF13" s="41">
        <v>4</v>
      </c>
      <c r="AG13" s="17">
        <f>AR13</f>
        <v>24.5</v>
      </c>
      <c r="AH13">
        <f t="shared" si="2"/>
        <v>3</v>
      </c>
      <c r="AI13">
        <f t="shared" si="3"/>
        <v>0</v>
      </c>
      <c r="AJ13" s="10">
        <f>COUNTIF($B13:$AF13,3)</f>
        <v>10</v>
      </c>
      <c r="AK13" s="10">
        <f>COUNTIF($B13:$AF13,1)</f>
        <v>7</v>
      </c>
      <c r="AL13" s="10">
        <f>COUNTIF($B13:$AF13,2)</f>
        <v>3</v>
      </c>
      <c r="AM13" s="10">
        <f>COUNTIF($B13:$AF13,"DO")</f>
        <v>8</v>
      </c>
      <c r="AN13" s="10">
        <f>COUNTIF($B13:$AF13,"R")</f>
        <v>0</v>
      </c>
      <c r="AO13" s="10">
        <f t="shared" si="0"/>
        <v>3</v>
      </c>
      <c r="AP13" s="10">
        <f t="shared" si="1"/>
        <v>0</v>
      </c>
      <c r="AQ13" s="10">
        <f>SUM(AJ13:AN13)</f>
        <v>28</v>
      </c>
      <c r="AR13" s="10">
        <f>AP13+AO13+AN13+AL13+AK13+AJ13+((AH13+AI13)/2)</f>
        <v>24.5</v>
      </c>
    </row>
    <row r="14" spans="1:44">
      <c r="A14" s="151"/>
      <c r="B14" s="32"/>
      <c r="C14" s="32"/>
      <c r="D14" s="32"/>
      <c r="E14" s="33"/>
      <c r="F14" s="33"/>
      <c r="G14" s="32"/>
      <c r="H14" s="33"/>
      <c r="I14" s="29"/>
      <c r="J14" s="33"/>
      <c r="K14" s="53"/>
      <c r="L14" s="33"/>
      <c r="M14" s="32"/>
      <c r="N14" s="33"/>
      <c r="O14" s="32"/>
      <c r="P14" s="33"/>
      <c r="Q14" s="33"/>
      <c r="R14" s="33"/>
      <c r="S14" s="32"/>
      <c r="T14" s="33"/>
      <c r="U14" s="32"/>
      <c r="V14" s="33"/>
      <c r="W14" s="33"/>
      <c r="X14" s="33"/>
      <c r="Y14" s="32"/>
      <c r="Z14" s="33"/>
      <c r="AA14" s="32"/>
      <c r="AB14" s="33"/>
      <c r="AC14" s="33"/>
      <c r="AD14" s="33"/>
      <c r="AE14" s="33"/>
      <c r="AF14" s="33"/>
      <c r="AG14" s="13"/>
      <c r="AR14" s="10"/>
    </row>
    <row r="15" spans="1:44">
      <c r="A15" s="150" t="s">
        <v>31</v>
      </c>
      <c r="B15" s="29">
        <v>1</v>
      </c>
      <c r="C15" s="29" t="s">
        <v>10</v>
      </c>
      <c r="D15" s="29">
        <v>3</v>
      </c>
      <c r="E15" s="29">
        <v>1</v>
      </c>
      <c r="F15" s="30" t="s">
        <v>10</v>
      </c>
      <c r="G15" s="29" t="s">
        <v>10</v>
      </c>
      <c r="H15" s="30" t="s">
        <v>10</v>
      </c>
      <c r="I15" s="29">
        <v>5</v>
      </c>
      <c r="J15" s="30">
        <v>1</v>
      </c>
      <c r="K15" s="29">
        <v>3</v>
      </c>
      <c r="L15" s="30">
        <v>1</v>
      </c>
      <c r="M15" s="29">
        <v>5</v>
      </c>
      <c r="N15" s="30">
        <v>1</v>
      </c>
      <c r="O15" s="29" t="s">
        <v>10</v>
      </c>
      <c r="P15" s="29" t="s">
        <v>10</v>
      </c>
      <c r="Q15" s="29" t="s">
        <v>10</v>
      </c>
      <c r="R15" s="29" t="s">
        <v>10</v>
      </c>
      <c r="S15" s="30" t="s">
        <v>11</v>
      </c>
      <c r="T15" s="30">
        <v>3</v>
      </c>
      <c r="U15" s="41">
        <v>4</v>
      </c>
      <c r="V15" s="30">
        <v>3</v>
      </c>
      <c r="W15" s="41">
        <v>4</v>
      </c>
      <c r="X15" s="30">
        <v>3</v>
      </c>
      <c r="Y15" s="29">
        <v>1</v>
      </c>
      <c r="Z15" s="30">
        <v>2</v>
      </c>
      <c r="AA15" s="29">
        <v>2</v>
      </c>
      <c r="AB15" s="30">
        <v>2</v>
      </c>
      <c r="AC15" s="29">
        <v>3</v>
      </c>
      <c r="AD15" s="30">
        <v>1</v>
      </c>
      <c r="AE15" s="29">
        <v>5</v>
      </c>
      <c r="AF15" s="30">
        <v>1</v>
      </c>
      <c r="AG15" s="17">
        <f>AR15</f>
        <v>25.5</v>
      </c>
      <c r="AH15">
        <f t="shared" si="2"/>
        <v>2</v>
      </c>
      <c r="AI15">
        <f t="shared" si="3"/>
        <v>3</v>
      </c>
      <c r="AJ15" s="10">
        <f>COUNTIF($B15:$AF15,3)</f>
        <v>6</v>
      </c>
      <c r="AK15" s="10">
        <f>COUNTIF($B15:$AF15,1)</f>
        <v>8</v>
      </c>
      <c r="AL15" s="10">
        <f>COUNTIF($B15:$AF15,2)</f>
        <v>3</v>
      </c>
      <c r="AM15" s="10">
        <f>COUNTIF($B15:$AF15,"DO")</f>
        <v>8</v>
      </c>
      <c r="AN15" s="10">
        <f>COUNTIF($B15:$AF15,"R")</f>
        <v>1</v>
      </c>
      <c r="AO15" s="10">
        <f t="shared" si="0"/>
        <v>2</v>
      </c>
      <c r="AP15" s="10">
        <f t="shared" si="1"/>
        <v>3</v>
      </c>
      <c r="AQ15" s="10">
        <f>SUM(AJ15:AN15)</f>
        <v>26</v>
      </c>
      <c r="AR15" s="10">
        <f>AP15+AO15+AN15+AL15+AK15+AJ15+((AH15+AI15)/2)</f>
        <v>25.5</v>
      </c>
    </row>
    <row r="16" spans="1:44">
      <c r="A16" s="151"/>
      <c r="B16" s="32"/>
      <c r="C16" s="4"/>
      <c r="D16" s="4"/>
      <c r="E16" s="12"/>
      <c r="F16" s="12"/>
      <c r="G16" s="4"/>
      <c r="H16" s="12"/>
      <c r="I16" s="18"/>
      <c r="J16" s="12"/>
      <c r="K16" s="19"/>
      <c r="L16" s="12"/>
      <c r="M16" s="4"/>
      <c r="N16" s="12"/>
      <c r="O16" s="4"/>
      <c r="P16" s="12"/>
      <c r="Q16" s="12"/>
      <c r="R16" s="12"/>
      <c r="S16" s="4"/>
      <c r="T16" s="12"/>
      <c r="U16" s="4"/>
      <c r="V16" s="12"/>
      <c r="W16" s="12"/>
      <c r="X16" s="12"/>
      <c r="Y16" s="4"/>
      <c r="Z16" s="12"/>
      <c r="AA16" s="4"/>
      <c r="AB16" s="12"/>
      <c r="AC16" s="12"/>
      <c r="AD16" s="12"/>
      <c r="AE16" s="12"/>
      <c r="AF16" s="12"/>
      <c r="AG16" s="13"/>
    </row>
    <row r="17" spans="1:33">
      <c r="A17" s="31"/>
      <c r="B17" s="21"/>
      <c r="C17" s="21"/>
      <c r="D17" s="21"/>
      <c r="E17" s="22"/>
      <c r="F17" s="22"/>
      <c r="G17" s="21"/>
      <c r="H17" s="21"/>
      <c r="L17" s="22"/>
      <c r="M17" s="21"/>
      <c r="N17" s="21"/>
      <c r="O17" s="21"/>
      <c r="P17" s="21"/>
      <c r="Q17" s="22"/>
      <c r="R17" s="22"/>
      <c r="S17" s="21"/>
      <c r="T17" s="21"/>
      <c r="U17" s="21"/>
      <c r="V17" s="21"/>
      <c r="W17" s="22"/>
      <c r="X17" s="22"/>
      <c r="Y17" s="21"/>
      <c r="Z17" s="21"/>
      <c r="AA17" s="21"/>
      <c r="AB17" s="21"/>
      <c r="AC17" s="22"/>
    </row>
    <row r="18" spans="1:33">
      <c r="A18" s="20" t="s">
        <v>18</v>
      </c>
      <c r="B18" s="21"/>
      <c r="C18" s="21"/>
      <c r="D18" s="4">
        <v>1</v>
      </c>
      <c r="E18" s="22" t="s">
        <v>17</v>
      </c>
      <c r="F18" s="144" t="s">
        <v>19</v>
      </c>
      <c r="G18" s="144"/>
      <c r="H18" s="21" t="s">
        <v>17</v>
      </c>
      <c r="I18" s="145" t="s">
        <v>20</v>
      </c>
      <c r="J18" s="145"/>
      <c r="K18" s="22"/>
      <c r="L18" s="22"/>
      <c r="M18" s="21" t="s">
        <v>11</v>
      </c>
      <c r="N18" s="21" t="s">
        <v>17</v>
      </c>
      <c r="O18" s="145" t="s">
        <v>20</v>
      </c>
      <c r="P18" s="145"/>
      <c r="Q18" s="22" t="s">
        <v>17</v>
      </c>
      <c r="R18" s="144" t="s">
        <v>21</v>
      </c>
      <c r="S18" s="144"/>
      <c r="T18" s="21"/>
      <c r="U18" s="21"/>
      <c r="V18" s="21"/>
      <c r="W18" s="22"/>
      <c r="AD18" s="22"/>
      <c r="AE18" s="22"/>
      <c r="AF18" s="22"/>
    </row>
    <row r="19" spans="1:33">
      <c r="A19" s="20"/>
      <c r="B19" s="21"/>
      <c r="C19" s="21"/>
      <c r="D19" s="4">
        <v>2</v>
      </c>
      <c r="E19" s="22" t="s">
        <v>17</v>
      </c>
      <c r="F19" s="144" t="s">
        <v>20</v>
      </c>
      <c r="G19" s="144"/>
      <c r="H19" s="21" t="s">
        <v>17</v>
      </c>
      <c r="I19" s="145" t="s">
        <v>22</v>
      </c>
      <c r="J19" s="145"/>
      <c r="K19" s="22"/>
      <c r="L19" s="22"/>
      <c r="M19" s="21" t="s">
        <v>10</v>
      </c>
      <c r="N19" s="21" t="s">
        <v>17</v>
      </c>
      <c r="O19" s="145" t="s">
        <v>23</v>
      </c>
      <c r="P19" s="145"/>
      <c r="Q19" s="22"/>
      <c r="R19" s="22"/>
      <c r="S19" s="21"/>
      <c r="T19" s="21"/>
      <c r="U19" s="21"/>
      <c r="V19" s="21"/>
      <c r="W19" s="22"/>
      <c r="X19" s="47"/>
      <c r="Y19" s="21"/>
      <c r="Z19" s="21"/>
      <c r="AA19" s="49"/>
      <c r="AB19" s="21"/>
      <c r="AC19" s="22"/>
      <c r="AD19" s="22"/>
      <c r="AE19" s="22"/>
      <c r="AF19" s="22"/>
    </row>
    <row r="20" spans="1:33">
      <c r="A20" s="20"/>
      <c r="B20" s="21"/>
      <c r="C20" s="21"/>
      <c r="D20" s="4">
        <v>3</v>
      </c>
      <c r="E20" s="22" t="s">
        <v>17</v>
      </c>
      <c r="F20" s="144" t="s">
        <v>22</v>
      </c>
      <c r="G20" s="144"/>
      <c r="H20" s="21" t="s">
        <v>17</v>
      </c>
      <c r="I20" s="145" t="s">
        <v>24</v>
      </c>
      <c r="J20" s="145"/>
      <c r="K20" s="22"/>
      <c r="L20" s="22"/>
      <c r="M20" s="7"/>
      <c r="N20" s="22"/>
      <c r="O20" s="23"/>
      <c r="P20" s="22"/>
      <c r="Q20" s="22"/>
      <c r="R20" s="22"/>
      <c r="S20" s="22"/>
      <c r="T20" s="21"/>
      <c r="U20" s="21"/>
      <c r="V20" s="21"/>
      <c r="W20" s="22"/>
      <c r="X20" s="48"/>
      <c r="Y20" s="21"/>
      <c r="Z20" s="21"/>
      <c r="AA20" s="49"/>
      <c r="AB20" s="21"/>
      <c r="AC20" s="22"/>
      <c r="AD20" s="22"/>
      <c r="AE20" s="22"/>
      <c r="AF20" s="22"/>
    </row>
    <row r="21" spans="1:33">
      <c r="A21" s="20"/>
      <c r="B21" s="21"/>
      <c r="C21" s="21"/>
      <c r="D21" s="36">
        <v>4</v>
      </c>
      <c r="E21" s="38" t="s">
        <v>17</v>
      </c>
      <c r="F21" s="144" t="s">
        <v>19</v>
      </c>
      <c r="G21" s="144"/>
      <c r="H21" s="37" t="s">
        <v>17</v>
      </c>
      <c r="I21" s="145" t="s">
        <v>32</v>
      </c>
      <c r="J21" s="145"/>
      <c r="K21" s="22"/>
      <c r="L21" s="22"/>
      <c r="M21" s="7"/>
      <c r="N21" s="22"/>
      <c r="O21" s="23"/>
      <c r="P21" s="22"/>
      <c r="Q21" s="22"/>
      <c r="R21" s="22"/>
      <c r="S21" s="22"/>
      <c r="T21" s="21"/>
      <c r="U21" s="21"/>
      <c r="V21" s="21"/>
      <c r="W21" s="22"/>
      <c r="X21" s="48"/>
      <c r="Y21" s="21"/>
      <c r="Z21" s="21"/>
      <c r="AA21" s="50"/>
      <c r="AB21" s="21"/>
      <c r="AC21" s="22"/>
      <c r="AD21" s="22"/>
      <c r="AE21" s="22"/>
      <c r="AF21" s="22"/>
    </row>
    <row r="22" spans="1:33">
      <c r="A22" s="20"/>
      <c r="B22" s="21"/>
      <c r="C22" s="21"/>
      <c r="D22" s="36">
        <v>5</v>
      </c>
      <c r="E22" s="38" t="s">
        <v>17</v>
      </c>
      <c r="F22" s="144" t="s">
        <v>32</v>
      </c>
      <c r="G22" s="144"/>
      <c r="H22" s="37" t="s">
        <v>17</v>
      </c>
      <c r="I22" s="155" t="s">
        <v>19</v>
      </c>
      <c r="J22" s="155"/>
      <c r="K22" s="22"/>
      <c r="L22" s="22"/>
      <c r="M22" s="7"/>
      <c r="N22" s="22"/>
      <c r="O22" s="23"/>
      <c r="P22" s="22"/>
      <c r="Q22" s="22"/>
      <c r="R22" s="22"/>
      <c r="S22" s="22"/>
      <c r="T22" s="21"/>
      <c r="U22" s="21"/>
      <c r="V22" s="21"/>
      <c r="W22" s="22"/>
      <c r="X22" s="47"/>
      <c r="Y22" s="21"/>
      <c r="Z22" s="21"/>
      <c r="AA22" s="49"/>
      <c r="AB22" s="21"/>
      <c r="AC22" s="22"/>
      <c r="AD22" s="22"/>
      <c r="AE22" s="22"/>
      <c r="AF22" s="22"/>
    </row>
    <row r="23" spans="1:33">
      <c r="A23" s="20"/>
      <c r="B23" s="21"/>
      <c r="C23" s="21"/>
      <c r="D23" s="21"/>
      <c r="E23" s="22"/>
      <c r="F23" s="22"/>
      <c r="G23" s="22"/>
      <c r="H23" s="21"/>
      <c r="I23" s="21"/>
      <c r="J23" s="21"/>
      <c r="K23" s="22"/>
      <c r="L23" s="22"/>
      <c r="M23" s="21"/>
      <c r="N23" s="21"/>
      <c r="O23" s="21"/>
      <c r="P23" s="21"/>
      <c r="Q23" s="22"/>
      <c r="R23" s="22"/>
      <c r="S23" s="21"/>
      <c r="T23" s="21"/>
      <c r="U23" s="21"/>
      <c r="V23" s="21"/>
      <c r="W23" s="22"/>
      <c r="X23" s="47"/>
      <c r="Y23" s="21"/>
      <c r="Z23" s="21"/>
      <c r="AA23" s="50"/>
      <c r="AB23" s="21"/>
      <c r="AC23" s="22"/>
      <c r="AD23" s="22"/>
      <c r="AE23" s="22"/>
      <c r="AF23" s="22"/>
    </row>
    <row r="24" spans="1:33">
      <c r="A24" s="20" t="s">
        <v>25</v>
      </c>
      <c r="B24" s="21"/>
      <c r="C24" s="21"/>
      <c r="D24" s="21"/>
      <c r="E24" s="22"/>
      <c r="F24" s="22"/>
      <c r="G24" s="22"/>
      <c r="H24" s="21"/>
      <c r="I24" s="20"/>
      <c r="J24" s="21"/>
      <c r="K24" s="21"/>
      <c r="L24" s="21" t="s">
        <v>26</v>
      </c>
      <c r="M24" s="22"/>
      <c r="N24" s="22"/>
      <c r="O24" s="22"/>
      <c r="P24" s="21"/>
      <c r="Q24" s="22"/>
      <c r="R24" s="22"/>
      <c r="S24" s="21"/>
      <c r="T24" s="24"/>
      <c r="U24" s="24"/>
      <c r="V24" s="24"/>
      <c r="W24" s="24"/>
      <c r="X24" s="24"/>
      <c r="Y24" s="21" t="s">
        <v>27</v>
      </c>
      <c r="Z24" s="21"/>
      <c r="AA24" s="21"/>
      <c r="AB24" s="21"/>
      <c r="AC24" s="22"/>
      <c r="AD24" s="22"/>
      <c r="AE24" s="22"/>
      <c r="AF24" s="22"/>
    </row>
    <row r="25" spans="1:33">
      <c r="L25" s="25"/>
      <c r="M25" s="25"/>
      <c r="N25" s="25"/>
      <c r="O25" s="25"/>
      <c r="P25" s="25"/>
      <c r="Q25" s="25"/>
      <c r="X25" s="25"/>
      <c r="Y25" s="25"/>
      <c r="Z25" s="25"/>
      <c r="AA25" s="25"/>
      <c r="AB25" s="25"/>
      <c r="AC25" s="25"/>
    </row>
    <row r="26" spans="1:33">
      <c r="B26" s="146" t="s">
        <v>34</v>
      </c>
      <c r="C26" s="146"/>
      <c r="D26" s="146"/>
      <c r="E26" s="146"/>
      <c r="F26" s="146"/>
      <c r="G26" s="146"/>
      <c r="H26" s="25"/>
      <c r="J26" s="25"/>
      <c r="N26" s="146" t="s">
        <v>28</v>
      </c>
      <c r="O26" s="146"/>
      <c r="P26" s="146"/>
      <c r="Q26" s="146"/>
      <c r="R26" s="146"/>
      <c r="S26" s="146"/>
      <c r="T26" s="146"/>
      <c r="U26" s="146"/>
      <c r="AA26" s="146" t="s">
        <v>37</v>
      </c>
      <c r="AB26" s="146"/>
      <c r="AC26" s="146"/>
      <c r="AD26" s="146"/>
      <c r="AE26" s="146"/>
      <c r="AF26" s="146"/>
    </row>
    <row r="27" spans="1:33">
      <c r="B27" s="147" t="s">
        <v>29</v>
      </c>
      <c r="C27" s="147"/>
      <c r="D27" s="147"/>
      <c r="E27" s="147"/>
      <c r="F27" s="147"/>
      <c r="G27" s="147"/>
      <c r="N27" s="147" t="s">
        <v>30</v>
      </c>
      <c r="O27" s="147"/>
      <c r="P27" s="147"/>
      <c r="Q27" s="147"/>
      <c r="R27" s="147"/>
      <c r="S27" s="147"/>
      <c r="T27" s="147"/>
      <c r="AA27" s="148" t="s">
        <v>39</v>
      </c>
      <c r="AB27" s="148"/>
      <c r="AC27" s="148"/>
      <c r="AD27" s="148"/>
      <c r="AE27" s="148"/>
      <c r="AF27" s="148"/>
    </row>
    <row r="30" spans="1:33" ht="18.75">
      <c r="A30" s="149" t="s">
        <v>0</v>
      </c>
      <c r="B30" s="149"/>
      <c r="C30" s="149"/>
      <c r="D30" s="149"/>
      <c r="E30" s="149"/>
      <c r="F30" s="149"/>
      <c r="G30" s="149"/>
      <c r="H30" s="149"/>
      <c r="I30" s="149"/>
      <c r="J30" s="149"/>
      <c r="K30" s="149"/>
      <c r="L30" s="149"/>
      <c r="M30" s="149"/>
      <c r="N30" s="149"/>
      <c r="O30" s="149"/>
      <c r="P30" s="149"/>
      <c r="Q30" s="149"/>
      <c r="R30" s="149"/>
      <c r="S30" s="149"/>
      <c r="T30" s="149"/>
      <c r="U30" s="149"/>
      <c r="V30" s="149"/>
      <c r="W30" s="149"/>
      <c r="X30" s="149"/>
      <c r="Y30" s="149"/>
      <c r="Z30" s="149"/>
      <c r="AA30" s="149"/>
      <c r="AB30" s="149"/>
      <c r="AC30" s="149"/>
      <c r="AD30" s="149"/>
      <c r="AE30" s="149"/>
      <c r="AF30" s="149"/>
      <c r="AG30" s="149"/>
    </row>
    <row r="31" spans="1:33" ht="18.75">
      <c r="A31" s="149" t="s">
        <v>40</v>
      </c>
      <c r="B31" s="149"/>
      <c r="C31" s="149"/>
      <c r="D31" s="149"/>
      <c r="E31" s="149"/>
      <c r="F31" s="149"/>
      <c r="G31" s="149"/>
      <c r="H31" s="149"/>
      <c r="I31" s="149"/>
      <c r="J31" s="149"/>
      <c r="K31" s="149"/>
      <c r="L31" s="149"/>
      <c r="M31" s="149"/>
      <c r="N31" s="149"/>
      <c r="O31" s="149"/>
      <c r="P31" s="149"/>
      <c r="Q31" s="149"/>
      <c r="R31" s="149"/>
      <c r="S31" s="149"/>
      <c r="T31" s="149"/>
      <c r="U31" s="149"/>
      <c r="V31" s="149"/>
      <c r="W31" s="149"/>
      <c r="X31" s="149"/>
      <c r="Y31" s="149"/>
      <c r="Z31" s="149"/>
      <c r="AA31" s="149"/>
      <c r="AB31" s="149"/>
      <c r="AC31" s="149"/>
      <c r="AD31" s="149"/>
      <c r="AE31" s="149"/>
      <c r="AF31" s="149"/>
      <c r="AG31" s="149"/>
    </row>
    <row r="32" spans="1:33">
      <c r="A32" s="1" t="s">
        <v>1</v>
      </c>
      <c r="B32" s="2" t="s">
        <v>3</v>
      </c>
      <c r="C32" s="2" t="s">
        <v>4</v>
      </c>
      <c r="D32" s="2" t="s">
        <v>5</v>
      </c>
      <c r="E32" s="2" t="s">
        <v>6</v>
      </c>
      <c r="F32" s="2" t="s">
        <v>7</v>
      </c>
      <c r="G32" s="2" t="s">
        <v>8</v>
      </c>
      <c r="H32" s="2" t="s">
        <v>2</v>
      </c>
      <c r="I32" s="2" t="s">
        <v>3</v>
      </c>
      <c r="J32" s="2" t="s">
        <v>4</v>
      </c>
      <c r="K32" s="2" t="s">
        <v>5</v>
      </c>
      <c r="L32" s="2" t="s">
        <v>6</v>
      </c>
      <c r="M32" s="2" t="s">
        <v>7</v>
      </c>
      <c r="N32" s="2" t="s">
        <v>8</v>
      </c>
      <c r="O32" s="2" t="s">
        <v>2</v>
      </c>
      <c r="P32" s="2" t="s">
        <v>3</v>
      </c>
      <c r="Q32" s="2" t="s">
        <v>4</v>
      </c>
      <c r="R32" s="2" t="s">
        <v>5</v>
      </c>
      <c r="S32" s="2" t="s">
        <v>6</v>
      </c>
      <c r="T32" s="2" t="s">
        <v>7</v>
      </c>
      <c r="U32" s="2" t="s">
        <v>8</v>
      </c>
      <c r="V32" s="2" t="s">
        <v>2</v>
      </c>
      <c r="W32" s="2" t="s">
        <v>3</v>
      </c>
      <c r="X32" s="2" t="s">
        <v>4</v>
      </c>
      <c r="Y32" s="2" t="s">
        <v>5</v>
      </c>
      <c r="Z32" s="2" t="s">
        <v>6</v>
      </c>
      <c r="AA32" s="2" t="s">
        <v>7</v>
      </c>
      <c r="AB32" s="2" t="s">
        <v>8</v>
      </c>
      <c r="AC32" s="2" t="s">
        <v>2</v>
      </c>
      <c r="AD32" s="2" t="s">
        <v>3</v>
      </c>
      <c r="AE32" s="2"/>
      <c r="AF32" s="2"/>
      <c r="AG32" s="26"/>
    </row>
    <row r="33" spans="1:44">
      <c r="A33" s="3" t="s">
        <v>9</v>
      </c>
      <c r="B33" s="15">
        <v>1</v>
      </c>
      <c r="C33" s="15">
        <v>2</v>
      </c>
      <c r="D33" s="6">
        <v>3</v>
      </c>
      <c r="E33" s="5">
        <v>4</v>
      </c>
      <c r="F33" s="16">
        <v>5</v>
      </c>
      <c r="G33" s="15">
        <v>6</v>
      </c>
      <c r="H33" s="15">
        <v>7</v>
      </c>
      <c r="I33" s="15">
        <v>8</v>
      </c>
      <c r="J33" s="15">
        <v>9</v>
      </c>
      <c r="K33" s="6">
        <v>10</v>
      </c>
      <c r="L33" s="6">
        <v>11</v>
      </c>
      <c r="M33" s="15">
        <v>12</v>
      </c>
      <c r="N33" s="15">
        <v>13</v>
      </c>
      <c r="O33" s="15">
        <v>14</v>
      </c>
      <c r="P33" s="15">
        <v>15</v>
      </c>
      <c r="Q33" s="15">
        <v>16</v>
      </c>
      <c r="R33" s="6">
        <v>17</v>
      </c>
      <c r="S33" s="6">
        <v>18</v>
      </c>
      <c r="T33" s="15">
        <v>19</v>
      </c>
      <c r="U33" s="15">
        <v>20</v>
      </c>
      <c r="V33" s="15">
        <v>21</v>
      </c>
      <c r="W33" s="15">
        <v>22</v>
      </c>
      <c r="X33" s="15">
        <v>23</v>
      </c>
      <c r="Y33" s="6">
        <v>24</v>
      </c>
      <c r="Z33" s="6">
        <v>25</v>
      </c>
      <c r="AA33" s="15">
        <v>26</v>
      </c>
      <c r="AB33" s="15">
        <v>27</v>
      </c>
      <c r="AC33" s="15">
        <v>28</v>
      </c>
      <c r="AD33" s="15">
        <v>29</v>
      </c>
      <c r="AE33" s="15"/>
      <c r="AF33" s="15"/>
      <c r="AG33" s="27">
        <v>24</v>
      </c>
    </row>
    <row r="34" spans="1:44">
      <c r="A34" s="150" t="s">
        <v>16</v>
      </c>
      <c r="B34" s="29" t="s">
        <v>11</v>
      </c>
      <c r="C34" s="29" t="s">
        <v>11</v>
      </c>
      <c r="D34" s="29" t="s">
        <v>10</v>
      </c>
      <c r="E34" s="29">
        <v>2</v>
      </c>
      <c r="F34" s="29" t="s">
        <v>11</v>
      </c>
      <c r="G34" s="29" t="s">
        <v>11</v>
      </c>
      <c r="H34" s="29" t="s">
        <v>11</v>
      </c>
      <c r="I34" s="29" t="s">
        <v>11</v>
      </c>
      <c r="J34" s="29" t="s">
        <v>11</v>
      </c>
      <c r="K34" s="29">
        <v>2</v>
      </c>
      <c r="L34" s="29" t="s">
        <v>10</v>
      </c>
      <c r="M34" s="29" t="s">
        <v>11</v>
      </c>
      <c r="N34" s="29" t="s">
        <v>11</v>
      </c>
      <c r="O34" s="29" t="s">
        <v>11</v>
      </c>
      <c r="P34" s="29" t="s">
        <v>11</v>
      </c>
      <c r="Q34" s="29" t="s">
        <v>11</v>
      </c>
      <c r="R34" s="29" t="s">
        <v>10</v>
      </c>
      <c r="S34" s="29">
        <v>2</v>
      </c>
      <c r="T34" s="29" t="s">
        <v>11</v>
      </c>
      <c r="U34" s="29" t="s">
        <v>11</v>
      </c>
      <c r="V34" s="29" t="s">
        <v>11</v>
      </c>
      <c r="W34" s="29" t="s">
        <v>11</v>
      </c>
      <c r="X34" s="29" t="s">
        <v>11</v>
      </c>
      <c r="Y34" s="29" t="s">
        <v>10</v>
      </c>
      <c r="Z34" s="29">
        <v>2</v>
      </c>
      <c r="AA34" s="29" t="s">
        <v>11</v>
      </c>
      <c r="AB34" s="29" t="s">
        <v>11</v>
      </c>
      <c r="AC34" s="29" t="s">
        <v>11</v>
      </c>
      <c r="AD34" s="29" t="s">
        <v>11</v>
      </c>
      <c r="AE34" s="8"/>
      <c r="AF34" s="8"/>
      <c r="AG34" s="17">
        <f>AR34</f>
        <v>25</v>
      </c>
      <c r="AH34">
        <f>COUNTIF($B34:$AF34,4)</f>
        <v>0</v>
      </c>
      <c r="AJ34" s="10">
        <f>COUNTIF($B34:$AF34,3)</f>
        <v>0</v>
      </c>
      <c r="AK34" s="10">
        <f>COUNTIF($B34:$AF34,1)</f>
        <v>0</v>
      </c>
      <c r="AL34" s="10">
        <f>COUNTIF($B34:$AF34,2)</f>
        <v>4</v>
      </c>
      <c r="AM34" s="10">
        <f>COUNTIF($B34:$AF34,"DO")</f>
        <v>4</v>
      </c>
      <c r="AN34" s="10">
        <f>COUNTIF($B34:$AF34,"R")</f>
        <v>21</v>
      </c>
      <c r="AO34" s="10">
        <f>COUNTIF($B34:$AF34,4)</f>
        <v>0</v>
      </c>
      <c r="AP34" s="10">
        <f>COUNTIF($B34:$AF34,5)</f>
        <v>0</v>
      </c>
      <c r="AQ34" s="10">
        <f>SUM(AJ34:AN34)</f>
        <v>29</v>
      </c>
      <c r="AR34" s="10">
        <f>AP34+AO34+AN34+AL34+AK34+AJ34+((AH34+AI34)/2)</f>
        <v>25</v>
      </c>
    </row>
    <row r="35" spans="1:44">
      <c r="A35" s="151"/>
      <c r="B35" s="11"/>
      <c r="C35" s="12"/>
      <c r="D35" s="12"/>
      <c r="E35" s="12"/>
      <c r="F35" s="11"/>
      <c r="G35" s="12"/>
      <c r="H35" s="12"/>
      <c r="I35" s="12"/>
      <c r="J35" s="11"/>
      <c r="K35" s="12"/>
      <c r="L35" s="12"/>
      <c r="M35" s="12"/>
      <c r="N35" s="11"/>
      <c r="O35" s="12"/>
      <c r="P35" s="12"/>
      <c r="Q35" s="12"/>
      <c r="R35" s="11"/>
      <c r="S35" s="12"/>
      <c r="T35" s="12"/>
      <c r="U35" s="12"/>
      <c r="V35" s="11"/>
      <c r="W35" s="12"/>
      <c r="X35" s="12"/>
      <c r="Y35" s="12"/>
      <c r="Z35" s="11"/>
      <c r="AA35" s="12"/>
      <c r="AB35" s="12"/>
      <c r="AC35" s="12"/>
      <c r="AD35" s="12"/>
      <c r="AE35" s="12"/>
      <c r="AF35" s="12"/>
      <c r="AG35" s="17"/>
      <c r="AJ35" s="10"/>
      <c r="AK35" s="10"/>
      <c r="AL35" s="10"/>
      <c r="AM35" s="10"/>
      <c r="AN35" s="10"/>
      <c r="AO35" s="10"/>
      <c r="AP35" s="10"/>
      <c r="AQ35" s="10"/>
      <c r="AR35" s="10"/>
    </row>
    <row r="36" spans="1:44">
      <c r="A36" s="150" t="s">
        <v>12</v>
      </c>
      <c r="B36" s="30">
        <v>1</v>
      </c>
      <c r="C36" s="29">
        <v>2</v>
      </c>
      <c r="D36" s="29" t="s">
        <v>10</v>
      </c>
      <c r="E36" s="29">
        <v>3</v>
      </c>
      <c r="F36" s="36">
        <v>4</v>
      </c>
      <c r="G36" s="8">
        <v>3</v>
      </c>
      <c r="H36" s="29">
        <v>1</v>
      </c>
      <c r="I36" s="41">
        <v>3</v>
      </c>
      <c r="J36" s="36">
        <v>4</v>
      </c>
      <c r="K36" s="29">
        <v>3</v>
      </c>
      <c r="L36" s="9">
        <v>1</v>
      </c>
      <c r="M36" s="29">
        <v>3</v>
      </c>
      <c r="N36" s="30">
        <v>1</v>
      </c>
      <c r="O36" s="29" t="s">
        <v>10</v>
      </c>
      <c r="P36" s="30">
        <v>3</v>
      </c>
      <c r="Q36" s="29">
        <v>1</v>
      </c>
      <c r="R36" s="30" t="s">
        <v>10</v>
      </c>
      <c r="S36" s="8">
        <v>3</v>
      </c>
      <c r="T36" s="36">
        <v>4</v>
      </c>
      <c r="U36" s="36">
        <v>5</v>
      </c>
      <c r="V36" s="9">
        <v>1</v>
      </c>
      <c r="W36" s="8">
        <v>3</v>
      </c>
      <c r="X36" s="9">
        <v>1</v>
      </c>
      <c r="Y36" s="29">
        <v>3</v>
      </c>
      <c r="Z36" s="9">
        <v>1</v>
      </c>
      <c r="AA36" s="8">
        <v>3</v>
      </c>
      <c r="AB36" s="9">
        <v>1</v>
      </c>
      <c r="AC36" s="36">
        <v>5</v>
      </c>
      <c r="AD36" s="36">
        <v>1</v>
      </c>
      <c r="AE36" s="8"/>
      <c r="AF36" s="29"/>
      <c r="AG36" s="17">
        <f>AR36</f>
        <v>28.5</v>
      </c>
      <c r="AH36">
        <f>COUNTIF($B36:$AF36,4)</f>
        <v>3</v>
      </c>
      <c r="AI36">
        <f>COUNTIF($B36:$AF36,5)</f>
        <v>2</v>
      </c>
      <c r="AJ36" s="10">
        <f>COUNTIF($B36:$AF36,3)</f>
        <v>10</v>
      </c>
      <c r="AK36" s="10">
        <f>COUNTIF($B36:$AF36,1)</f>
        <v>10</v>
      </c>
      <c r="AL36" s="10">
        <f>COUNTIF($B36:$AF36,2)</f>
        <v>1</v>
      </c>
      <c r="AM36" s="10">
        <f>COUNTIF($B36:$AF36,"DO")</f>
        <v>3</v>
      </c>
      <c r="AN36" s="10">
        <f>COUNTIF($B36:$AF36,"R")</f>
        <v>0</v>
      </c>
      <c r="AO36" s="10">
        <f t="shared" ref="AO36:AO44" si="4">COUNTIF($B36:$AF36,4)</f>
        <v>3</v>
      </c>
      <c r="AP36" s="10">
        <f t="shared" ref="AP36:AP44" si="5">COUNTIF($B36:$AF36,5)</f>
        <v>2</v>
      </c>
      <c r="AQ36" s="10">
        <f>SUM(AJ36:AN36)</f>
        <v>24</v>
      </c>
      <c r="AR36" s="10">
        <f>AP36+AO36+AN36+AL36+AK36+AJ36+((AH36+AI36)/2)</f>
        <v>28.5</v>
      </c>
    </row>
    <row r="37" spans="1:44">
      <c r="A37" s="151"/>
      <c r="B37" s="32"/>
      <c r="C37" s="33"/>
      <c r="D37" s="33"/>
      <c r="E37" s="12"/>
      <c r="F37" s="12"/>
      <c r="G37" s="12"/>
      <c r="H37" s="28"/>
      <c r="I37" s="12"/>
      <c r="J37" s="28"/>
      <c r="K37" s="12"/>
      <c r="L37" s="12"/>
      <c r="M37" s="12"/>
      <c r="N37" s="4"/>
      <c r="O37" s="12"/>
      <c r="P37" s="12"/>
      <c r="Q37" s="12"/>
      <c r="R37" s="12"/>
      <c r="S37" s="12"/>
      <c r="T37" s="4"/>
      <c r="U37" s="12"/>
      <c r="V37" s="12"/>
      <c r="W37" s="12"/>
      <c r="X37" s="12"/>
      <c r="Y37" s="12"/>
      <c r="Z37" s="4"/>
      <c r="AA37" s="12"/>
      <c r="AB37" s="12"/>
      <c r="AC37" s="12"/>
      <c r="AD37" s="34"/>
      <c r="AE37" s="12"/>
      <c r="AF37" s="12"/>
      <c r="AG37" s="17"/>
      <c r="AJ37" s="10"/>
      <c r="AK37" s="10"/>
      <c r="AL37" s="10"/>
      <c r="AM37" s="10"/>
      <c r="AN37" s="10"/>
      <c r="AO37" s="10"/>
      <c r="AP37" s="10"/>
      <c r="AQ37" s="10"/>
      <c r="AR37" s="10"/>
    </row>
    <row r="38" spans="1:44">
      <c r="A38" s="150" t="s">
        <v>13</v>
      </c>
      <c r="B38" s="29" t="s">
        <v>10</v>
      </c>
      <c r="C38" s="41" t="s">
        <v>10</v>
      </c>
      <c r="D38" s="36">
        <v>3</v>
      </c>
      <c r="E38" s="29">
        <v>1</v>
      </c>
      <c r="F38" s="9" t="s">
        <v>10</v>
      </c>
      <c r="G38" s="8">
        <v>2</v>
      </c>
      <c r="H38" s="8">
        <v>3</v>
      </c>
      <c r="I38" s="29">
        <v>1</v>
      </c>
      <c r="J38" s="41" t="s">
        <v>11</v>
      </c>
      <c r="K38" s="29" t="s">
        <v>10</v>
      </c>
      <c r="L38" s="9">
        <v>2</v>
      </c>
      <c r="M38" s="29">
        <v>3</v>
      </c>
      <c r="N38" s="29">
        <v>1</v>
      </c>
      <c r="O38" s="29">
        <v>3</v>
      </c>
      <c r="P38" s="41">
        <v>1</v>
      </c>
      <c r="Q38" s="29">
        <v>3</v>
      </c>
      <c r="R38" s="36">
        <v>4</v>
      </c>
      <c r="S38" s="8">
        <v>3</v>
      </c>
      <c r="T38" s="8">
        <v>1</v>
      </c>
      <c r="U38" s="29">
        <v>3</v>
      </c>
      <c r="V38" s="8">
        <v>1</v>
      </c>
      <c r="W38" s="8">
        <v>2</v>
      </c>
      <c r="X38" s="30">
        <v>3</v>
      </c>
      <c r="Y38" s="36">
        <v>1</v>
      </c>
      <c r="Z38" s="36">
        <v>3</v>
      </c>
      <c r="AA38" s="29">
        <v>1</v>
      </c>
      <c r="AB38" s="29">
        <v>3</v>
      </c>
      <c r="AC38" s="36">
        <v>4</v>
      </c>
      <c r="AD38" s="36">
        <v>5</v>
      </c>
      <c r="AE38" s="29"/>
      <c r="AF38" s="30"/>
      <c r="AG38" s="17">
        <f>AR38</f>
        <v>26.5</v>
      </c>
      <c r="AH38">
        <f t="shared" ref="AH38:AH44" si="6">COUNTIF($B38:$AF38,4)</f>
        <v>2</v>
      </c>
      <c r="AI38">
        <f t="shared" ref="AI38:AI44" si="7">COUNTIF($B38:$AF38,5)</f>
        <v>1</v>
      </c>
      <c r="AJ38" s="10">
        <f>COUNTIF($B38:$AF38,3)</f>
        <v>10</v>
      </c>
      <c r="AK38" s="10">
        <f>COUNTIF($B38:$AF38,1)</f>
        <v>8</v>
      </c>
      <c r="AL38" s="10">
        <f>COUNTIF($B38:$AF38,2)</f>
        <v>3</v>
      </c>
      <c r="AM38" s="10">
        <f>COUNTIF($B38:$AF38,"DO")</f>
        <v>4</v>
      </c>
      <c r="AN38" s="10">
        <f>COUNTIF($B38:$AF38,"R")</f>
        <v>1</v>
      </c>
      <c r="AO38" s="10">
        <f t="shared" si="4"/>
        <v>2</v>
      </c>
      <c r="AP38" s="10">
        <f t="shared" si="5"/>
        <v>1</v>
      </c>
      <c r="AQ38" s="10">
        <f>SUM(AJ38:AN38)</f>
        <v>26</v>
      </c>
      <c r="AR38" s="10">
        <f>AP38+AO38+AN38+AL38+AK38+AJ38+((AH38+AI38)/2)</f>
        <v>26.5</v>
      </c>
    </row>
    <row r="39" spans="1:44">
      <c r="A39" s="151"/>
      <c r="B39" s="4"/>
      <c r="C39" s="35"/>
      <c r="D39" s="12"/>
      <c r="E39" s="12"/>
      <c r="F39" s="12"/>
      <c r="G39" s="12"/>
      <c r="H39" s="12"/>
      <c r="I39" s="12"/>
      <c r="J39" s="12"/>
      <c r="K39" s="12"/>
      <c r="L39" s="12"/>
      <c r="M39" s="12"/>
      <c r="N39" s="12"/>
      <c r="O39" s="12"/>
      <c r="P39" s="12"/>
      <c r="Q39" s="12"/>
      <c r="R39" s="12"/>
      <c r="S39" s="12"/>
      <c r="T39" s="12"/>
      <c r="U39" s="12"/>
      <c r="V39" s="12"/>
      <c r="W39" s="12"/>
      <c r="X39" s="33"/>
      <c r="Y39" s="33"/>
      <c r="Z39" s="33"/>
      <c r="AA39" s="33"/>
      <c r="AB39" s="33"/>
      <c r="AC39" s="33"/>
      <c r="AD39" s="42"/>
      <c r="AE39" s="33"/>
      <c r="AF39" s="43"/>
      <c r="AG39" s="17"/>
      <c r="AJ39" s="10"/>
      <c r="AK39" s="10"/>
      <c r="AL39" s="10"/>
      <c r="AM39" s="10"/>
      <c r="AN39" s="10"/>
      <c r="AO39" s="10"/>
      <c r="AP39" s="10"/>
      <c r="AQ39" s="10"/>
      <c r="AR39" s="10"/>
    </row>
    <row r="40" spans="1:44">
      <c r="A40" s="150" t="s">
        <v>14</v>
      </c>
      <c r="B40" s="36">
        <v>4</v>
      </c>
      <c r="C40" s="12">
        <v>3</v>
      </c>
      <c r="D40" s="36">
        <v>1</v>
      </c>
      <c r="E40" s="33" t="s">
        <v>10</v>
      </c>
      <c r="F40" s="36">
        <v>5</v>
      </c>
      <c r="G40" s="4">
        <v>1</v>
      </c>
      <c r="H40" s="12">
        <v>3</v>
      </c>
      <c r="I40" s="41">
        <v>1</v>
      </c>
      <c r="J40" s="29" t="s">
        <v>11</v>
      </c>
      <c r="K40" s="29" t="s">
        <v>10</v>
      </c>
      <c r="L40" s="30" t="s">
        <v>10</v>
      </c>
      <c r="M40" s="29">
        <v>2</v>
      </c>
      <c r="N40" s="29">
        <v>2</v>
      </c>
      <c r="O40" s="36">
        <v>5</v>
      </c>
      <c r="P40" s="29">
        <v>1</v>
      </c>
      <c r="Q40" s="8">
        <v>3</v>
      </c>
      <c r="R40" s="9">
        <v>1</v>
      </c>
      <c r="S40" s="8" t="s">
        <v>10</v>
      </c>
      <c r="T40" s="36">
        <v>5</v>
      </c>
      <c r="U40" s="29">
        <v>1</v>
      </c>
      <c r="V40" s="8">
        <v>2</v>
      </c>
      <c r="W40" s="29">
        <v>3</v>
      </c>
      <c r="X40" s="30">
        <v>1</v>
      </c>
      <c r="Y40" s="29">
        <v>2</v>
      </c>
      <c r="Z40" s="29" t="s">
        <v>10</v>
      </c>
      <c r="AA40" s="29">
        <v>2</v>
      </c>
      <c r="AB40" s="29">
        <v>3</v>
      </c>
      <c r="AC40" s="29">
        <v>1</v>
      </c>
      <c r="AD40" s="36">
        <v>3</v>
      </c>
      <c r="AE40" s="41"/>
      <c r="AF40" s="30"/>
      <c r="AG40" s="17">
        <f>AR40</f>
        <v>26</v>
      </c>
      <c r="AH40">
        <f t="shared" si="6"/>
        <v>1</v>
      </c>
      <c r="AI40">
        <f t="shared" si="7"/>
        <v>3</v>
      </c>
      <c r="AJ40" s="10">
        <f>COUNTIF($B40:$AF40,3)</f>
        <v>6</v>
      </c>
      <c r="AK40" s="10">
        <f>COUNTIF($B40:$AF40,1)</f>
        <v>8</v>
      </c>
      <c r="AL40" s="10">
        <f>COUNTIF($B40:$AF40,2)</f>
        <v>5</v>
      </c>
      <c r="AM40" s="10">
        <f>COUNTIF($B40:$AF40,"DO")</f>
        <v>5</v>
      </c>
      <c r="AN40" s="10">
        <f>COUNTIF($B40:$AF40,"R")</f>
        <v>1</v>
      </c>
      <c r="AO40" s="10">
        <f t="shared" si="4"/>
        <v>1</v>
      </c>
      <c r="AP40" s="10">
        <f t="shared" si="5"/>
        <v>3</v>
      </c>
      <c r="AQ40" s="10">
        <f>SUM(AJ40:AN40)</f>
        <v>25</v>
      </c>
      <c r="AR40" s="10">
        <f>AP40+AO40+AN40+AL40+AK40+AJ40+((AH40+AI40)/2)</f>
        <v>26</v>
      </c>
    </row>
    <row r="41" spans="1:44">
      <c r="A41" s="151"/>
      <c r="B41" s="4"/>
      <c r="C41" s="12"/>
      <c r="D41" s="12"/>
      <c r="E41" s="12"/>
      <c r="F41" s="12"/>
      <c r="G41" s="4"/>
      <c r="H41" s="12"/>
      <c r="I41" s="12"/>
      <c r="J41" s="12"/>
      <c r="K41" s="12"/>
      <c r="L41" s="12"/>
      <c r="M41" s="4"/>
      <c r="N41" s="12"/>
      <c r="O41" s="12"/>
      <c r="P41" s="12"/>
      <c r="Q41" s="12"/>
      <c r="R41" s="33"/>
      <c r="S41" s="32"/>
      <c r="T41" s="33"/>
      <c r="U41" s="33"/>
      <c r="V41" s="33"/>
      <c r="W41" s="33"/>
      <c r="X41" s="12"/>
      <c r="Y41" s="4"/>
      <c r="Z41" s="12"/>
      <c r="AA41" s="12"/>
      <c r="AB41" s="12"/>
      <c r="AC41" s="14"/>
      <c r="AD41" s="12"/>
      <c r="AE41" s="34"/>
      <c r="AF41" s="12"/>
      <c r="AG41" s="17"/>
      <c r="AJ41" s="10"/>
      <c r="AK41" s="10"/>
      <c r="AL41" s="10"/>
      <c r="AM41" s="10"/>
      <c r="AN41" s="10"/>
      <c r="AO41" s="10"/>
      <c r="AP41" s="10"/>
      <c r="AQ41" s="10"/>
      <c r="AR41" s="10"/>
    </row>
    <row r="42" spans="1:44">
      <c r="A42" s="150" t="s">
        <v>15</v>
      </c>
      <c r="B42" s="29">
        <v>3</v>
      </c>
      <c r="C42" s="29">
        <v>1</v>
      </c>
      <c r="D42" s="29">
        <v>2</v>
      </c>
      <c r="E42" s="29">
        <v>3</v>
      </c>
      <c r="F42" s="36">
        <v>1</v>
      </c>
      <c r="G42" s="29">
        <v>3</v>
      </c>
      <c r="H42" s="41">
        <v>1</v>
      </c>
      <c r="I42" s="30">
        <v>3</v>
      </c>
      <c r="J42" s="29">
        <v>1</v>
      </c>
      <c r="K42" s="36">
        <v>3</v>
      </c>
      <c r="L42" s="29">
        <v>1</v>
      </c>
      <c r="M42" s="9" t="s">
        <v>10</v>
      </c>
      <c r="N42" s="30">
        <v>3</v>
      </c>
      <c r="O42" s="30">
        <v>1</v>
      </c>
      <c r="P42" s="30">
        <v>2</v>
      </c>
      <c r="Q42" s="29">
        <v>2</v>
      </c>
      <c r="R42" s="36">
        <v>5</v>
      </c>
      <c r="S42" s="29">
        <v>1</v>
      </c>
      <c r="T42" s="30" t="s">
        <v>11</v>
      </c>
      <c r="U42" s="29" t="s">
        <v>10</v>
      </c>
      <c r="V42" s="30">
        <v>3</v>
      </c>
      <c r="W42" s="29">
        <v>1</v>
      </c>
      <c r="X42" s="9">
        <v>3</v>
      </c>
      <c r="Y42" s="29">
        <v>1</v>
      </c>
      <c r="Z42" s="30">
        <v>3</v>
      </c>
      <c r="AA42" s="29">
        <v>1</v>
      </c>
      <c r="AB42" s="30">
        <v>2</v>
      </c>
      <c r="AC42" s="29">
        <v>3</v>
      </c>
      <c r="AD42" s="36">
        <v>4</v>
      </c>
      <c r="AE42" s="8"/>
      <c r="AF42" s="41"/>
      <c r="AG42" s="17">
        <f>AR42</f>
        <v>28</v>
      </c>
      <c r="AH42">
        <f t="shared" si="6"/>
        <v>1</v>
      </c>
      <c r="AI42">
        <f t="shared" si="7"/>
        <v>1</v>
      </c>
      <c r="AJ42" s="10">
        <f>COUNTIF($B42:$AF42,3)</f>
        <v>10</v>
      </c>
      <c r="AK42" s="10">
        <f>COUNTIF($B42:$AF42,1)</f>
        <v>10</v>
      </c>
      <c r="AL42" s="10">
        <f>COUNTIF($B42:$AF42,2)</f>
        <v>4</v>
      </c>
      <c r="AM42" s="10">
        <f>COUNTIF($B42:$AF42,"DO")</f>
        <v>2</v>
      </c>
      <c r="AN42" s="10">
        <f>COUNTIF($B42:$AF42,"R")</f>
        <v>1</v>
      </c>
      <c r="AO42" s="10">
        <f t="shared" si="4"/>
        <v>1</v>
      </c>
      <c r="AP42" s="10">
        <f t="shared" si="5"/>
        <v>1</v>
      </c>
      <c r="AQ42" s="10">
        <f>SUM(AJ42:AN42)</f>
        <v>27</v>
      </c>
      <c r="AR42" s="10">
        <f>AP42+AO42+AN42+AL42+AK42+AJ42+((AH42+AI42)/2)</f>
        <v>28</v>
      </c>
    </row>
    <row r="43" spans="1:44">
      <c r="A43" s="151"/>
      <c r="B43" s="4"/>
      <c r="C43" s="4"/>
      <c r="D43" s="4"/>
      <c r="E43" s="12"/>
      <c r="F43" s="12"/>
      <c r="G43" s="4"/>
      <c r="H43" s="33"/>
      <c r="I43" s="29"/>
      <c r="J43" s="12"/>
      <c r="K43" s="19"/>
      <c r="L43" s="12"/>
      <c r="M43" s="4"/>
      <c r="N43" s="12"/>
      <c r="O43" s="4"/>
      <c r="P43" s="12"/>
      <c r="Q43" s="12"/>
      <c r="R43" s="12"/>
      <c r="S43" s="4"/>
      <c r="T43" s="12"/>
      <c r="U43" s="4"/>
      <c r="V43" s="12"/>
      <c r="W43" s="12"/>
      <c r="X43" s="12"/>
      <c r="Y43" s="4"/>
      <c r="Z43" s="12"/>
      <c r="AA43" s="4"/>
      <c r="AB43" s="12"/>
      <c r="AC43" s="12"/>
      <c r="AD43" s="12"/>
      <c r="AE43" s="12"/>
      <c r="AF43" s="12"/>
      <c r="AG43" s="13"/>
      <c r="AR43" s="10"/>
    </row>
    <row r="44" spans="1:44">
      <c r="A44" s="150" t="s">
        <v>31</v>
      </c>
      <c r="B44" s="36">
        <v>5</v>
      </c>
      <c r="C44" s="29">
        <v>1</v>
      </c>
      <c r="D44" s="29" t="s">
        <v>10</v>
      </c>
      <c r="E44" s="29" t="s">
        <v>10</v>
      </c>
      <c r="F44" s="30">
        <v>3</v>
      </c>
      <c r="G44" s="8">
        <v>1</v>
      </c>
      <c r="H44" s="9">
        <v>2</v>
      </c>
      <c r="I44" s="29">
        <v>2</v>
      </c>
      <c r="J44" s="36">
        <v>5</v>
      </c>
      <c r="K44" s="8">
        <v>1</v>
      </c>
      <c r="L44" s="9">
        <v>3</v>
      </c>
      <c r="M44" s="29">
        <v>1</v>
      </c>
      <c r="N44" s="30">
        <v>3</v>
      </c>
      <c r="O44" s="36">
        <v>4</v>
      </c>
      <c r="P44" s="29">
        <v>3</v>
      </c>
      <c r="Q44" s="29">
        <v>1</v>
      </c>
      <c r="R44" s="29" t="s">
        <v>10</v>
      </c>
      <c r="S44" s="29" t="s">
        <v>10</v>
      </c>
      <c r="T44" s="30">
        <v>3</v>
      </c>
      <c r="U44" s="36">
        <v>4</v>
      </c>
      <c r="V44" s="9">
        <v>3</v>
      </c>
      <c r="W44" s="41">
        <v>1</v>
      </c>
      <c r="X44" s="30">
        <v>2</v>
      </c>
      <c r="Y44" s="36">
        <v>3</v>
      </c>
      <c r="Z44" s="36">
        <v>1</v>
      </c>
      <c r="AA44" s="8">
        <v>3</v>
      </c>
      <c r="AB44" s="9">
        <v>1</v>
      </c>
      <c r="AC44" s="8" t="s">
        <v>11</v>
      </c>
      <c r="AD44" s="9" t="s">
        <v>11</v>
      </c>
      <c r="AE44" s="29"/>
      <c r="AF44" s="9"/>
      <c r="AG44" s="17">
        <f>AR44</f>
        <v>27</v>
      </c>
      <c r="AH44">
        <f t="shared" si="6"/>
        <v>2</v>
      </c>
      <c r="AI44">
        <f t="shared" si="7"/>
        <v>2</v>
      </c>
      <c r="AJ44" s="10">
        <f>COUNTIF($B44:$AF44,3)</f>
        <v>8</v>
      </c>
      <c r="AK44" s="10">
        <f>COUNTIF($B44:$AF44,1)</f>
        <v>8</v>
      </c>
      <c r="AL44" s="10">
        <f>COUNTIF($B44:$AF44,2)</f>
        <v>3</v>
      </c>
      <c r="AM44" s="10">
        <f>COUNTIF($B44:$AF44,"DO")</f>
        <v>4</v>
      </c>
      <c r="AN44" s="10">
        <f>COUNTIF($B44:$AF44,"R")</f>
        <v>2</v>
      </c>
      <c r="AO44" s="10">
        <f t="shared" si="4"/>
        <v>2</v>
      </c>
      <c r="AP44" s="10">
        <f t="shared" si="5"/>
        <v>2</v>
      </c>
      <c r="AQ44" s="10">
        <f>SUM(AJ44:AN44)</f>
        <v>25</v>
      </c>
      <c r="AR44" s="10">
        <f>AP44+AO44+AN44+AL44+AK44+AJ44+((AH44+AI44)/2)</f>
        <v>27</v>
      </c>
    </row>
    <row r="45" spans="1:44">
      <c r="A45" s="151"/>
      <c r="B45" s="51"/>
      <c r="C45" s="4"/>
      <c r="D45" s="4"/>
      <c r="E45" s="12"/>
      <c r="F45" s="12"/>
      <c r="G45" s="4"/>
      <c r="H45" s="12"/>
      <c r="I45" s="18"/>
      <c r="J45" s="12"/>
      <c r="K45" s="19"/>
      <c r="L45" s="12"/>
      <c r="M45" s="4"/>
      <c r="N45" s="12"/>
      <c r="O45" s="4"/>
      <c r="P45" s="12"/>
      <c r="Q45" s="12"/>
      <c r="R45" s="12"/>
      <c r="S45" s="4"/>
      <c r="T45" s="12"/>
      <c r="U45" s="4"/>
      <c r="V45" s="12"/>
      <c r="W45" s="12"/>
      <c r="X45" s="12"/>
      <c r="Y45" s="4"/>
      <c r="Z45" s="12"/>
      <c r="AA45" s="4"/>
      <c r="AB45" s="12"/>
      <c r="AC45" s="12"/>
      <c r="AD45" s="12"/>
      <c r="AE45" s="12"/>
      <c r="AF45" s="12"/>
      <c r="AG45" s="13"/>
    </row>
    <row r="46" spans="1:44">
      <c r="A46" s="31"/>
      <c r="B46" s="21"/>
      <c r="C46" s="21"/>
      <c r="D46" s="21"/>
      <c r="E46" s="22"/>
      <c r="F46" s="22"/>
      <c r="G46" s="21"/>
      <c r="H46" s="21"/>
      <c r="L46" s="22"/>
      <c r="M46" s="21"/>
      <c r="N46" s="21"/>
      <c r="O46" s="21"/>
      <c r="P46" s="21"/>
      <c r="Q46" s="22"/>
      <c r="R46" s="22"/>
      <c r="S46" s="21"/>
      <c r="T46" s="21"/>
      <c r="U46" s="21"/>
      <c r="V46" s="21"/>
      <c r="W46" s="22"/>
      <c r="X46" s="22" t="s">
        <v>77</v>
      </c>
      <c r="Y46" s="21"/>
      <c r="Z46" s="21"/>
      <c r="AA46" s="21"/>
      <c r="AB46" s="21"/>
      <c r="AC46" s="22"/>
    </row>
    <row r="47" spans="1:44">
      <c r="A47" s="20" t="s">
        <v>18</v>
      </c>
      <c r="B47" s="21"/>
      <c r="C47" s="21"/>
      <c r="D47" s="4">
        <v>1</v>
      </c>
      <c r="E47" s="22" t="s">
        <v>17</v>
      </c>
      <c r="F47" s="144" t="s">
        <v>19</v>
      </c>
      <c r="G47" s="144"/>
      <c r="H47" s="21" t="s">
        <v>17</v>
      </c>
      <c r="I47" s="145" t="s">
        <v>20</v>
      </c>
      <c r="J47" s="145"/>
      <c r="K47" s="22"/>
      <c r="L47" s="22"/>
      <c r="M47" s="21" t="s">
        <v>11</v>
      </c>
      <c r="N47" s="21" t="s">
        <v>17</v>
      </c>
      <c r="O47" s="145" t="s">
        <v>20</v>
      </c>
      <c r="P47" s="145"/>
      <c r="Q47" s="22" t="s">
        <v>17</v>
      </c>
      <c r="R47" s="144" t="s">
        <v>21</v>
      </c>
      <c r="S47" s="144"/>
      <c r="T47" s="21"/>
      <c r="U47" s="21"/>
      <c r="V47" s="21"/>
      <c r="W47" s="22"/>
      <c r="AD47" s="22"/>
      <c r="AE47" s="22"/>
      <c r="AF47" s="22"/>
    </row>
    <row r="48" spans="1:44">
      <c r="A48" s="20"/>
      <c r="B48" s="21"/>
      <c r="C48" s="21"/>
      <c r="D48" s="4">
        <v>2</v>
      </c>
      <c r="E48" s="22" t="s">
        <v>17</v>
      </c>
      <c r="F48" s="144" t="s">
        <v>20</v>
      </c>
      <c r="G48" s="144"/>
      <c r="H48" s="21" t="s">
        <v>17</v>
      </c>
      <c r="I48" s="145" t="s">
        <v>22</v>
      </c>
      <c r="J48" s="145"/>
      <c r="K48" s="22"/>
      <c r="L48" s="22"/>
      <c r="M48" s="21" t="s">
        <v>10</v>
      </c>
      <c r="N48" s="21" t="s">
        <v>17</v>
      </c>
      <c r="O48" s="145" t="s">
        <v>23</v>
      </c>
      <c r="P48" s="145"/>
      <c r="Q48" s="22"/>
      <c r="R48" s="22"/>
      <c r="S48" s="21"/>
      <c r="T48" s="21"/>
      <c r="U48" s="21"/>
      <c r="V48" s="21"/>
      <c r="W48" s="22"/>
      <c r="X48" s="47"/>
      <c r="Y48" s="21"/>
      <c r="Z48" s="21"/>
      <c r="AA48" s="49"/>
      <c r="AB48" s="21"/>
      <c r="AC48" s="22"/>
      <c r="AD48" s="22"/>
      <c r="AE48" s="22"/>
      <c r="AF48" s="22"/>
    </row>
    <row r="49" spans="1:44">
      <c r="A49" s="20"/>
      <c r="B49" s="21"/>
      <c r="C49" s="21"/>
      <c r="D49" s="4">
        <v>3</v>
      </c>
      <c r="E49" s="22" t="s">
        <v>17</v>
      </c>
      <c r="F49" s="144" t="s">
        <v>22</v>
      </c>
      <c r="G49" s="144"/>
      <c r="H49" s="21" t="s">
        <v>17</v>
      </c>
      <c r="I49" s="145" t="s">
        <v>24</v>
      </c>
      <c r="J49" s="145"/>
      <c r="K49" s="22"/>
      <c r="L49" s="22"/>
      <c r="M49" s="7"/>
      <c r="N49" s="22"/>
      <c r="O49" s="23"/>
      <c r="P49" s="22"/>
      <c r="Q49" s="22"/>
      <c r="R49" s="22"/>
      <c r="S49" s="22"/>
      <c r="T49" s="21"/>
      <c r="U49" s="21"/>
      <c r="V49" s="21"/>
      <c r="W49" s="22"/>
      <c r="X49" s="48"/>
      <c r="Y49" s="21"/>
      <c r="Z49" s="21"/>
      <c r="AA49" s="49"/>
      <c r="AB49" s="21"/>
      <c r="AC49" s="22"/>
      <c r="AD49" s="22"/>
      <c r="AE49" s="22"/>
      <c r="AF49" s="22"/>
    </row>
    <row r="50" spans="1:44">
      <c r="A50" s="20"/>
      <c r="B50" s="21"/>
      <c r="C50" s="21"/>
      <c r="D50" s="36">
        <v>4</v>
      </c>
      <c r="E50" s="38" t="s">
        <v>17</v>
      </c>
      <c r="F50" s="144" t="s">
        <v>19</v>
      </c>
      <c r="G50" s="144"/>
      <c r="H50" s="37" t="s">
        <v>17</v>
      </c>
      <c r="I50" s="145" t="s">
        <v>32</v>
      </c>
      <c r="J50" s="145"/>
      <c r="K50" s="22"/>
      <c r="L50" s="22"/>
      <c r="M50" s="7"/>
      <c r="N50" s="22"/>
      <c r="O50" s="23"/>
      <c r="P50" s="22"/>
      <c r="Q50" s="22"/>
      <c r="R50" s="22"/>
      <c r="S50" s="22"/>
      <c r="T50" s="21"/>
      <c r="U50" s="21"/>
      <c r="V50" s="21"/>
      <c r="W50" s="22"/>
      <c r="X50" s="48"/>
      <c r="Y50" s="21"/>
      <c r="Z50" s="21"/>
      <c r="AA50" s="50"/>
      <c r="AB50" s="21"/>
      <c r="AC50" s="22"/>
      <c r="AD50" s="22"/>
      <c r="AE50" s="22"/>
      <c r="AF50" s="22"/>
    </row>
    <row r="51" spans="1:44">
      <c r="A51" s="20"/>
      <c r="B51" s="21"/>
      <c r="C51" s="21"/>
      <c r="D51" s="36">
        <v>5</v>
      </c>
      <c r="E51" s="38" t="s">
        <v>17</v>
      </c>
      <c r="F51" s="144" t="s">
        <v>32</v>
      </c>
      <c r="G51" s="144"/>
      <c r="H51" s="37" t="s">
        <v>17</v>
      </c>
      <c r="I51" s="155" t="s">
        <v>19</v>
      </c>
      <c r="J51" s="155"/>
      <c r="K51" s="22"/>
      <c r="L51" s="22"/>
      <c r="M51" s="7"/>
      <c r="N51" s="22"/>
      <c r="O51" s="23"/>
      <c r="P51" s="22"/>
      <c r="Q51" s="22"/>
      <c r="R51" s="22"/>
      <c r="S51" s="22"/>
      <c r="T51" s="21"/>
      <c r="U51" s="21"/>
      <c r="V51" s="21"/>
      <c r="W51" s="22"/>
      <c r="X51" s="47"/>
      <c r="Y51" s="21"/>
      <c r="Z51" s="21"/>
      <c r="AA51" s="49"/>
      <c r="AB51" s="21"/>
      <c r="AC51" s="22"/>
      <c r="AD51" s="22"/>
      <c r="AE51" s="22"/>
      <c r="AF51" s="22"/>
    </row>
    <row r="52" spans="1:44">
      <c r="A52" s="20"/>
      <c r="B52" s="21"/>
      <c r="C52" s="21"/>
      <c r="D52" s="55"/>
      <c r="E52" s="38"/>
      <c r="F52" s="22"/>
      <c r="G52" s="22"/>
      <c r="H52" s="37"/>
      <c r="I52" s="20"/>
      <c r="J52" s="20"/>
      <c r="K52" s="22"/>
      <c r="L52" s="22"/>
      <c r="M52" s="7"/>
      <c r="N52" s="22"/>
      <c r="O52" s="23"/>
      <c r="P52" s="22"/>
      <c r="Q52" s="22"/>
      <c r="R52" s="22"/>
      <c r="S52" s="22"/>
      <c r="T52" s="21"/>
      <c r="U52" s="21"/>
      <c r="V52" s="21"/>
      <c r="W52" s="22"/>
      <c r="X52" s="47"/>
      <c r="Y52" s="21"/>
      <c r="Z52" s="21"/>
      <c r="AA52" s="49"/>
      <c r="AB52" s="21"/>
      <c r="AC52" s="22"/>
      <c r="AD52" s="22"/>
      <c r="AE52" s="22"/>
      <c r="AF52" s="22"/>
    </row>
    <row r="53" spans="1:44">
      <c r="A53" s="20" t="s">
        <v>25</v>
      </c>
      <c r="B53" s="21"/>
      <c r="C53" s="21"/>
      <c r="D53" s="21"/>
      <c r="E53" s="22"/>
      <c r="F53" s="22"/>
      <c r="G53" s="22"/>
      <c r="H53" s="21"/>
      <c r="I53" s="20"/>
      <c r="J53" s="21"/>
      <c r="K53" s="21"/>
      <c r="L53" s="21" t="s">
        <v>26</v>
      </c>
      <c r="M53" s="22"/>
      <c r="N53" s="22"/>
      <c r="O53" s="22"/>
      <c r="P53" s="21"/>
      <c r="Q53" s="22"/>
      <c r="R53" s="22"/>
      <c r="S53" s="21"/>
      <c r="T53" s="24"/>
      <c r="U53" s="24"/>
      <c r="V53" s="24"/>
      <c r="W53" s="24"/>
      <c r="X53" s="24"/>
      <c r="Y53" s="21" t="s">
        <v>27</v>
      </c>
      <c r="Z53" s="21"/>
      <c r="AA53" s="21"/>
      <c r="AB53" s="21"/>
      <c r="AC53" s="22"/>
      <c r="AD53" s="22"/>
      <c r="AE53" s="22"/>
      <c r="AF53" s="22"/>
    </row>
    <row r="54" spans="1:44">
      <c r="L54" s="25"/>
      <c r="M54" s="25"/>
      <c r="N54" s="25"/>
      <c r="O54" s="25"/>
      <c r="P54" s="25"/>
      <c r="Q54" s="25"/>
      <c r="X54" s="25"/>
      <c r="Y54" s="25"/>
      <c r="Z54" s="25"/>
      <c r="AA54" s="25"/>
      <c r="AB54" s="25"/>
      <c r="AC54" s="25"/>
    </row>
    <row r="55" spans="1:44">
      <c r="B55" s="146" t="s">
        <v>78</v>
      </c>
      <c r="C55" s="146"/>
      <c r="D55" s="146"/>
      <c r="E55" s="146"/>
      <c r="F55" s="146"/>
      <c r="G55" s="146"/>
      <c r="H55" s="25"/>
      <c r="J55" s="25"/>
      <c r="N55" s="146" t="s">
        <v>28</v>
      </c>
      <c r="O55" s="146"/>
      <c r="P55" s="146"/>
      <c r="Q55" s="146"/>
      <c r="R55" s="146"/>
      <c r="S55" s="146"/>
      <c r="T55" s="146"/>
      <c r="U55" s="146"/>
      <c r="AA55" s="146" t="s">
        <v>35</v>
      </c>
      <c r="AB55" s="146"/>
      <c r="AC55" s="146"/>
      <c r="AD55" s="146"/>
      <c r="AE55" s="146"/>
      <c r="AF55" s="146"/>
    </row>
    <row r="56" spans="1:44">
      <c r="B56" s="147" t="s">
        <v>29</v>
      </c>
      <c r="C56" s="147"/>
      <c r="D56" s="147"/>
      <c r="E56" s="147"/>
      <c r="F56" s="147"/>
      <c r="G56" s="147"/>
      <c r="N56" s="147" t="s">
        <v>30</v>
      </c>
      <c r="O56" s="147"/>
      <c r="P56" s="147"/>
      <c r="Q56" s="147"/>
      <c r="R56" s="147"/>
      <c r="S56" s="147"/>
      <c r="T56" s="147"/>
      <c r="AA56" s="148" t="s">
        <v>47</v>
      </c>
      <c r="AB56" s="148"/>
      <c r="AC56" s="148"/>
      <c r="AD56" s="148"/>
      <c r="AE56" s="148"/>
      <c r="AF56" s="148"/>
    </row>
    <row r="57" spans="1:44">
      <c r="B57" s="54"/>
      <c r="C57" s="54"/>
      <c r="D57" s="54"/>
      <c r="E57" s="54"/>
      <c r="F57" s="54"/>
      <c r="G57" s="54"/>
      <c r="N57" s="54"/>
      <c r="O57" s="54"/>
      <c r="P57" s="54"/>
      <c r="Q57" s="54"/>
      <c r="R57" s="54"/>
      <c r="S57" s="54"/>
      <c r="T57" s="54"/>
      <c r="AA57" s="54"/>
      <c r="AB57" s="54"/>
      <c r="AC57" s="54"/>
      <c r="AD57" s="54"/>
      <c r="AE57" s="54"/>
      <c r="AF57" s="54"/>
    </row>
    <row r="58" spans="1:44" ht="18.75">
      <c r="A58" s="149" t="s">
        <v>0</v>
      </c>
      <c r="B58" s="149"/>
      <c r="C58" s="149"/>
      <c r="D58" s="149"/>
      <c r="E58" s="149"/>
      <c r="F58" s="149"/>
      <c r="G58" s="149"/>
      <c r="H58" s="149"/>
      <c r="I58" s="149"/>
      <c r="J58" s="149"/>
      <c r="K58" s="149"/>
      <c r="L58" s="149"/>
      <c r="M58" s="149"/>
      <c r="N58" s="149"/>
      <c r="O58" s="149"/>
      <c r="P58" s="149"/>
      <c r="Q58" s="149"/>
      <c r="R58" s="149"/>
      <c r="S58" s="149"/>
      <c r="T58" s="149"/>
      <c r="U58" s="149"/>
      <c r="V58" s="149"/>
      <c r="W58" s="149"/>
      <c r="X58" s="149"/>
      <c r="Y58" s="149"/>
      <c r="Z58" s="149"/>
      <c r="AA58" s="149"/>
      <c r="AB58" s="149"/>
      <c r="AC58" s="149"/>
      <c r="AD58" s="149"/>
      <c r="AE58" s="149"/>
      <c r="AF58" s="149"/>
      <c r="AG58" s="149"/>
    </row>
    <row r="59" spans="1:44" ht="18.75">
      <c r="A59" s="149" t="s">
        <v>40</v>
      </c>
      <c r="B59" s="149"/>
      <c r="C59" s="149"/>
      <c r="D59" s="149"/>
      <c r="E59" s="149"/>
      <c r="F59" s="149"/>
      <c r="G59" s="149"/>
      <c r="H59" s="149"/>
      <c r="I59" s="149"/>
      <c r="J59" s="149"/>
      <c r="K59" s="149"/>
      <c r="L59" s="149"/>
      <c r="M59" s="149"/>
      <c r="N59" s="149"/>
      <c r="O59" s="149"/>
      <c r="P59" s="149"/>
      <c r="Q59" s="149"/>
      <c r="R59" s="149"/>
      <c r="S59" s="149"/>
      <c r="T59" s="149"/>
      <c r="U59" s="149"/>
      <c r="V59" s="149"/>
      <c r="W59" s="149"/>
      <c r="X59" s="149"/>
      <c r="Y59" s="149"/>
      <c r="Z59" s="149"/>
      <c r="AA59" s="149"/>
      <c r="AB59" s="149"/>
      <c r="AC59" s="149"/>
      <c r="AD59" s="149"/>
      <c r="AE59" s="149"/>
      <c r="AF59" s="149"/>
      <c r="AG59" s="149"/>
    </row>
    <row r="60" spans="1:44">
      <c r="A60" s="1" t="s">
        <v>1</v>
      </c>
      <c r="B60" s="2" t="s">
        <v>3</v>
      </c>
      <c r="C60" s="2" t="s">
        <v>4</v>
      </c>
      <c r="D60" s="2" t="s">
        <v>5</v>
      </c>
      <c r="E60" s="2" t="s">
        <v>6</v>
      </c>
      <c r="F60" s="2" t="s">
        <v>7</v>
      </c>
      <c r="G60" s="2" t="s">
        <v>8</v>
      </c>
      <c r="H60" s="2" t="s">
        <v>2</v>
      </c>
      <c r="I60" s="2" t="s">
        <v>3</v>
      </c>
      <c r="J60" s="2" t="s">
        <v>4</v>
      </c>
      <c r="K60" s="2" t="s">
        <v>5</v>
      </c>
      <c r="L60" s="2" t="s">
        <v>6</v>
      </c>
      <c r="M60" s="2" t="s">
        <v>7</v>
      </c>
      <c r="N60" s="2" t="s">
        <v>8</v>
      </c>
      <c r="O60" s="2" t="s">
        <v>2</v>
      </c>
      <c r="P60" s="2" t="s">
        <v>3</v>
      </c>
      <c r="Q60" s="2" t="s">
        <v>4</v>
      </c>
      <c r="R60" s="2" t="s">
        <v>5</v>
      </c>
      <c r="S60" s="2" t="s">
        <v>6</v>
      </c>
      <c r="T60" s="2" t="s">
        <v>7</v>
      </c>
      <c r="U60" s="2" t="s">
        <v>8</v>
      </c>
      <c r="V60" s="2" t="s">
        <v>2</v>
      </c>
      <c r="W60" s="2" t="s">
        <v>3</v>
      </c>
      <c r="X60" s="2" t="s">
        <v>4</v>
      </c>
      <c r="Y60" s="2" t="s">
        <v>5</v>
      </c>
      <c r="Z60" s="2" t="s">
        <v>6</v>
      </c>
      <c r="AA60" s="2" t="s">
        <v>7</v>
      </c>
      <c r="AB60" s="2" t="s">
        <v>8</v>
      </c>
      <c r="AC60" s="2" t="s">
        <v>2</v>
      </c>
      <c r="AD60" s="2" t="s">
        <v>3</v>
      </c>
      <c r="AE60" s="2"/>
      <c r="AF60" s="2"/>
      <c r="AG60" s="26"/>
    </row>
    <row r="61" spans="1:44">
      <c r="A61" s="3" t="s">
        <v>9</v>
      </c>
      <c r="B61" s="15">
        <v>1</v>
      </c>
      <c r="C61" s="15">
        <v>2</v>
      </c>
      <c r="D61" s="6">
        <v>3</v>
      </c>
      <c r="E61" s="5">
        <v>4</v>
      </c>
      <c r="F61" s="16">
        <v>5</v>
      </c>
      <c r="G61" s="15">
        <v>6</v>
      </c>
      <c r="H61" s="15">
        <v>7</v>
      </c>
      <c r="I61" s="15">
        <v>8</v>
      </c>
      <c r="J61" s="15">
        <v>9</v>
      </c>
      <c r="K61" s="6">
        <v>10</v>
      </c>
      <c r="L61" s="6">
        <v>11</v>
      </c>
      <c r="M61" s="15">
        <v>12</v>
      </c>
      <c r="N61" s="15">
        <v>13</v>
      </c>
      <c r="O61" s="15">
        <v>14</v>
      </c>
      <c r="P61" s="15">
        <v>15</v>
      </c>
      <c r="Q61" s="15">
        <v>16</v>
      </c>
      <c r="R61" s="6">
        <v>17</v>
      </c>
      <c r="S61" s="6">
        <v>18</v>
      </c>
      <c r="T61" s="15">
        <v>19</v>
      </c>
      <c r="U61" s="15">
        <v>20</v>
      </c>
      <c r="V61" s="15">
        <v>21</v>
      </c>
      <c r="W61" s="15">
        <v>22</v>
      </c>
      <c r="X61" s="15">
        <v>23</v>
      </c>
      <c r="Y61" s="6">
        <v>24</v>
      </c>
      <c r="Z61" s="6">
        <v>25</v>
      </c>
      <c r="AA61" s="15">
        <v>26</v>
      </c>
      <c r="AB61" s="15">
        <v>27</v>
      </c>
      <c r="AC61" s="15">
        <v>28</v>
      </c>
      <c r="AD61" s="15">
        <v>29</v>
      </c>
      <c r="AE61" s="15"/>
      <c r="AF61" s="15"/>
      <c r="AG61" s="27">
        <v>24</v>
      </c>
    </row>
    <row r="62" spans="1:44">
      <c r="A62" s="150" t="s">
        <v>16</v>
      </c>
      <c r="B62" s="29" t="s">
        <v>11</v>
      </c>
      <c r="C62" s="29" t="s">
        <v>11</v>
      </c>
      <c r="D62" s="29">
        <v>2</v>
      </c>
      <c r="E62" s="29" t="s">
        <v>10</v>
      </c>
      <c r="F62" s="29" t="s">
        <v>11</v>
      </c>
      <c r="G62" s="29" t="s">
        <v>11</v>
      </c>
      <c r="H62" s="29" t="s">
        <v>11</v>
      </c>
      <c r="I62" s="29" t="s">
        <v>11</v>
      </c>
      <c r="J62" s="29" t="s">
        <v>11</v>
      </c>
      <c r="K62" s="29">
        <v>2</v>
      </c>
      <c r="L62" s="29" t="s">
        <v>10</v>
      </c>
      <c r="M62" s="29" t="s">
        <v>11</v>
      </c>
      <c r="N62" s="29" t="s">
        <v>11</v>
      </c>
      <c r="O62" s="29" t="s">
        <v>11</v>
      </c>
      <c r="P62" s="29" t="s">
        <v>11</v>
      </c>
      <c r="Q62" s="29" t="s">
        <v>11</v>
      </c>
      <c r="R62" s="29" t="s">
        <v>10</v>
      </c>
      <c r="S62" s="29">
        <v>2</v>
      </c>
      <c r="T62" s="29" t="s">
        <v>11</v>
      </c>
      <c r="U62" s="29" t="s">
        <v>11</v>
      </c>
      <c r="V62" s="29" t="s">
        <v>11</v>
      </c>
      <c r="W62" s="29" t="s">
        <v>11</v>
      </c>
      <c r="X62" s="29" t="s">
        <v>11</v>
      </c>
      <c r="Y62" s="29">
        <v>2</v>
      </c>
      <c r="Z62" s="29" t="s">
        <v>10</v>
      </c>
      <c r="AA62" s="29" t="s">
        <v>11</v>
      </c>
      <c r="AB62" s="29" t="s">
        <v>11</v>
      </c>
      <c r="AC62" s="29" t="s">
        <v>11</v>
      </c>
      <c r="AD62" s="29" t="s">
        <v>11</v>
      </c>
      <c r="AE62" s="8"/>
      <c r="AF62" s="8"/>
      <c r="AG62" s="17">
        <f>AR62</f>
        <v>25</v>
      </c>
      <c r="AH62">
        <f>COUNTIF($B62:$AF62,4)</f>
        <v>0</v>
      </c>
      <c r="AJ62" s="10">
        <f>COUNTIF($B62:$AF62,3)</f>
        <v>0</v>
      </c>
      <c r="AK62" s="10">
        <f>COUNTIF($B62:$AF62,1)</f>
        <v>0</v>
      </c>
      <c r="AL62" s="10">
        <f>COUNTIF($B62:$AF62,2)</f>
        <v>4</v>
      </c>
      <c r="AM62" s="10">
        <f>COUNTIF($B62:$AF62,"DO")</f>
        <v>4</v>
      </c>
      <c r="AN62" s="10">
        <f>COUNTIF($B62:$AF62,"R")</f>
        <v>21</v>
      </c>
      <c r="AO62" s="10">
        <f>COUNTIF($B62:$AF62,4)</f>
        <v>0</v>
      </c>
      <c r="AP62" s="10">
        <f>COUNTIF($B62:$AF62,5)</f>
        <v>0</v>
      </c>
      <c r="AQ62" s="10">
        <f>SUM(AJ62:AN62)</f>
        <v>29</v>
      </c>
      <c r="AR62" s="10">
        <f>AP62+AO62+AN62+AL62+AK62+AJ62+((AH62+AI62)/2)</f>
        <v>25</v>
      </c>
    </row>
    <row r="63" spans="1:44">
      <c r="A63" s="151"/>
      <c r="B63" s="11"/>
      <c r="C63" s="12"/>
      <c r="D63" s="12"/>
      <c r="E63" s="12"/>
      <c r="F63" s="11"/>
      <c r="G63" s="12"/>
      <c r="H63" s="12"/>
      <c r="I63" s="12"/>
      <c r="J63" s="11"/>
      <c r="K63" s="12"/>
      <c r="L63" s="12"/>
      <c r="M63" s="12"/>
      <c r="N63" s="11"/>
      <c r="O63" s="12"/>
      <c r="P63" s="12"/>
      <c r="Q63" s="12"/>
      <c r="R63" s="11"/>
      <c r="S63" s="12"/>
      <c r="T63" s="12"/>
      <c r="U63" s="12"/>
      <c r="V63" s="11"/>
      <c r="W63" s="12"/>
      <c r="X63" s="12"/>
      <c r="Y63" s="12"/>
      <c r="Z63" s="11"/>
      <c r="AA63" s="12"/>
      <c r="AB63" s="12"/>
      <c r="AC63" s="12"/>
      <c r="AD63" s="12"/>
      <c r="AE63" s="12"/>
      <c r="AF63" s="12"/>
      <c r="AG63" s="17"/>
      <c r="AJ63" s="10"/>
      <c r="AK63" s="10"/>
      <c r="AL63" s="10"/>
      <c r="AM63" s="10"/>
      <c r="AN63" s="10"/>
      <c r="AO63" s="10"/>
      <c r="AP63" s="10"/>
      <c r="AQ63" s="10"/>
      <c r="AR63" s="10"/>
    </row>
    <row r="64" spans="1:44">
      <c r="A64" s="150" t="s">
        <v>12</v>
      </c>
      <c r="B64" s="30">
        <v>1</v>
      </c>
      <c r="C64" s="29">
        <v>2</v>
      </c>
      <c r="D64" s="29" t="s">
        <v>10</v>
      </c>
      <c r="E64" s="29">
        <v>3</v>
      </c>
      <c r="F64" s="36">
        <v>1</v>
      </c>
      <c r="G64" s="8">
        <v>3</v>
      </c>
      <c r="H64" s="29">
        <v>1</v>
      </c>
      <c r="I64" s="41">
        <v>3</v>
      </c>
      <c r="J64" s="36">
        <v>4</v>
      </c>
      <c r="K64" s="29" t="s">
        <v>10</v>
      </c>
      <c r="L64" s="9">
        <v>2</v>
      </c>
      <c r="M64" s="29">
        <v>3</v>
      </c>
      <c r="N64" s="36">
        <v>1</v>
      </c>
      <c r="O64" s="29" t="s">
        <v>10</v>
      </c>
      <c r="P64" s="30">
        <v>3</v>
      </c>
      <c r="Q64" s="36">
        <v>4</v>
      </c>
      <c r="R64" s="36">
        <v>5</v>
      </c>
      <c r="S64" s="8">
        <v>1</v>
      </c>
      <c r="T64" s="36">
        <v>3</v>
      </c>
      <c r="U64" s="36">
        <v>4</v>
      </c>
      <c r="V64" s="9">
        <v>3</v>
      </c>
      <c r="W64" s="36">
        <v>4</v>
      </c>
      <c r="X64" s="9">
        <v>2</v>
      </c>
      <c r="Y64" s="29" t="s">
        <v>10</v>
      </c>
      <c r="Z64" s="9">
        <v>3</v>
      </c>
      <c r="AA64" s="36">
        <v>4</v>
      </c>
      <c r="AB64" s="36">
        <v>5</v>
      </c>
      <c r="AC64" s="8">
        <v>1</v>
      </c>
      <c r="AD64" s="9">
        <v>3</v>
      </c>
      <c r="AE64" s="8"/>
      <c r="AF64" s="29"/>
      <c r="AG64" s="17">
        <f>AR64</f>
        <v>28.5</v>
      </c>
      <c r="AH64">
        <f>COUNTIF($B64:$AF64,4)</f>
        <v>5</v>
      </c>
      <c r="AI64">
        <f>COUNTIF($B64:$AF64,5)</f>
        <v>2</v>
      </c>
      <c r="AJ64" s="10">
        <f>COUNTIF($B64:$AF64,3)</f>
        <v>9</v>
      </c>
      <c r="AK64" s="10">
        <f>COUNTIF($B64:$AF64,1)</f>
        <v>6</v>
      </c>
      <c r="AL64" s="10">
        <f>COUNTIF($B64:$AF64,2)</f>
        <v>3</v>
      </c>
      <c r="AM64" s="10">
        <f>COUNTIF($B64:$AF64,"DO")</f>
        <v>4</v>
      </c>
      <c r="AN64" s="10">
        <f>COUNTIF($B64:$AF64,"R")</f>
        <v>0</v>
      </c>
      <c r="AO64" s="10">
        <f t="shared" ref="AO64:AO72" si="8">COUNTIF($B64:$AF64,4)</f>
        <v>5</v>
      </c>
      <c r="AP64" s="10">
        <f t="shared" ref="AP64:AP72" si="9">COUNTIF($B64:$AF64,5)</f>
        <v>2</v>
      </c>
      <c r="AQ64" s="10">
        <f>SUM(AJ64:AN64)</f>
        <v>22</v>
      </c>
      <c r="AR64" s="10">
        <f>AP64+AO64+AN64+AL64+AK64+AJ64+((AH64+AI64)/2)</f>
        <v>28.5</v>
      </c>
    </row>
    <row r="65" spans="1:44">
      <c r="A65" s="151"/>
      <c r="B65" s="32"/>
      <c r="C65" s="33"/>
      <c r="D65" s="33"/>
      <c r="E65" s="12"/>
      <c r="F65" s="12"/>
      <c r="G65" s="12"/>
      <c r="H65" s="28"/>
      <c r="I65" s="12"/>
      <c r="J65" s="28"/>
      <c r="K65" s="12"/>
      <c r="L65" s="12"/>
      <c r="M65" s="12"/>
      <c r="N65" s="4"/>
      <c r="O65" s="12"/>
      <c r="P65" s="12"/>
      <c r="Q65" s="12"/>
      <c r="R65" s="12"/>
      <c r="S65" s="12"/>
      <c r="T65" s="4"/>
      <c r="U65" s="12"/>
      <c r="V65" s="12"/>
      <c r="W65" s="12"/>
      <c r="X65" s="12"/>
      <c r="Y65" s="12"/>
      <c r="Z65" s="4"/>
      <c r="AA65" s="12"/>
      <c r="AB65" s="12"/>
      <c r="AC65" s="12"/>
      <c r="AD65" s="34"/>
      <c r="AE65" s="12"/>
      <c r="AF65" s="12"/>
      <c r="AG65" s="17"/>
      <c r="AJ65" s="10"/>
      <c r="AK65" s="10"/>
      <c r="AL65" s="10"/>
      <c r="AM65" s="10"/>
      <c r="AN65" s="10"/>
      <c r="AO65" s="10"/>
      <c r="AP65" s="10"/>
      <c r="AQ65" s="10"/>
      <c r="AR65" s="10"/>
    </row>
    <row r="66" spans="1:44">
      <c r="A66" s="150" t="s">
        <v>13</v>
      </c>
      <c r="B66" s="29" t="s">
        <v>10</v>
      </c>
      <c r="C66" s="41" t="s">
        <v>10</v>
      </c>
      <c r="D66" s="36">
        <v>3</v>
      </c>
      <c r="E66" s="29">
        <v>1</v>
      </c>
      <c r="F66" s="9">
        <v>3</v>
      </c>
      <c r="G66" s="36">
        <v>4</v>
      </c>
      <c r="H66" s="8">
        <v>2</v>
      </c>
      <c r="I66" s="29">
        <v>3</v>
      </c>
      <c r="J66" s="41">
        <v>1</v>
      </c>
      <c r="K66" s="29">
        <v>3</v>
      </c>
      <c r="L66" s="9">
        <v>1</v>
      </c>
      <c r="M66" s="29">
        <v>2</v>
      </c>
      <c r="N66" s="29">
        <v>3</v>
      </c>
      <c r="O66" s="29">
        <v>1</v>
      </c>
      <c r="P66" s="41">
        <v>2</v>
      </c>
      <c r="Q66" s="36">
        <v>5</v>
      </c>
      <c r="R66" s="36">
        <v>1</v>
      </c>
      <c r="S66" s="8">
        <v>3</v>
      </c>
      <c r="T66" s="36">
        <v>4</v>
      </c>
      <c r="U66" s="36">
        <v>5</v>
      </c>
      <c r="V66" s="8">
        <v>1</v>
      </c>
      <c r="W66" s="8">
        <v>3</v>
      </c>
      <c r="X66" s="30">
        <v>1</v>
      </c>
      <c r="Y66" s="29">
        <v>3</v>
      </c>
      <c r="Z66" s="29">
        <v>1</v>
      </c>
      <c r="AA66" s="36">
        <v>5</v>
      </c>
      <c r="AB66" s="29">
        <v>1</v>
      </c>
      <c r="AC66" s="36">
        <v>5</v>
      </c>
      <c r="AD66" s="30">
        <v>1</v>
      </c>
      <c r="AE66" s="29"/>
      <c r="AF66" s="30"/>
      <c r="AG66" s="17">
        <f>AR66</f>
        <v>30</v>
      </c>
      <c r="AH66">
        <f t="shared" ref="AH66:AH72" si="10">COUNTIF($B66:$AF66,4)</f>
        <v>2</v>
      </c>
      <c r="AI66">
        <f t="shared" ref="AI66:AI72" si="11">COUNTIF($B66:$AF66,5)</f>
        <v>4</v>
      </c>
      <c r="AJ66" s="10">
        <f>COUNTIF($B66:$AF66,3)</f>
        <v>8</v>
      </c>
      <c r="AK66" s="10">
        <f>COUNTIF($B66:$AF66,1)</f>
        <v>10</v>
      </c>
      <c r="AL66" s="10">
        <f>COUNTIF($B66:$AF66,2)</f>
        <v>3</v>
      </c>
      <c r="AM66" s="10">
        <f>COUNTIF($B66:$AF66,"DO")</f>
        <v>2</v>
      </c>
      <c r="AN66" s="10">
        <f>COUNTIF($B66:$AF66,"R")</f>
        <v>0</v>
      </c>
      <c r="AO66" s="10">
        <f t="shared" si="8"/>
        <v>2</v>
      </c>
      <c r="AP66" s="10">
        <f t="shared" si="9"/>
        <v>4</v>
      </c>
      <c r="AQ66" s="10">
        <f>SUM(AJ66:AN66)</f>
        <v>23</v>
      </c>
      <c r="AR66" s="10">
        <f>AP66+AO66+AN66+AL66+AK66+AJ66+((AH66+AI66)/2)</f>
        <v>30</v>
      </c>
    </row>
    <row r="67" spans="1:44">
      <c r="A67" s="151"/>
      <c r="B67" s="4"/>
      <c r="C67" s="35"/>
      <c r="D67" s="12"/>
      <c r="E67" s="12"/>
      <c r="F67" s="12"/>
      <c r="G67" s="12"/>
      <c r="H67" s="12"/>
      <c r="I67" s="12"/>
      <c r="J67" s="12"/>
      <c r="K67" s="12"/>
      <c r="L67" s="12"/>
      <c r="M67" s="12"/>
      <c r="N67" s="12"/>
      <c r="O67" s="12"/>
      <c r="P67" s="12"/>
      <c r="Q67" s="12"/>
      <c r="R67" s="12"/>
      <c r="S67" s="12"/>
      <c r="T67" s="12"/>
      <c r="U67" s="12"/>
      <c r="V67" s="12"/>
      <c r="W67" s="12"/>
      <c r="X67" s="33"/>
      <c r="Y67" s="33"/>
      <c r="Z67" s="33"/>
      <c r="AA67" s="33"/>
      <c r="AB67" s="33"/>
      <c r="AC67" s="33"/>
      <c r="AD67" s="42"/>
      <c r="AE67" s="33"/>
      <c r="AF67" s="43"/>
      <c r="AG67" s="17"/>
      <c r="AJ67" s="10"/>
      <c r="AK67" s="10"/>
      <c r="AL67" s="10"/>
      <c r="AM67" s="10"/>
      <c r="AN67" s="10"/>
      <c r="AO67" s="10"/>
      <c r="AP67" s="10"/>
      <c r="AQ67" s="10"/>
      <c r="AR67" s="10"/>
    </row>
    <row r="68" spans="1:44">
      <c r="A68" s="150" t="s">
        <v>14</v>
      </c>
      <c r="B68" s="36">
        <v>4</v>
      </c>
      <c r="C68" s="12">
        <v>3</v>
      </c>
      <c r="D68" s="36">
        <v>1</v>
      </c>
      <c r="E68" s="33">
        <v>2</v>
      </c>
      <c r="F68" s="36">
        <v>2</v>
      </c>
      <c r="G68" s="36">
        <v>5</v>
      </c>
      <c r="H68" s="12">
        <v>1</v>
      </c>
      <c r="I68" s="41">
        <v>2</v>
      </c>
      <c r="J68" s="29" t="s">
        <v>11</v>
      </c>
      <c r="K68" s="29" t="s">
        <v>10</v>
      </c>
      <c r="L68" s="30" t="s">
        <v>10</v>
      </c>
      <c r="M68" s="29">
        <v>3</v>
      </c>
      <c r="N68" s="29">
        <v>1</v>
      </c>
      <c r="O68" s="36">
        <v>3</v>
      </c>
      <c r="P68" s="29">
        <v>1</v>
      </c>
      <c r="Q68" s="8">
        <v>3</v>
      </c>
      <c r="R68" s="36">
        <v>4</v>
      </c>
      <c r="S68" s="8">
        <v>3</v>
      </c>
      <c r="T68" s="36">
        <v>1</v>
      </c>
      <c r="U68" s="29">
        <v>3</v>
      </c>
      <c r="V68" s="36">
        <v>4</v>
      </c>
      <c r="W68" s="29">
        <v>3</v>
      </c>
      <c r="X68" s="30">
        <v>1</v>
      </c>
      <c r="Y68" s="29">
        <v>3</v>
      </c>
      <c r="Z68" s="29">
        <v>1</v>
      </c>
      <c r="AA68" s="29">
        <v>3</v>
      </c>
      <c r="AB68" s="36">
        <v>4</v>
      </c>
      <c r="AC68" s="29">
        <v>3</v>
      </c>
      <c r="AD68" s="36">
        <v>4</v>
      </c>
      <c r="AE68" s="41"/>
      <c r="AF68" s="30"/>
      <c r="AG68" s="17">
        <f>AR68</f>
        <v>30</v>
      </c>
      <c r="AH68">
        <f t="shared" si="10"/>
        <v>5</v>
      </c>
      <c r="AI68">
        <f t="shared" si="11"/>
        <v>1</v>
      </c>
      <c r="AJ68" s="10">
        <f>COUNTIF($B68:$AF68,3)</f>
        <v>10</v>
      </c>
      <c r="AK68" s="10">
        <f>COUNTIF($B68:$AF68,1)</f>
        <v>7</v>
      </c>
      <c r="AL68" s="10">
        <f>COUNTIF($B68:$AF68,2)</f>
        <v>3</v>
      </c>
      <c r="AM68" s="10">
        <f>COUNTIF($B68:$AF68,"DO")</f>
        <v>2</v>
      </c>
      <c r="AN68" s="10">
        <f>COUNTIF($B68:$AF68,"R")</f>
        <v>1</v>
      </c>
      <c r="AO68" s="10">
        <f t="shared" si="8"/>
        <v>5</v>
      </c>
      <c r="AP68" s="10">
        <f t="shared" si="9"/>
        <v>1</v>
      </c>
      <c r="AQ68" s="10">
        <f>SUM(AJ68:AN68)</f>
        <v>23</v>
      </c>
      <c r="AR68" s="10">
        <f>AP68+AO68+AN68+AL68+AK68+AJ68+((AH68+AI68)/2)</f>
        <v>30</v>
      </c>
    </row>
    <row r="69" spans="1:44">
      <c r="A69" s="151"/>
      <c r="B69" s="4"/>
      <c r="C69" s="12"/>
      <c r="D69" s="12"/>
      <c r="E69" s="12"/>
      <c r="F69" s="12"/>
      <c r="G69" s="4"/>
      <c r="H69" s="12"/>
      <c r="I69" s="12"/>
      <c r="J69" s="12"/>
      <c r="K69" s="12"/>
      <c r="L69" s="12"/>
      <c r="M69" s="4"/>
      <c r="N69" s="12"/>
      <c r="O69" s="12"/>
      <c r="P69" s="12"/>
      <c r="Q69" s="12"/>
      <c r="R69" s="33"/>
      <c r="S69" s="32"/>
      <c r="T69" s="33"/>
      <c r="U69" s="33"/>
      <c r="V69" s="33"/>
      <c r="W69" s="33"/>
      <c r="X69" s="12"/>
      <c r="Y69" s="4"/>
      <c r="Z69" s="12"/>
      <c r="AA69" s="12"/>
      <c r="AB69" s="12"/>
      <c r="AC69" s="14"/>
      <c r="AD69" s="12"/>
      <c r="AE69" s="34"/>
      <c r="AF69" s="12"/>
      <c r="AG69" s="17"/>
      <c r="AJ69" s="10"/>
      <c r="AK69" s="10"/>
      <c r="AL69" s="10"/>
      <c r="AM69" s="10"/>
      <c r="AN69" s="10"/>
      <c r="AO69" s="10"/>
      <c r="AP69" s="10"/>
      <c r="AQ69" s="10"/>
      <c r="AR69" s="10"/>
    </row>
    <row r="70" spans="1:44">
      <c r="A70" s="150" t="s">
        <v>15</v>
      </c>
      <c r="B70" s="29"/>
      <c r="C70" s="29"/>
      <c r="D70" s="29"/>
      <c r="E70" s="29"/>
      <c r="F70" s="36"/>
      <c r="G70" s="29"/>
      <c r="H70" s="41"/>
      <c r="I70" s="30"/>
      <c r="J70" s="156" t="s">
        <v>43</v>
      </c>
      <c r="K70" s="157"/>
      <c r="L70" s="157"/>
      <c r="M70" s="157"/>
      <c r="N70" s="157"/>
      <c r="O70" s="157"/>
      <c r="P70" s="157"/>
      <c r="Q70" s="157"/>
      <c r="R70" s="157"/>
      <c r="S70" s="157"/>
      <c r="T70" s="157"/>
      <c r="U70" s="157"/>
      <c r="V70" s="157"/>
      <c r="W70" s="158"/>
      <c r="X70" s="9"/>
      <c r="Y70" s="29"/>
      <c r="Z70" s="30"/>
      <c r="AA70" s="29"/>
      <c r="AB70" s="30"/>
      <c r="AC70" s="29"/>
      <c r="AD70" s="29"/>
      <c r="AE70" s="8"/>
      <c r="AF70" s="41"/>
      <c r="AG70" s="17">
        <f>AR70</f>
        <v>0</v>
      </c>
      <c r="AH70">
        <f t="shared" si="10"/>
        <v>0</v>
      </c>
      <c r="AI70">
        <f t="shared" si="11"/>
        <v>0</v>
      </c>
      <c r="AJ70" s="10">
        <f>COUNTIF($B70:$AF70,3)</f>
        <v>0</v>
      </c>
      <c r="AK70" s="10">
        <f>COUNTIF($B70:$AF70,1)</f>
        <v>0</v>
      </c>
      <c r="AL70" s="10">
        <f>COUNTIF($B70:$AF70,2)</f>
        <v>0</v>
      </c>
      <c r="AM70" s="10">
        <f>COUNTIF($B70:$AF70,"DO")</f>
        <v>0</v>
      </c>
      <c r="AN70" s="10">
        <f>COUNTIF($B70:$AF70,"R")</f>
        <v>0</v>
      </c>
      <c r="AO70" s="10">
        <f t="shared" si="8"/>
        <v>0</v>
      </c>
      <c r="AP70" s="10">
        <f t="shared" si="9"/>
        <v>0</v>
      </c>
      <c r="AQ70" s="10">
        <f>SUM(AJ70:AN70)</f>
        <v>0</v>
      </c>
      <c r="AR70" s="10">
        <f>AP70+AO70+AN70+AL70+AK70+AJ70+((AH70+AI70)/2)</f>
        <v>0</v>
      </c>
    </row>
    <row r="71" spans="1:44">
      <c r="A71" s="151"/>
      <c r="B71" s="4"/>
      <c r="C71" s="4"/>
      <c r="D71" s="4"/>
      <c r="E71" s="12"/>
      <c r="F71" s="12"/>
      <c r="G71" s="4"/>
      <c r="H71" s="33"/>
      <c r="I71" s="29"/>
      <c r="J71" s="159"/>
      <c r="K71" s="160"/>
      <c r="L71" s="160"/>
      <c r="M71" s="160"/>
      <c r="N71" s="160"/>
      <c r="O71" s="160"/>
      <c r="P71" s="160"/>
      <c r="Q71" s="160"/>
      <c r="R71" s="160"/>
      <c r="S71" s="160"/>
      <c r="T71" s="160"/>
      <c r="U71" s="160"/>
      <c r="V71" s="160"/>
      <c r="W71" s="161"/>
      <c r="X71" s="12"/>
      <c r="Y71" s="4"/>
      <c r="Z71" s="12"/>
      <c r="AA71" s="4"/>
      <c r="AB71" s="12"/>
      <c r="AC71" s="12"/>
      <c r="AD71" s="12"/>
      <c r="AE71" s="12"/>
      <c r="AF71" s="12"/>
      <c r="AG71" s="13"/>
      <c r="AR71" s="10"/>
    </row>
    <row r="72" spans="1:44">
      <c r="A72" s="150" t="s">
        <v>31</v>
      </c>
      <c r="B72" s="36">
        <v>5</v>
      </c>
      <c r="C72" s="29">
        <v>1</v>
      </c>
      <c r="D72" s="29" t="s">
        <v>10</v>
      </c>
      <c r="E72" s="29" t="s">
        <v>10</v>
      </c>
      <c r="F72" s="30">
        <v>3</v>
      </c>
      <c r="G72" s="8">
        <v>1</v>
      </c>
      <c r="H72" s="9">
        <v>3</v>
      </c>
      <c r="I72" s="29">
        <v>1</v>
      </c>
      <c r="J72" s="36">
        <v>5</v>
      </c>
      <c r="K72" s="8">
        <v>1</v>
      </c>
      <c r="L72" s="9">
        <v>3</v>
      </c>
      <c r="M72" s="29">
        <v>1</v>
      </c>
      <c r="N72" s="36">
        <v>2</v>
      </c>
      <c r="O72" s="36">
        <v>2</v>
      </c>
      <c r="P72" s="29">
        <v>3</v>
      </c>
      <c r="Q72" s="29">
        <v>1</v>
      </c>
      <c r="R72" s="29" t="s">
        <v>10</v>
      </c>
      <c r="S72" s="29" t="s">
        <v>10</v>
      </c>
      <c r="T72" s="36">
        <v>5</v>
      </c>
      <c r="U72" s="36">
        <v>1</v>
      </c>
      <c r="V72" s="36">
        <v>5</v>
      </c>
      <c r="W72" s="41">
        <v>1</v>
      </c>
      <c r="X72" s="30">
        <v>3</v>
      </c>
      <c r="Y72" s="8">
        <v>1</v>
      </c>
      <c r="Z72" s="36">
        <v>5</v>
      </c>
      <c r="AA72" s="8">
        <v>1</v>
      </c>
      <c r="AB72" s="9">
        <v>3</v>
      </c>
      <c r="AC72" s="36">
        <v>4</v>
      </c>
      <c r="AD72" s="9">
        <v>3</v>
      </c>
      <c r="AE72" s="29"/>
      <c r="AF72" s="9"/>
      <c r="AG72" s="17">
        <f>AR72</f>
        <v>28</v>
      </c>
      <c r="AH72">
        <f t="shared" si="10"/>
        <v>1</v>
      </c>
      <c r="AI72">
        <f t="shared" si="11"/>
        <v>5</v>
      </c>
      <c r="AJ72" s="10">
        <f>COUNTIF($B72:$AF72,3)</f>
        <v>7</v>
      </c>
      <c r="AK72" s="10">
        <f>COUNTIF($B72:$AF72,1)</f>
        <v>10</v>
      </c>
      <c r="AL72" s="10">
        <f>COUNTIF($B72:$AF72,2)</f>
        <v>2</v>
      </c>
      <c r="AM72" s="10">
        <f>COUNTIF($B72:$AF72,"DO")</f>
        <v>4</v>
      </c>
      <c r="AN72" s="10">
        <f>COUNTIF($B72:$AF72,"R")</f>
        <v>0</v>
      </c>
      <c r="AO72" s="10">
        <f t="shared" si="8"/>
        <v>1</v>
      </c>
      <c r="AP72" s="10">
        <f t="shared" si="9"/>
        <v>5</v>
      </c>
      <c r="AQ72" s="10">
        <f>SUM(AJ72:AN72)</f>
        <v>23</v>
      </c>
      <c r="AR72" s="10">
        <f>AP72+AO72+AN72+AL72+AK72+AJ72+((AH72+AI72)/2)</f>
        <v>28</v>
      </c>
    </row>
    <row r="73" spans="1:44">
      <c r="A73" s="151"/>
      <c r="B73" s="51"/>
      <c r="C73" s="4"/>
      <c r="D73" s="4"/>
      <c r="E73" s="12"/>
      <c r="F73" s="12"/>
      <c r="G73" s="4"/>
      <c r="H73" s="12"/>
      <c r="I73" s="18"/>
      <c r="J73" s="12"/>
      <c r="K73" s="19"/>
      <c r="L73" s="12"/>
      <c r="M73" s="4"/>
      <c r="N73" s="12"/>
      <c r="O73" s="4"/>
      <c r="P73" s="12"/>
      <c r="Q73" s="12"/>
      <c r="R73" s="12"/>
      <c r="S73" s="4" t="s">
        <v>42</v>
      </c>
      <c r="T73" s="12"/>
      <c r="U73" s="4"/>
      <c r="V73" s="12"/>
      <c r="W73" s="12"/>
      <c r="X73" s="12"/>
      <c r="Y73" s="4"/>
      <c r="Z73" s="12"/>
      <c r="AA73" s="4"/>
      <c r="AB73" s="12"/>
      <c r="AC73" s="12"/>
      <c r="AD73" s="12"/>
      <c r="AE73" s="12"/>
      <c r="AF73" s="12"/>
      <c r="AG73" s="13"/>
    </row>
    <row r="74" spans="1:44">
      <c r="A74" s="31"/>
      <c r="B74" s="21"/>
      <c r="C74" s="21"/>
      <c r="D74" s="21"/>
      <c r="E74" s="22"/>
      <c r="F74" s="22"/>
      <c r="G74" s="21"/>
      <c r="H74" s="21"/>
      <c r="L74" s="22"/>
      <c r="M74" s="21"/>
      <c r="N74" s="21"/>
      <c r="O74" s="21"/>
      <c r="P74" s="21"/>
      <c r="Q74" s="22"/>
      <c r="R74" s="22"/>
      <c r="S74" s="21"/>
      <c r="T74" s="21"/>
      <c r="U74" s="21"/>
      <c r="V74" s="21"/>
      <c r="W74" s="22"/>
      <c r="X74" s="22"/>
      <c r="Y74" s="21"/>
      <c r="Z74" s="21"/>
      <c r="AA74" s="21"/>
      <c r="AB74" s="21"/>
      <c r="AC74" s="22"/>
    </row>
    <row r="75" spans="1:44">
      <c r="A75" s="20" t="s">
        <v>18</v>
      </c>
      <c r="B75" s="21"/>
      <c r="C75" s="21"/>
      <c r="D75" s="4">
        <v>1</v>
      </c>
      <c r="E75" s="22" t="s">
        <v>17</v>
      </c>
      <c r="F75" s="144" t="s">
        <v>19</v>
      </c>
      <c r="G75" s="144"/>
      <c r="H75" s="21" t="s">
        <v>17</v>
      </c>
      <c r="I75" s="145" t="s">
        <v>20</v>
      </c>
      <c r="J75" s="145"/>
      <c r="K75" s="22"/>
      <c r="L75" s="22"/>
      <c r="M75" s="21" t="s">
        <v>11</v>
      </c>
      <c r="N75" s="21" t="s">
        <v>17</v>
      </c>
      <c r="O75" s="145" t="s">
        <v>20</v>
      </c>
      <c r="P75" s="145"/>
      <c r="Q75" s="22" t="s">
        <v>17</v>
      </c>
      <c r="R75" s="144" t="s">
        <v>21</v>
      </c>
      <c r="S75" s="144"/>
      <c r="T75" s="21"/>
      <c r="U75" s="21"/>
      <c r="V75" s="21"/>
      <c r="W75" s="22"/>
      <c r="AD75" s="22"/>
      <c r="AE75" s="22"/>
      <c r="AF75" s="22"/>
    </row>
    <row r="76" spans="1:44">
      <c r="A76" s="20"/>
      <c r="B76" s="21"/>
      <c r="C76" s="21"/>
      <c r="D76" s="4">
        <v>2</v>
      </c>
      <c r="E76" s="22" t="s">
        <v>17</v>
      </c>
      <c r="F76" s="144" t="s">
        <v>20</v>
      </c>
      <c r="G76" s="144"/>
      <c r="H76" s="21" t="s">
        <v>17</v>
      </c>
      <c r="I76" s="145" t="s">
        <v>22</v>
      </c>
      <c r="J76" s="145"/>
      <c r="K76" s="22"/>
      <c r="L76" s="22"/>
      <c r="M76" s="21" t="s">
        <v>10</v>
      </c>
      <c r="N76" s="21" t="s">
        <v>17</v>
      </c>
      <c r="O76" s="145" t="s">
        <v>23</v>
      </c>
      <c r="P76" s="145"/>
      <c r="Q76" s="22"/>
      <c r="R76" s="22"/>
      <c r="S76" s="21"/>
      <c r="T76" s="21"/>
      <c r="U76" s="21"/>
      <c r="V76" s="21"/>
      <c r="W76" s="22"/>
      <c r="X76" s="47"/>
      <c r="Y76" s="21"/>
      <c r="Z76" s="21"/>
      <c r="AA76" s="49"/>
      <c r="AB76" s="21"/>
      <c r="AC76" s="22"/>
      <c r="AD76" s="22"/>
      <c r="AE76" s="22"/>
      <c r="AF76" s="22"/>
    </row>
    <row r="77" spans="1:44">
      <c r="A77" s="20"/>
      <c r="B77" s="21"/>
      <c r="C77" s="21"/>
      <c r="D77" s="4">
        <v>3</v>
      </c>
      <c r="E77" s="22" t="s">
        <v>17</v>
      </c>
      <c r="F77" s="144" t="s">
        <v>22</v>
      </c>
      <c r="G77" s="144"/>
      <c r="H77" s="21" t="s">
        <v>17</v>
      </c>
      <c r="I77" s="145" t="s">
        <v>24</v>
      </c>
      <c r="J77" s="145"/>
      <c r="K77" s="22"/>
      <c r="L77" s="22"/>
      <c r="M77" s="7"/>
      <c r="N77" s="22"/>
      <c r="O77" s="23"/>
      <c r="P77" s="22"/>
      <c r="Q77" s="22"/>
      <c r="R77" s="22"/>
      <c r="S77" s="22"/>
      <c r="T77" s="21"/>
      <c r="U77" s="21"/>
      <c r="V77" s="21"/>
      <c r="W77" s="22"/>
      <c r="X77" s="48"/>
      <c r="Y77" s="21"/>
      <c r="Z77" s="21"/>
      <c r="AA77" s="49"/>
      <c r="AB77" s="21"/>
      <c r="AC77" s="22"/>
      <c r="AD77" s="22"/>
      <c r="AE77" s="22"/>
      <c r="AF77" s="22"/>
    </row>
    <row r="78" spans="1:44">
      <c r="A78" s="20"/>
      <c r="B78" s="21"/>
      <c r="C78" s="21"/>
      <c r="D78" s="36">
        <v>4</v>
      </c>
      <c r="E78" s="38" t="s">
        <v>17</v>
      </c>
      <c r="F78" s="144" t="s">
        <v>19</v>
      </c>
      <c r="G78" s="144"/>
      <c r="H78" s="37" t="s">
        <v>17</v>
      </c>
      <c r="I78" s="145" t="s">
        <v>32</v>
      </c>
      <c r="J78" s="145"/>
      <c r="K78" s="22"/>
      <c r="L78" s="22"/>
      <c r="M78" s="7"/>
      <c r="N78" s="22"/>
      <c r="O78" s="23"/>
      <c r="P78" s="22"/>
      <c r="Q78" s="22"/>
      <c r="R78" s="22"/>
      <c r="S78" s="22"/>
      <c r="T78" s="21"/>
      <c r="U78" s="21"/>
      <c r="V78" s="21"/>
      <c r="W78" s="22"/>
      <c r="X78" s="48"/>
      <c r="Y78" s="21"/>
      <c r="Z78" s="21"/>
      <c r="AA78" s="50"/>
      <c r="AB78" s="21"/>
      <c r="AC78" s="22"/>
      <c r="AD78" s="22"/>
      <c r="AE78" s="22"/>
      <c r="AF78" s="22"/>
    </row>
    <row r="79" spans="1:44">
      <c r="A79" s="20"/>
      <c r="B79" s="21"/>
      <c r="C79" s="21"/>
      <c r="D79" s="36">
        <v>5</v>
      </c>
      <c r="E79" s="38" t="s">
        <v>17</v>
      </c>
      <c r="F79" s="144" t="s">
        <v>32</v>
      </c>
      <c r="G79" s="144"/>
      <c r="H79" s="37" t="s">
        <v>17</v>
      </c>
      <c r="I79" s="155" t="s">
        <v>19</v>
      </c>
      <c r="J79" s="155"/>
      <c r="K79" s="22"/>
      <c r="L79" s="22"/>
      <c r="M79" s="7"/>
      <c r="N79" s="22"/>
      <c r="O79" s="23"/>
      <c r="P79" s="22"/>
      <c r="Q79" s="22"/>
      <c r="R79" s="22"/>
      <c r="S79" s="22"/>
      <c r="T79" s="21"/>
      <c r="U79" s="21"/>
      <c r="V79" s="21"/>
      <c r="W79" s="22"/>
      <c r="X79" s="47"/>
      <c r="Y79" s="21"/>
      <c r="Z79" s="21"/>
      <c r="AA79" s="49"/>
      <c r="AB79" s="21"/>
      <c r="AC79" s="22"/>
      <c r="AD79" s="22"/>
      <c r="AE79" s="22"/>
      <c r="AF79" s="22"/>
    </row>
    <row r="80" spans="1:44">
      <c r="A80" s="20"/>
      <c r="B80" s="21"/>
      <c r="C80" s="21"/>
      <c r="D80" s="55"/>
      <c r="E80" s="38"/>
      <c r="F80" s="22"/>
      <c r="G80" s="22"/>
      <c r="H80" s="37"/>
      <c r="I80" s="20"/>
      <c r="J80" s="20"/>
      <c r="K80" s="22"/>
      <c r="L80" s="22"/>
      <c r="M80" s="7"/>
      <c r="N80" s="22"/>
      <c r="O80" s="23"/>
      <c r="P80" s="22"/>
      <c r="Q80" s="22"/>
      <c r="R80" s="22"/>
      <c r="S80" s="22"/>
      <c r="T80" s="21"/>
      <c r="U80" s="21"/>
      <c r="V80" s="21"/>
      <c r="W80" s="22"/>
      <c r="X80" s="47"/>
      <c r="Y80" s="21"/>
      <c r="Z80" s="21"/>
      <c r="AA80" s="49"/>
      <c r="AB80" s="21"/>
      <c r="AC80" s="22"/>
      <c r="AD80" s="22"/>
      <c r="AE80" s="22"/>
      <c r="AF80" s="22"/>
    </row>
    <row r="81" spans="1:45">
      <c r="A81" s="20"/>
      <c r="B81" s="21"/>
      <c r="C81" s="21"/>
      <c r="D81" s="21"/>
      <c r="E81" s="22"/>
      <c r="F81" s="22"/>
      <c r="G81" s="22"/>
      <c r="H81" s="21"/>
      <c r="I81" s="21"/>
      <c r="J81" s="21"/>
      <c r="K81" s="22"/>
      <c r="L81" s="22"/>
      <c r="M81" s="21"/>
      <c r="N81" s="21"/>
      <c r="O81" s="21"/>
      <c r="P81" s="21"/>
      <c r="Q81" s="22"/>
      <c r="R81" s="22"/>
      <c r="S81" s="21"/>
      <c r="T81" s="21"/>
      <c r="U81" s="21"/>
      <c r="V81" s="21"/>
      <c r="W81" s="22"/>
      <c r="X81" s="47"/>
      <c r="Y81" s="21"/>
      <c r="Z81" s="21"/>
      <c r="AA81" s="50"/>
      <c r="AB81" s="21"/>
      <c r="AC81" s="22"/>
      <c r="AD81" s="22"/>
      <c r="AE81" s="22"/>
      <c r="AF81" s="22"/>
    </row>
    <row r="82" spans="1:45">
      <c r="A82" s="20" t="s">
        <v>25</v>
      </c>
      <c r="B82" s="21"/>
      <c r="C82" s="21"/>
      <c r="D82" s="21"/>
      <c r="E82" s="22"/>
      <c r="F82" s="22"/>
      <c r="G82" s="22"/>
      <c r="H82" s="21"/>
      <c r="I82" s="20"/>
      <c r="J82" s="21"/>
      <c r="K82" s="21"/>
      <c r="L82" s="21" t="s">
        <v>26</v>
      </c>
      <c r="M82" s="22"/>
      <c r="N82" s="22"/>
      <c r="O82" s="22"/>
      <c r="P82" s="21"/>
      <c r="Q82" s="22"/>
      <c r="R82" s="22"/>
      <c r="S82" s="21"/>
      <c r="T82" s="24"/>
      <c r="U82" s="24"/>
      <c r="V82" s="24"/>
      <c r="W82" s="24"/>
      <c r="X82" s="24"/>
      <c r="Y82" s="21" t="s">
        <v>27</v>
      </c>
      <c r="Z82" s="21"/>
      <c r="AA82" s="21"/>
      <c r="AB82" s="21"/>
      <c r="AC82" s="22"/>
      <c r="AD82" s="22"/>
      <c r="AE82" s="22"/>
      <c r="AF82" s="22"/>
    </row>
    <row r="83" spans="1:45">
      <c r="L83" s="25"/>
      <c r="M83" s="25"/>
      <c r="N83" s="25"/>
      <c r="O83" s="25"/>
      <c r="P83" s="25"/>
      <c r="Q83" s="25"/>
      <c r="X83" s="25"/>
      <c r="Y83" s="25"/>
      <c r="Z83" s="25"/>
      <c r="AA83" s="25"/>
      <c r="AB83" s="25"/>
      <c r="AC83" s="25"/>
    </row>
    <row r="84" spans="1:45">
      <c r="B84" s="146" t="s">
        <v>34</v>
      </c>
      <c r="C84" s="146"/>
      <c r="D84" s="146"/>
      <c r="E84" s="146"/>
      <c r="F84" s="146"/>
      <c r="G84" s="146"/>
      <c r="H84" s="25"/>
      <c r="J84" s="25"/>
      <c r="N84" s="146" t="s">
        <v>28</v>
      </c>
      <c r="O84" s="146"/>
      <c r="P84" s="146"/>
      <c r="Q84" s="146"/>
      <c r="R84" s="146"/>
      <c r="S84" s="146"/>
      <c r="T84" s="146"/>
      <c r="U84" s="146"/>
      <c r="AA84" s="146" t="s">
        <v>37</v>
      </c>
      <c r="AB84" s="146"/>
      <c r="AC84" s="146"/>
      <c r="AD84" s="146"/>
      <c r="AE84" s="146"/>
      <c r="AF84" s="146"/>
    </row>
    <row r="85" spans="1:45">
      <c r="B85" s="147" t="s">
        <v>29</v>
      </c>
      <c r="C85" s="147"/>
      <c r="D85" s="147"/>
      <c r="E85" s="147"/>
      <c r="F85" s="147"/>
      <c r="G85" s="147"/>
      <c r="N85" s="147" t="s">
        <v>30</v>
      </c>
      <c r="O85" s="147"/>
      <c r="P85" s="147"/>
      <c r="Q85" s="147"/>
      <c r="R85" s="147"/>
      <c r="S85" s="147"/>
      <c r="T85" s="147"/>
      <c r="AA85" s="148" t="s">
        <v>39</v>
      </c>
      <c r="AB85" s="148"/>
      <c r="AC85" s="148"/>
      <c r="AD85" s="148"/>
      <c r="AE85" s="148"/>
      <c r="AF85" s="148"/>
    </row>
    <row r="86" spans="1:45">
      <c r="B86" s="54"/>
      <c r="C86" s="54"/>
      <c r="D86" s="54"/>
      <c r="E86" s="54"/>
      <c r="F86" s="54"/>
      <c r="G86" s="54"/>
      <c r="N86" s="54"/>
      <c r="O86" s="54"/>
      <c r="P86" s="54"/>
      <c r="Q86" s="54"/>
      <c r="R86" s="54"/>
      <c r="S86" s="54"/>
      <c r="T86" s="54"/>
      <c r="AA86" s="54"/>
      <c r="AB86" s="54"/>
      <c r="AC86" s="54"/>
      <c r="AD86" s="54"/>
      <c r="AE86" s="54"/>
      <c r="AF86" s="54"/>
    </row>
    <row r="87" spans="1:45">
      <c r="B87" s="54"/>
      <c r="C87" s="54"/>
      <c r="D87" s="54"/>
      <c r="E87" s="54"/>
      <c r="F87" s="54"/>
      <c r="G87" s="54"/>
      <c r="N87" s="54"/>
      <c r="O87" s="54"/>
      <c r="P87" s="54"/>
      <c r="Q87" s="54"/>
      <c r="R87" s="54"/>
      <c r="S87" s="54"/>
      <c r="T87" s="54"/>
      <c r="AA87" s="54"/>
      <c r="AB87" s="54"/>
      <c r="AC87" s="54"/>
      <c r="AD87" s="54"/>
      <c r="AE87" s="54"/>
      <c r="AF87" s="54"/>
    </row>
    <row r="88" spans="1:45" ht="18.75">
      <c r="A88" s="149" t="s">
        <v>41</v>
      </c>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row>
    <row r="89" spans="1:45">
      <c r="A89" s="1" t="s">
        <v>1</v>
      </c>
      <c r="B89" s="2" t="s">
        <v>4</v>
      </c>
      <c r="C89" s="27" t="s">
        <v>5</v>
      </c>
      <c r="D89" s="27" t="s">
        <v>6</v>
      </c>
      <c r="E89" s="2" t="s">
        <v>7</v>
      </c>
      <c r="F89" s="2" t="s">
        <v>8</v>
      </c>
      <c r="G89" s="2" t="s">
        <v>2</v>
      </c>
      <c r="H89" s="2" t="s">
        <v>3</v>
      </c>
      <c r="I89" s="2" t="s">
        <v>4</v>
      </c>
      <c r="J89" s="27" t="s">
        <v>5</v>
      </c>
      <c r="K89" s="27" t="s">
        <v>6</v>
      </c>
      <c r="L89" s="2" t="s">
        <v>7</v>
      </c>
      <c r="M89" s="2" t="s">
        <v>8</v>
      </c>
      <c r="N89" s="2" t="s">
        <v>2</v>
      </c>
      <c r="O89" s="2" t="s">
        <v>3</v>
      </c>
      <c r="P89" s="2" t="s">
        <v>4</v>
      </c>
      <c r="Q89" s="27" t="s">
        <v>5</v>
      </c>
      <c r="R89" s="27" t="s">
        <v>6</v>
      </c>
      <c r="S89" s="2" t="s">
        <v>7</v>
      </c>
      <c r="T89" s="2" t="s">
        <v>8</v>
      </c>
      <c r="U89" s="2" t="s">
        <v>2</v>
      </c>
      <c r="V89" s="2" t="s">
        <v>3</v>
      </c>
      <c r="W89" s="2" t="s">
        <v>4</v>
      </c>
      <c r="X89" s="27" t="s">
        <v>5</v>
      </c>
      <c r="Y89" s="27" t="s">
        <v>6</v>
      </c>
      <c r="Z89" s="2" t="s">
        <v>7</v>
      </c>
      <c r="AA89" s="2" t="s">
        <v>8</v>
      </c>
      <c r="AB89" s="2" t="s">
        <v>2</v>
      </c>
      <c r="AC89" s="2" t="s">
        <v>3</v>
      </c>
      <c r="AD89" s="2" t="s">
        <v>4</v>
      </c>
      <c r="AE89" s="27" t="s">
        <v>5</v>
      </c>
      <c r="AF89" s="27" t="s">
        <v>6</v>
      </c>
      <c r="AG89" s="26"/>
    </row>
    <row r="90" spans="1:45">
      <c r="A90" s="3" t="s">
        <v>9</v>
      </c>
      <c r="B90" s="15">
        <v>1</v>
      </c>
      <c r="C90" s="69">
        <v>2</v>
      </c>
      <c r="D90" s="69">
        <v>3</v>
      </c>
      <c r="E90" s="16">
        <v>4</v>
      </c>
      <c r="F90" s="16">
        <v>5</v>
      </c>
      <c r="G90" s="15">
        <v>6</v>
      </c>
      <c r="H90" s="15">
        <v>7</v>
      </c>
      <c r="I90" s="15">
        <v>8</v>
      </c>
      <c r="J90" s="69">
        <v>9</v>
      </c>
      <c r="K90" s="69">
        <v>10</v>
      </c>
      <c r="L90" s="15">
        <v>11</v>
      </c>
      <c r="M90" s="15">
        <v>12</v>
      </c>
      <c r="N90" s="15">
        <v>13</v>
      </c>
      <c r="O90" s="15">
        <v>14</v>
      </c>
      <c r="P90" s="15">
        <v>15</v>
      </c>
      <c r="Q90" s="69">
        <v>16</v>
      </c>
      <c r="R90" s="69">
        <v>17</v>
      </c>
      <c r="S90" s="15">
        <v>18</v>
      </c>
      <c r="T90" s="15">
        <v>19</v>
      </c>
      <c r="U90" s="15">
        <v>20</v>
      </c>
      <c r="V90" s="15">
        <v>21</v>
      </c>
      <c r="W90" s="15">
        <v>22</v>
      </c>
      <c r="X90" s="69">
        <v>23</v>
      </c>
      <c r="Y90" s="69">
        <v>24</v>
      </c>
      <c r="Z90" s="15">
        <v>25</v>
      </c>
      <c r="AA90" s="15">
        <v>26</v>
      </c>
      <c r="AB90" s="15">
        <v>27</v>
      </c>
      <c r="AC90" s="57">
        <v>28</v>
      </c>
      <c r="AD90" s="57">
        <v>29</v>
      </c>
      <c r="AE90" s="69">
        <v>30</v>
      </c>
      <c r="AF90" s="69">
        <v>31</v>
      </c>
      <c r="AG90" s="27">
        <v>24</v>
      </c>
      <c r="AK90" s="56">
        <v>3</v>
      </c>
      <c r="AL90" s="56">
        <v>1</v>
      </c>
      <c r="AM90" s="56">
        <v>2</v>
      </c>
      <c r="AN90" s="56" t="s">
        <v>10</v>
      </c>
      <c r="AO90" s="56" t="s">
        <v>11</v>
      </c>
      <c r="AP90" s="56">
        <v>4</v>
      </c>
      <c r="AQ90" s="56">
        <v>5</v>
      </c>
    </row>
    <row r="91" spans="1:45">
      <c r="A91" s="150" t="s">
        <v>16</v>
      </c>
      <c r="B91" s="30" t="s">
        <v>11</v>
      </c>
      <c r="C91" s="70" t="s">
        <v>10</v>
      </c>
      <c r="D91" s="70">
        <v>2</v>
      </c>
      <c r="E91" s="8" t="s">
        <v>11</v>
      </c>
      <c r="F91" s="8" t="s">
        <v>11</v>
      </c>
      <c r="G91" s="8" t="s">
        <v>11</v>
      </c>
      <c r="H91" s="8" t="s">
        <v>11</v>
      </c>
      <c r="I91" s="8" t="s">
        <v>11</v>
      </c>
      <c r="J91" s="70" t="s">
        <v>10</v>
      </c>
      <c r="K91" s="70">
        <v>2</v>
      </c>
      <c r="L91" s="8" t="s">
        <v>11</v>
      </c>
      <c r="M91" s="8" t="s">
        <v>11</v>
      </c>
      <c r="N91" s="8" t="s">
        <v>11</v>
      </c>
      <c r="O91" s="8" t="s">
        <v>11</v>
      </c>
      <c r="P91" s="8" t="s">
        <v>11</v>
      </c>
      <c r="Q91" s="70" t="s">
        <v>10</v>
      </c>
      <c r="R91" s="70">
        <v>2</v>
      </c>
      <c r="S91" s="8" t="s">
        <v>11</v>
      </c>
      <c r="T91" s="8" t="s">
        <v>11</v>
      </c>
      <c r="U91" s="8" t="s">
        <v>11</v>
      </c>
      <c r="V91" s="8" t="s">
        <v>11</v>
      </c>
      <c r="W91" s="8" t="s">
        <v>11</v>
      </c>
      <c r="X91" s="70" t="s">
        <v>10</v>
      </c>
      <c r="Y91" s="70" t="s">
        <v>10</v>
      </c>
      <c r="Z91" s="8" t="s">
        <v>11</v>
      </c>
      <c r="AA91" s="8" t="s">
        <v>11</v>
      </c>
      <c r="AB91" s="8" t="s">
        <v>11</v>
      </c>
      <c r="AC91" s="8">
        <v>2</v>
      </c>
      <c r="AD91" s="8">
        <v>2</v>
      </c>
      <c r="AE91" s="70">
        <v>2</v>
      </c>
      <c r="AF91" s="70" t="s">
        <v>10</v>
      </c>
      <c r="AG91" s="17">
        <f>AS91</f>
        <v>25</v>
      </c>
      <c r="AK91" s="56">
        <f>COUNTIF($B91:$AF91,3)</f>
        <v>0</v>
      </c>
      <c r="AL91" s="56">
        <f>COUNTIF($B91:$AF91,1)</f>
        <v>0</v>
      </c>
      <c r="AM91" s="56">
        <f>COUNTIF($B91:$AF91,2)</f>
        <v>6</v>
      </c>
      <c r="AN91" s="56">
        <f>COUNTIF($B91:$AF91,"DO")</f>
        <v>6</v>
      </c>
      <c r="AO91" s="56">
        <f>COUNTIF($B91:$AF91,"R")</f>
        <v>19</v>
      </c>
      <c r="AP91" s="56">
        <f>COUNTIF($B91:$AF91,4)</f>
        <v>0</v>
      </c>
      <c r="AQ91" s="56">
        <f>COUNTIF($B91:$AF91,5)</f>
        <v>0</v>
      </c>
      <c r="AR91" s="10">
        <f t="shared" ref="AR91:AR103" si="12">SUM(AK91:AQ91)</f>
        <v>31</v>
      </c>
      <c r="AS91" s="82">
        <f>AQ91+AP91+AO91+AM91+AL91+AK91+((AI91+AJ91)/2)</f>
        <v>25</v>
      </c>
    </row>
    <row r="92" spans="1:45">
      <c r="A92" s="151"/>
      <c r="B92" s="11"/>
      <c r="C92" s="13"/>
      <c r="D92" s="13"/>
      <c r="E92" s="12"/>
      <c r="F92" s="11"/>
      <c r="G92" s="12"/>
      <c r="H92" s="12"/>
      <c r="I92" s="12"/>
      <c r="J92" s="75"/>
      <c r="K92" s="13"/>
      <c r="L92" s="12"/>
      <c r="M92" s="12"/>
      <c r="N92" s="11"/>
      <c r="O92" s="12"/>
      <c r="P92" s="12"/>
      <c r="Q92" s="13"/>
      <c r="R92" s="75"/>
      <c r="S92" s="12"/>
      <c r="T92" s="12"/>
      <c r="U92" s="12"/>
      <c r="V92" s="11"/>
      <c r="W92" s="12"/>
      <c r="X92" s="13"/>
      <c r="Y92" s="13"/>
      <c r="Z92" s="11"/>
      <c r="AA92" s="12"/>
      <c r="AB92" s="12"/>
      <c r="AC92" s="12"/>
      <c r="AD92" s="12"/>
      <c r="AE92" s="13"/>
      <c r="AF92" s="13"/>
      <c r="AG92" s="17"/>
      <c r="AK92" s="56"/>
      <c r="AL92" s="56"/>
      <c r="AM92" s="56"/>
      <c r="AN92" s="56"/>
      <c r="AO92" s="56"/>
      <c r="AP92" s="56"/>
      <c r="AQ92" s="56"/>
      <c r="AR92" s="10"/>
      <c r="AS92" s="82"/>
    </row>
    <row r="93" spans="1:45">
      <c r="A93" s="150" t="s">
        <v>44</v>
      </c>
      <c r="B93" s="11">
        <v>3</v>
      </c>
      <c r="C93" s="13">
        <v>1</v>
      </c>
      <c r="D93" s="13" t="s">
        <v>10</v>
      </c>
      <c r="E93" s="12" t="s">
        <v>10</v>
      </c>
      <c r="F93" s="11">
        <v>3</v>
      </c>
      <c r="G93" s="12">
        <v>1</v>
      </c>
      <c r="H93" s="12">
        <v>3</v>
      </c>
      <c r="I93" s="12">
        <v>1</v>
      </c>
      <c r="J93" s="75" t="s">
        <v>10</v>
      </c>
      <c r="K93" s="13" t="s">
        <v>10</v>
      </c>
      <c r="L93" s="12">
        <v>3</v>
      </c>
      <c r="M93" s="12">
        <v>1</v>
      </c>
      <c r="N93" s="11">
        <v>3</v>
      </c>
      <c r="O93" s="12">
        <v>1</v>
      </c>
      <c r="P93" s="12" t="s">
        <v>11</v>
      </c>
      <c r="Q93" s="13" t="s">
        <v>10</v>
      </c>
      <c r="R93" s="75" t="s">
        <v>10</v>
      </c>
      <c r="S93" s="12" t="s">
        <v>10</v>
      </c>
      <c r="T93" s="12">
        <v>3</v>
      </c>
      <c r="U93" s="12">
        <v>1</v>
      </c>
      <c r="V93" s="11">
        <v>3</v>
      </c>
      <c r="W93" s="12">
        <v>1</v>
      </c>
      <c r="X93" s="13" t="s">
        <v>10</v>
      </c>
      <c r="Y93" s="13" t="s">
        <v>10</v>
      </c>
      <c r="Z93" s="11">
        <v>3</v>
      </c>
      <c r="AA93" s="12">
        <v>1</v>
      </c>
      <c r="AB93" s="12">
        <v>3</v>
      </c>
      <c r="AC93" s="12">
        <v>1</v>
      </c>
      <c r="AD93" s="12" t="s">
        <v>10</v>
      </c>
      <c r="AE93" s="13" t="s">
        <v>10</v>
      </c>
      <c r="AF93" s="13" t="s">
        <v>10</v>
      </c>
      <c r="AG93" s="17">
        <f>AS93</f>
        <v>19</v>
      </c>
      <c r="AK93" s="56">
        <f>COUNTIF($B93:$AF93,3)</f>
        <v>9</v>
      </c>
      <c r="AL93" s="56">
        <f>COUNTIF($B93:$AF93,1)</f>
        <v>9</v>
      </c>
      <c r="AM93" s="56">
        <f>COUNTIF($B93:$AF93,2)</f>
        <v>0</v>
      </c>
      <c r="AN93" s="56">
        <f>COUNTIF($B93:$AF93,"DO")</f>
        <v>12</v>
      </c>
      <c r="AO93" s="56">
        <f>COUNTIF($B93:$AF93,"R")</f>
        <v>1</v>
      </c>
      <c r="AP93" s="56">
        <f>COUNTIF($B93:$AF93,4)</f>
        <v>0</v>
      </c>
      <c r="AQ93" s="56">
        <f>COUNTIF($B93:$AF93,5)</f>
        <v>0</v>
      </c>
      <c r="AR93" s="10">
        <f t="shared" si="12"/>
        <v>31</v>
      </c>
      <c r="AS93" s="82">
        <f>AQ93+AP93+AO93+AM93+AL93+AK93+((AI93+AJ93)/2)</f>
        <v>19</v>
      </c>
    </row>
    <row r="94" spans="1:45">
      <c r="A94" s="151"/>
      <c r="B94" s="11"/>
      <c r="C94" s="13"/>
      <c r="D94" s="13"/>
      <c r="E94" s="12"/>
      <c r="F94" s="11"/>
      <c r="G94" s="12"/>
      <c r="H94" s="12"/>
      <c r="I94" s="12"/>
      <c r="J94" s="75"/>
      <c r="K94" s="13"/>
      <c r="L94" s="12"/>
      <c r="M94" s="12"/>
      <c r="N94" s="11"/>
      <c r="O94" s="12"/>
      <c r="P94" s="12"/>
      <c r="Q94" s="13"/>
      <c r="R94" s="75"/>
      <c r="S94" s="12"/>
      <c r="T94" s="12"/>
      <c r="U94" s="12"/>
      <c r="V94" s="11"/>
      <c r="W94" s="12"/>
      <c r="X94" s="13"/>
      <c r="Y94" s="13"/>
      <c r="Z94" s="11"/>
      <c r="AA94" s="12"/>
      <c r="AB94" s="12"/>
      <c r="AC94" s="12"/>
      <c r="AD94" s="12"/>
      <c r="AE94" s="13"/>
      <c r="AF94" s="13"/>
      <c r="AG94" s="17"/>
      <c r="AK94" s="56"/>
      <c r="AL94" s="56"/>
      <c r="AM94" s="56"/>
      <c r="AN94" s="56"/>
      <c r="AO94" s="56"/>
      <c r="AP94" s="56"/>
      <c r="AQ94" s="56"/>
      <c r="AR94" s="10"/>
      <c r="AS94" s="82"/>
    </row>
    <row r="95" spans="1:45">
      <c r="A95" s="150" t="s">
        <v>45</v>
      </c>
      <c r="B95" s="11" t="s">
        <v>10</v>
      </c>
      <c r="C95" s="13" t="s">
        <v>10</v>
      </c>
      <c r="D95" s="13" t="s">
        <v>10</v>
      </c>
      <c r="E95" s="12">
        <v>3</v>
      </c>
      <c r="F95" s="11">
        <v>1</v>
      </c>
      <c r="G95" s="12">
        <v>3</v>
      </c>
      <c r="H95" s="12">
        <v>1</v>
      </c>
      <c r="I95" s="12">
        <v>3</v>
      </c>
      <c r="J95" s="75">
        <v>1</v>
      </c>
      <c r="K95" s="13" t="s">
        <v>10</v>
      </c>
      <c r="L95" s="12" t="s">
        <v>10</v>
      </c>
      <c r="M95" s="12">
        <v>3</v>
      </c>
      <c r="N95" s="11">
        <v>1</v>
      </c>
      <c r="O95" s="12">
        <v>3</v>
      </c>
      <c r="P95" s="12">
        <v>1</v>
      </c>
      <c r="Q95" s="13" t="s">
        <v>10</v>
      </c>
      <c r="R95" s="75" t="s">
        <v>10</v>
      </c>
      <c r="S95" s="12">
        <v>3</v>
      </c>
      <c r="T95" s="12">
        <v>1</v>
      </c>
      <c r="U95" s="12">
        <v>3</v>
      </c>
      <c r="V95" s="11">
        <v>1</v>
      </c>
      <c r="W95" s="12">
        <v>3</v>
      </c>
      <c r="X95" s="13">
        <v>1</v>
      </c>
      <c r="Y95" s="13" t="s">
        <v>10</v>
      </c>
      <c r="Z95" s="11" t="s">
        <v>10</v>
      </c>
      <c r="AA95" s="12">
        <v>3</v>
      </c>
      <c r="AB95" s="12">
        <v>1</v>
      </c>
      <c r="AC95" s="12" t="s">
        <v>10</v>
      </c>
      <c r="AD95" s="12" t="s">
        <v>10</v>
      </c>
      <c r="AE95" s="13" t="s">
        <v>10</v>
      </c>
      <c r="AF95" s="13" t="s">
        <v>10</v>
      </c>
      <c r="AG95" s="17">
        <f>AS95</f>
        <v>18</v>
      </c>
      <c r="AK95" s="56">
        <f>COUNTIF($B95:$AF95,3)</f>
        <v>9</v>
      </c>
      <c r="AL95" s="56">
        <f>COUNTIF($B95:$AF95,1)</f>
        <v>9</v>
      </c>
      <c r="AM95" s="56">
        <f>COUNTIF($B95:$AF95,2)</f>
        <v>0</v>
      </c>
      <c r="AN95" s="56">
        <f>COUNTIF($B95:$AF95,"DO")</f>
        <v>13</v>
      </c>
      <c r="AO95" s="56">
        <f>COUNTIF($B95:$AF95,"R")</f>
        <v>0</v>
      </c>
      <c r="AP95" s="56">
        <f>COUNTIF($B95:$AF95,4)</f>
        <v>0</v>
      </c>
      <c r="AQ95" s="56">
        <f>COUNTIF($B95:$AF95,5)</f>
        <v>0</v>
      </c>
      <c r="AR95" s="10">
        <f t="shared" si="12"/>
        <v>31</v>
      </c>
      <c r="AS95" s="82">
        <f>AQ95+AP95+AO95+AM95+AL95+AK95+((AI95+AJ95)/2)</f>
        <v>18</v>
      </c>
    </row>
    <row r="96" spans="1:45">
      <c r="A96" s="151"/>
      <c r="B96" s="11"/>
      <c r="C96" s="13"/>
      <c r="D96" s="13"/>
      <c r="E96" s="12"/>
      <c r="F96" s="11"/>
      <c r="G96" s="12"/>
      <c r="H96" s="12"/>
      <c r="I96" s="12"/>
      <c r="J96" s="75"/>
      <c r="K96" s="13"/>
      <c r="L96" s="12"/>
      <c r="M96" s="12"/>
      <c r="N96" s="11"/>
      <c r="O96" s="12"/>
      <c r="P96" s="12"/>
      <c r="Q96" s="13"/>
      <c r="R96" s="75"/>
      <c r="S96" s="12"/>
      <c r="T96" s="12"/>
      <c r="U96" s="12"/>
      <c r="V96" s="11"/>
      <c r="W96" s="12"/>
      <c r="X96" s="13"/>
      <c r="Y96" s="13"/>
      <c r="Z96" s="11"/>
      <c r="AA96" s="12"/>
      <c r="AB96" s="12"/>
      <c r="AC96" s="12"/>
      <c r="AD96" s="12"/>
      <c r="AE96" s="13"/>
      <c r="AF96" s="13"/>
      <c r="AG96" s="17"/>
      <c r="AK96" s="56"/>
      <c r="AL96" s="56"/>
      <c r="AM96" s="56"/>
      <c r="AN96" s="56"/>
      <c r="AO96" s="56"/>
      <c r="AP96" s="56"/>
      <c r="AQ96" s="56"/>
      <c r="AR96" s="10"/>
      <c r="AS96" s="82"/>
    </row>
    <row r="97" spans="1:45">
      <c r="A97" s="150" t="s">
        <v>12</v>
      </c>
      <c r="B97" s="9">
        <v>2</v>
      </c>
      <c r="C97" s="73" t="s">
        <v>10</v>
      </c>
      <c r="D97" s="73">
        <v>3</v>
      </c>
      <c r="E97" s="12">
        <v>1</v>
      </c>
      <c r="F97" s="9">
        <v>2</v>
      </c>
      <c r="G97" s="8" t="s">
        <v>11</v>
      </c>
      <c r="H97" s="8" t="s">
        <v>10</v>
      </c>
      <c r="I97" s="12">
        <v>3</v>
      </c>
      <c r="J97" s="71">
        <v>1</v>
      </c>
      <c r="K97" s="70">
        <v>3</v>
      </c>
      <c r="L97" s="9">
        <v>1</v>
      </c>
      <c r="M97" s="12">
        <v>2</v>
      </c>
      <c r="N97" s="12" t="s">
        <v>11</v>
      </c>
      <c r="O97" s="8">
        <v>2</v>
      </c>
      <c r="P97" s="9">
        <v>3</v>
      </c>
      <c r="Q97" s="70">
        <v>1</v>
      </c>
      <c r="R97" s="71">
        <v>3</v>
      </c>
      <c r="S97" s="8">
        <v>1</v>
      </c>
      <c r="T97" s="9" t="s">
        <v>11</v>
      </c>
      <c r="U97" s="12" t="s">
        <v>10</v>
      </c>
      <c r="V97" s="8">
        <v>3</v>
      </c>
      <c r="W97" s="8">
        <v>1</v>
      </c>
      <c r="X97" s="71" t="s">
        <v>10</v>
      </c>
      <c r="Y97" s="70">
        <v>2</v>
      </c>
      <c r="Z97" s="9">
        <v>3</v>
      </c>
      <c r="AA97" s="8">
        <v>1</v>
      </c>
      <c r="AB97" s="30">
        <v>3</v>
      </c>
      <c r="AC97" s="33">
        <v>1</v>
      </c>
      <c r="AD97" s="11">
        <v>3</v>
      </c>
      <c r="AE97" s="70">
        <v>1</v>
      </c>
      <c r="AF97" s="11">
        <v>3</v>
      </c>
      <c r="AG97" s="17">
        <f>AS97</f>
        <v>27</v>
      </c>
      <c r="AH97">
        <f>COUNTIF($B97:$AF97,4)</f>
        <v>0</v>
      </c>
      <c r="AI97">
        <f>COUNTIF($B97:$AF97,5)</f>
        <v>0</v>
      </c>
      <c r="AK97" s="56">
        <f>COUNTIF($B97:$AF97,3)</f>
        <v>10</v>
      </c>
      <c r="AL97" s="56">
        <f>COUNTIF($B97:$AF97,1)</f>
        <v>9</v>
      </c>
      <c r="AM97" s="56">
        <f>COUNTIF($B97:$AF97,2)</f>
        <v>5</v>
      </c>
      <c r="AN97" s="56">
        <f>COUNTIF($B97:$AF97,"DO")</f>
        <v>4</v>
      </c>
      <c r="AO97" s="56">
        <f>COUNTIF($B97:$AF97,"R")</f>
        <v>3</v>
      </c>
      <c r="AP97" s="56">
        <f>COUNTIF($B97:$AF97,4)</f>
        <v>0</v>
      </c>
      <c r="AQ97" s="56">
        <f>COUNTIF($B97:$AF97,5)</f>
        <v>0</v>
      </c>
      <c r="AR97" s="10">
        <f t="shared" si="12"/>
        <v>31</v>
      </c>
      <c r="AS97" s="82">
        <f>AQ97+AP97+AO97+AM97+AL97+AK97+((AH97+AI97)/2)</f>
        <v>27</v>
      </c>
    </row>
    <row r="98" spans="1:45">
      <c r="A98" s="151"/>
      <c r="B98" s="32"/>
      <c r="C98" s="74"/>
      <c r="D98" s="74"/>
      <c r="E98" s="12"/>
      <c r="F98" s="12"/>
      <c r="G98" s="12"/>
      <c r="H98" s="28"/>
      <c r="I98" s="12"/>
      <c r="J98" s="78"/>
      <c r="K98" s="13"/>
      <c r="L98" s="12"/>
      <c r="M98" s="12"/>
      <c r="N98" s="4"/>
      <c r="O98" s="12"/>
      <c r="P98" s="12"/>
      <c r="Q98" s="13"/>
      <c r="R98" s="13"/>
      <c r="S98" s="12"/>
      <c r="T98" s="4"/>
      <c r="U98" s="12"/>
      <c r="V98" s="12"/>
      <c r="W98" s="12"/>
      <c r="X98" s="13"/>
      <c r="Y98" s="13"/>
      <c r="Z98" s="4"/>
      <c r="AA98" s="12"/>
      <c r="AB98" s="12"/>
      <c r="AC98" s="12"/>
      <c r="AD98" s="34"/>
      <c r="AE98" s="13"/>
      <c r="AF98" s="13"/>
      <c r="AG98" s="17"/>
      <c r="AK98" s="56"/>
      <c r="AL98" s="56"/>
      <c r="AM98" s="56"/>
      <c r="AN98" s="56"/>
      <c r="AO98" s="56"/>
      <c r="AP98" s="56"/>
      <c r="AQ98" s="56"/>
      <c r="AR98" s="10"/>
      <c r="AS98" s="82"/>
    </row>
    <row r="99" spans="1:45">
      <c r="A99" s="150" t="s">
        <v>13</v>
      </c>
      <c r="B99" s="29">
        <v>1</v>
      </c>
      <c r="C99" s="76" t="s">
        <v>10</v>
      </c>
      <c r="D99" s="76" t="s">
        <v>10</v>
      </c>
      <c r="E99" s="41" t="s">
        <v>10</v>
      </c>
      <c r="F99" s="41" t="s">
        <v>10</v>
      </c>
      <c r="G99" s="41" t="s">
        <v>10</v>
      </c>
      <c r="H99" s="36" t="s">
        <v>11</v>
      </c>
      <c r="I99" s="8">
        <v>2</v>
      </c>
      <c r="J99" s="12">
        <v>3</v>
      </c>
      <c r="K99" s="70">
        <v>1</v>
      </c>
      <c r="L99" s="12">
        <v>2</v>
      </c>
      <c r="M99" s="8" t="s">
        <v>11</v>
      </c>
      <c r="N99" s="8">
        <v>3</v>
      </c>
      <c r="O99" s="8">
        <v>1</v>
      </c>
      <c r="P99" s="41">
        <v>2</v>
      </c>
      <c r="Q99" s="70">
        <v>3</v>
      </c>
      <c r="R99" s="71">
        <v>1</v>
      </c>
      <c r="S99" s="8">
        <v>2</v>
      </c>
      <c r="T99" s="8">
        <v>3</v>
      </c>
      <c r="U99" s="29">
        <v>1</v>
      </c>
      <c r="V99" s="8" t="s">
        <v>11</v>
      </c>
      <c r="W99" s="8" t="s">
        <v>11</v>
      </c>
      <c r="X99" s="71">
        <v>3</v>
      </c>
      <c r="Y99" s="70">
        <v>1</v>
      </c>
      <c r="Z99" s="8">
        <v>2</v>
      </c>
      <c r="AA99" s="8" t="s">
        <v>11</v>
      </c>
      <c r="AB99" s="8">
        <v>2</v>
      </c>
      <c r="AC99" s="8">
        <v>3</v>
      </c>
      <c r="AD99" s="12">
        <v>1</v>
      </c>
      <c r="AE99" s="70">
        <v>3</v>
      </c>
      <c r="AF99" s="71">
        <v>1</v>
      </c>
      <c r="AG99" s="17">
        <f>AS99</f>
        <v>26</v>
      </c>
      <c r="AH99">
        <f t="shared" ref="AH99:AH105" si="13">COUNTIF($B99:$AF99,4)</f>
        <v>0</v>
      </c>
      <c r="AI99">
        <f t="shared" ref="AI99:AI105" si="14">COUNTIF($B99:$AF99,5)</f>
        <v>0</v>
      </c>
      <c r="AK99" s="56">
        <f>COUNTIF($B99:$AF99,3)</f>
        <v>7</v>
      </c>
      <c r="AL99" s="56">
        <f>COUNTIF($B99:$AF99,1)</f>
        <v>8</v>
      </c>
      <c r="AM99" s="56">
        <f>COUNTIF($B99:$AF99,2)</f>
        <v>6</v>
      </c>
      <c r="AN99" s="56">
        <f>COUNTIF($B99:$AF99,"DO")</f>
        <v>5</v>
      </c>
      <c r="AO99" s="56">
        <f>COUNTIF($B99:$AF99,"R")</f>
        <v>5</v>
      </c>
      <c r="AP99" s="56">
        <f>COUNTIF($B99:$AF99,4)</f>
        <v>0</v>
      </c>
      <c r="AQ99" s="56">
        <f>COUNTIF($B99:$AF99,5)</f>
        <v>0</v>
      </c>
      <c r="AR99" s="10">
        <f t="shared" si="12"/>
        <v>31</v>
      </c>
      <c r="AS99" s="82">
        <f t="shared" ref="AS99:AS105" si="15">AQ99+AP99+AO99+AM99+AL99+AK99+((AH99+AI99)/2)</f>
        <v>26</v>
      </c>
    </row>
    <row r="100" spans="1:45">
      <c r="A100" s="151"/>
      <c r="B100" s="4"/>
      <c r="C100" s="77"/>
      <c r="D100" s="13"/>
      <c r="E100" s="12"/>
      <c r="F100" s="12"/>
      <c r="G100" s="12"/>
      <c r="H100" s="12"/>
      <c r="I100" s="12"/>
      <c r="J100" s="13"/>
      <c r="K100" s="13"/>
      <c r="L100" s="12"/>
      <c r="M100" s="12"/>
      <c r="N100" s="12"/>
      <c r="O100" s="12"/>
      <c r="P100" s="12"/>
      <c r="Q100" s="13"/>
      <c r="R100" s="13"/>
      <c r="S100" s="12"/>
      <c r="T100" s="12"/>
      <c r="U100" s="12"/>
      <c r="V100" s="12"/>
      <c r="W100" s="12"/>
      <c r="X100" s="74"/>
      <c r="Y100" s="74"/>
      <c r="Z100" s="33"/>
      <c r="AA100" s="33"/>
      <c r="AB100" s="33"/>
      <c r="AC100" s="33"/>
      <c r="AD100" s="42"/>
      <c r="AE100" s="74"/>
      <c r="AF100" s="80"/>
      <c r="AG100" s="17"/>
      <c r="AK100" s="56"/>
      <c r="AL100" s="56"/>
      <c r="AM100" s="56"/>
      <c r="AN100" s="56"/>
      <c r="AO100" s="56"/>
      <c r="AP100" s="56"/>
      <c r="AQ100" s="56"/>
      <c r="AR100" s="10"/>
      <c r="AS100" s="82"/>
    </row>
    <row r="101" spans="1:45">
      <c r="A101" s="150" t="s">
        <v>14</v>
      </c>
      <c r="B101" s="29">
        <v>1</v>
      </c>
      <c r="C101" s="76" t="s">
        <v>10</v>
      </c>
      <c r="D101" s="76" t="s">
        <v>10</v>
      </c>
      <c r="E101" s="41" t="s">
        <v>10</v>
      </c>
      <c r="F101" s="41" t="s">
        <v>10</v>
      </c>
      <c r="G101" s="36">
        <v>2</v>
      </c>
      <c r="H101" s="12">
        <v>3</v>
      </c>
      <c r="I101" s="8">
        <v>1</v>
      </c>
      <c r="J101" s="70">
        <v>2</v>
      </c>
      <c r="K101" s="70">
        <v>3</v>
      </c>
      <c r="L101" s="8">
        <v>1</v>
      </c>
      <c r="M101" s="12" t="s">
        <v>11</v>
      </c>
      <c r="N101" s="8" t="s">
        <v>11</v>
      </c>
      <c r="O101" s="8">
        <v>3</v>
      </c>
      <c r="P101" s="8">
        <v>1</v>
      </c>
      <c r="Q101" s="70">
        <v>2</v>
      </c>
      <c r="R101" s="71" t="s">
        <v>10</v>
      </c>
      <c r="S101" s="8">
        <v>3</v>
      </c>
      <c r="T101" s="8">
        <v>1</v>
      </c>
      <c r="U101" s="8">
        <v>2</v>
      </c>
      <c r="V101" s="8" t="s">
        <v>11</v>
      </c>
      <c r="W101" s="8">
        <v>3</v>
      </c>
      <c r="X101" s="13">
        <v>1</v>
      </c>
      <c r="Y101" s="70">
        <v>3</v>
      </c>
      <c r="Z101" s="8">
        <v>1</v>
      </c>
      <c r="AA101" s="12">
        <v>2</v>
      </c>
      <c r="AB101" s="8" t="s">
        <v>11</v>
      </c>
      <c r="AC101" s="11">
        <v>3</v>
      </c>
      <c r="AD101" s="9">
        <v>1</v>
      </c>
      <c r="AE101" s="70">
        <v>3</v>
      </c>
      <c r="AF101" s="71">
        <v>1</v>
      </c>
      <c r="AG101" s="17">
        <f>AS101</f>
        <v>26</v>
      </c>
      <c r="AH101">
        <f t="shared" si="13"/>
        <v>0</v>
      </c>
      <c r="AI101">
        <f t="shared" si="14"/>
        <v>0</v>
      </c>
      <c r="AK101" s="56">
        <f>COUNTIF($B101:$AF101,3)</f>
        <v>8</v>
      </c>
      <c r="AL101" s="56">
        <f>COUNTIF($B101:$AF101,1)</f>
        <v>9</v>
      </c>
      <c r="AM101" s="56">
        <f>COUNTIF($B101:$AF101,2)</f>
        <v>5</v>
      </c>
      <c r="AN101" s="56">
        <f>COUNTIF($B101:$AF101,"DO")</f>
        <v>5</v>
      </c>
      <c r="AO101" s="56">
        <f>COUNTIF($B101:$AF101,"R")</f>
        <v>4</v>
      </c>
      <c r="AP101" s="56">
        <f>COUNTIF($B101:$AF101,4)</f>
        <v>0</v>
      </c>
      <c r="AQ101" s="56">
        <f>COUNTIF($B101:$AF101,5)</f>
        <v>0</v>
      </c>
      <c r="AR101" s="10">
        <f t="shared" si="12"/>
        <v>31</v>
      </c>
      <c r="AS101" s="82">
        <f t="shared" si="15"/>
        <v>26</v>
      </c>
    </row>
    <row r="102" spans="1:45">
      <c r="A102" s="151"/>
      <c r="B102" s="4"/>
      <c r="C102" s="13"/>
      <c r="D102" s="13"/>
      <c r="E102" s="12"/>
      <c r="F102" s="12"/>
      <c r="G102" s="4"/>
      <c r="H102" s="12"/>
      <c r="I102" s="12"/>
      <c r="J102" s="13"/>
      <c r="K102" s="13"/>
      <c r="L102" s="12"/>
      <c r="M102" s="4"/>
      <c r="N102" s="12"/>
      <c r="O102" s="12"/>
      <c r="P102" s="12"/>
      <c r="Q102" s="13"/>
      <c r="R102" s="13"/>
      <c r="S102" s="4"/>
      <c r="T102" s="12"/>
      <c r="U102" s="12"/>
      <c r="V102" s="12"/>
      <c r="W102" s="12"/>
      <c r="X102" s="13"/>
      <c r="Y102" s="69"/>
      <c r="Z102" s="12"/>
      <c r="AA102" s="12"/>
      <c r="AB102" s="12"/>
      <c r="AC102" s="14"/>
      <c r="AD102" s="12"/>
      <c r="AE102" s="81"/>
      <c r="AF102" s="13"/>
      <c r="AG102" s="17"/>
      <c r="AK102" s="56"/>
      <c r="AL102" s="56"/>
      <c r="AM102" s="56"/>
      <c r="AN102" s="56"/>
      <c r="AO102" s="56"/>
      <c r="AP102" s="56"/>
      <c r="AQ102" s="56"/>
      <c r="AR102" s="10"/>
      <c r="AS102" s="82"/>
    </row>
    <row r="103" spans="1:45">
      <c r="A103" s="150" t="s">
        <v>15</v>
      </c>
      <c r="B103" s="8">
        <v>3</v>
      </c>
      <c r="C103" s="36">
        <v>4</v>
      </c>
      <c r="D103" s="73" t="s">
        <v>10</v>
      </c>
      <c r="E103" s="29">
        <v>3</v>
      </c>
      <c r="F103" s="41">
        <v>1</v>
      </c>
      <c r="G103" s="8">
        <v>3</v>
      </c>
      <c r="H103" s="36">
        <v>1</v>
      </c>
      <c r="I103" s="8" t="s">
        <v>11</v>
      </c>
      <c r="J103" s="75">
        <v>3</v>
      </c>
      <c r="K103" s="13">
        <v>1</v>
      </c>
      <c r="L103" s="8" t="s">
        <v>11</v>
      </c>
      <c r="M103" s="12">
        <v>3</v>
      </c>
      <c r="N103" s="9">
        <v>1</v>
      </c>
      <c r="O103" s="9" t="s">
        <v>10</v>
      </c>
      <c r="P103" s="9" t="s">
        <v>11</v>
      </c>
      <c r="Q103" s="70">
        <v>3</v>
      </c>
      <c r="R103" s="71">
        <v>1</v>
      </c>
      <c r="S103" s="8" t="s">
        <v>11</v>
      </c>
      <c r="T103" s="12">
        <v>2</v>
      </c>
      <c r="U103" s="8">
        <v>3</v>
      </c>
      <c r="V103" s="9">
        <v>1</v>
      </c>
      <c r="W103" s="8">
        <v>2</v>
      </c>
      <c r="X103" s="13">
        <v>2</v>
      </c>
      <c r="Y103" s="73">
        <v>3</v>
      </c>
      <c r="Z103" s="30">
        <v>1</v>
      </c>
      <c r="AA103" s="29" t="s">
        <v>10</v>
      </c>
      <c r="AB103" s="29" t="s">
        <v>10</v>
      </c>
      <c r="AC103" s="29" t="s">
        <v>10</v>
      </c>
      <c r="AD103" s="30">
        <v>3</v>
      </c>
      <c r="AE103" s="70">
        <v>1</v>
      </c>
      <c r="AF103" s="83">
        <v>2</v>
      </c>
      <c r="AG103" s="17">
        <f>AS103</f>
        <v>26.5</v>
      </c>
      <c r="AH103">
        <f t="shared" si="13"/>
        <v>1</v>
      </c>
      <c r="AI103">
        <f t="shared" si="14"/>
        <v>0</v>
      </c>
      <c r="AK103" s="56">
        <f>COUNTIF($B103:$AF103,3)</f>
        <v>9</v>
      </c>
      <c r="AL103" s="56">
        <f>COUNTIF($B103:$AF103,1)</f>
        <v>8</v>
      </c>
      <c r="AM103" s="56">
        <f>COUNTIF($B103:$AF103,2)</f>
        <v>4</v>
      </c>
      <c r="AN103" s="56">
        <f>COUNTIF($B103:$AF103,"DO")</f>
        <v>5</v>
      </c>
      <c r="AO103" s="56">
        <f>COUNTIF($B103:$AF103,"R")</f>
        <v>4</v>
      </c>
      <c r="AP103" s="56">
        <f>COUNTIF($B103:$AF103,4)</f>
        <v>1</v>
      </c>
      <c r="AQ103" s="56">
        <f>COUNTIF($B103:$AF103,5)</f>
        <v>0</v>
      </c>
      <c r="AR103" s="10">
        <f t="shared" si="12"/>
        <v>31</v>
      </c>
      <c r="AS103" s="82">
        <f t="shared" si="15"/>
        <v>26.5</v>
      </c>
    </row>
    <row r="104" spans="1:45">
      <c r="A104" s="151"/>
      <c r="B104" s="4"/>
      <c r="C104" s="69"/>
      <c r="D104" s="69"/>
      <c r="E104" s="12"/>
      <c r="F104" s="12"/>
      <c r="G104" s="4"/>
      <c r="H104" s="33"/>
      <c r="I104" s="29"/>
      <c r="J104" s="13"/>
      <c r="K104" s="79"/>
      <c r="L104" s="12"/>
      <c r="M104" s="4"/>
      <c r="N104" s="12"/>
      <c r="O104" s="4"/>
      <c r="P104" s="12"/>
      <c r="Q104" s="13"/>
      <c r="R104" s="13"/>
      <c r="S104" s="4"/>
      <c r="T104" s="12"/>
      <c r="U104" s="4"/>
      <c r="V104" s="12"/>
      <c r="W104" s="12"/>
      <c r="X104" s="13"/>
      <c r="Y104" s="69"/>
      <c r="Z104" s="12"/>
      <c r="AA104" s="4"/>
      <c r="AB104" s="12"/>
      <c r="AC104" s="12"/>
      <c r="AD104" s="12"/>
      <c r="AE104" s="13"/>
      <c r="AF104" s="13"/>
      <c r="AG104" s="13"/>
      <c r="AK104" s="56"/>
      <c r="AL104" s="56"/>
      <c r="AM104" s="56"/>
      <c r="AN104" s="56"/>
      <c r="AO104" s="56"/>
      <c r="AP104" s="56"/>
      <c r="AQ104" s="56"/>
      <c r="AR104" s="10"/>
      <c r="AS104" s="82"/>
    </row>
    <row r="105" spans="1:45">
      <c r="A105" s="150" t="s">
        <v>31</v>
      </c>
      <c r="B105" s="29" t="s">
        <v>11</v>
      </c>
      <c r="C105" s="36">
        <v>5</v>
      </c>
      <c r="D105" s="73">
        <v>1</v>
      </c>
      <c r="E105" s="8">
        <v>2</v>
      </c>
      <c r="F105" s="9">
        <v>3</v>
      </c>
      <c r="G105" s="8">
        <v>1</v>
      </c>
      <c r="H105" s="9">
        <v>2</v>
      </c>
      <c r="I105" s="9">
        <v>3</v>
      </c>
      <c r="J105" s="70">
        <v>1</v>
      </c>
      <c r="K105" s="70" t="s">
        <v>10</v>
      </c>
      <c r="L105" s="9">
        <v>3</v>
      </c>
      <c r="M105" s="8">
        <v>1</v>
      </c>
      <c r="N105" s="8">
        <v>2</v>
      </c>
      <c r="O105" s="8" t="s">
        <v>11</v>
      </c>
      <c r="P105" s="8">
        <v>3</v>
      </c>
      <c r="Q105" s="70">
        <v>1</v>
      </c>
      <c r="R105" s="70">
        <v>3</v>
      </c>
      <c r="S105" s="9">
        <v>1</v>
      </c>
      <c r="T105" s="8" t="s">
        <v>11</v>
      </c>
      <c r="U105" s="12" t="s">
        <v>11</v>
      </c>
      <c r="V105" s="9">
        <v>2</v>
      </c>
      <c r="W105" s="8">
        <v>3</v>
      </c>
      <c r="X105" s="71">
        <v>1</v>
      </c>
      <c r="Y105" s="70" t="s">
        <v>10</v>
      </c>
      <c r="Z105" s="9" t="s">
        <v>11</v>
      </c>
      <c r="AA105" s="11">
        <v>3</v>
      </c>
      <c r="AB105" s="12">
        <v>1</v>
      </c>
      <c r="AC105" s="29" t="s">
        <v>10</v>
      </c>
      <c r="AD105" s="30" t="s">
        <v>10</v>
      </c>
      <c r="AE105" s="73" t="s">
        <v>10</v>
      </c>
      <c r="AF105" s="72" t="s">
        <v>10</v>
      </c>
      <c r="AG105" s="17">
        <f>AS105</f>
        <v>25.5</v>
      </c>
      <c r="AH105">
        <f t="shared" si="13"/>
        <v>0</v>
      </c>
      <c r="AI105">
        <f t="shared" si="14"/>
        <v>1</v>
      </c>
      <c r="AK105" s="56">
        <f>COUNTIF($B105:$AF105,3)</f>
        <v>7</v>
      </c>
      <c r="AL105" s="56">
        <f>COUNTIF($B105:$AF105,1)</f>
        <v>8</v>
      </c>
      <c r="AM105" s="56">
        <f>COUNTIF($B105:$AF105,2)</f>
        <v>4</v>
      </c>
      <c r="AN105" s="56">
        <f>COUNTIF($B105:$AF105,"DO")</f>
        <v>6</v>
      </c>
      <c r="AO105" s="56">
        <f>COUNTIF($B105:$AF105,"R")</f>
        <v>5</v>
      </c>
      <c r="AP105" s="56">
        <f>COUNTIF($B105:$AF105,4)</f>
        <v>0</v>
      </c>
      <c r="AQ105" s="56">
        <f>COUNTIF($B105:$AF105,5)</f>
        <v>1</v>
      </c>
      <c r="AR105" s="10">
        <f>SUM(AK105:AQ105)</f>
        <v>31</v>
      </c>
      <c r="AS105" s="82">
        <f t="shared" si="15"/>
        <v>25.5</v>
      </c>
    </row>
    <row r="106" spans="1:45">
      <c r="A106" s="151"/>
      <c r="B106" s="32"/>
      <c r="C106" s="69"/>
      <c r="D106" s="69"/>
      <c r="E106" s="12"/>
      <c r="F106" s="12"/>
      <c r="G106" s="4"/>
      <c r="H106" s="12"/>
      <c r="I106" s="18"/>
      <c r="J106" s="13"/>
      <c r="K106" s="79"/>
      <c r="L106" s="12"/>
      <c r="M106" s="4"/>
      <c r="N106" s="12"/>
      <c r="O106" s="4"/>
      <c r="P106" s="12"/>
      <c r="Q106" s="13"/>
      <c r="R106" s="13"/>
      <c r="S106" s="4"/>
      <c r="T106" s="12"/>
      <c r="U106" s="4"/>
      <c r="V106" s="12"/>
      <c r="W106" s="12"/>
      <c r="X106" s="13"/>
      <c r="Y106" s="69"/>
      <c r="Z106" s="12"/>
      <c r="AA106" s="4"/>
      <c r="AB106" s="12"/>
      <c r="AC106" s="12"/>
      <c r="AD106" s="12"/>
      <c r="AE106" s="13"/>
      <c r="AF106" s="13"/>
      <c r="AG106" s="13"/>
    </row>
    <row r="107" spans="1:45">
      <c r="A107" s="3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row>
    <row r="108" spans="1:45">
      <c r="A108" s="20" t="s">
        <v>18</v>
      </c>
      <c r="B108" s="21"/>
      <c r="C108" s="21"/>
      <c r="D108" s="4">
        <v>1</v>
      </c>
      <c r="E108" s="22" t="s">
        <v>17</v>
      </c>
      <c r="F108" s="144" t="s">
        <v>19</v>
      </c>
      <c r="G108" s="144"/>
      <c r="H108" s="21" t="s">
        <v>17</v>
      </c>
      <c r="I108" s="145" t="s">
        <v>20</v>
      </c>
      <c r="J108" s="145"/>
      <c r="K108" s="22"/>
      <c r="L108" s="22"/>
      <c r="M108" s="21" t="s">
        <v>11</v>
      </c>
      <c r="N108" s="21" t="s">
        <v>17</v>
      </c>
      <c r="O108" s="145" t="s">
        <v>20</v>
      </c>
      <c r="P108" s="145"/>
      <c r="Q108" s="22" t="s">
        <v>17</v>
      </c>
      <c r="R108" s="144" t="s">
        <v>21</v>
      </c>
      <c r="S108" s="144"/>
      <c r="T108" s="21"/>
      <c r="U108" s="21"/>
      <c r="V108" s="21"/>
      <c r="W108" s="22"/>
      <c r="AD108" s="22"/>
      <c r="AE108" s="22"/>
      <c r="AF108" s="22"/>
    </row>
    <row r="109" spans="1:45">
      <c r="A109" s="20"/>
      <c r="B109" s="21"/>
      <c r="C109" s="21"/>
      <c r="D109" s="4">
        <v>2</v>
      </c>
      <c r="E109" s="22" t="s">
        <v>17</v>
      </c>
      <c r="F109" s="144" t="s">
        <v>20</v>
      </c>
      <c r="G109" s="144"/>
      <c r="H109" s="21" t="s">
        <v>17</v>
      </c>
      <c r="I109" s="145" t="s">
        <v>22</v>
      </c>
      <c r="J109" s="145"/>
      <c r="K109" s="22"/>
      <c r="L109" s="22"/>
      <c r="M109" s="21" t="s">
        <v>10</v>
      </c>
      <c r="N109" s="21" t="s">
        <v>17</v>
      </c>
      <c r="O109" s="145" t="s">
        <v>23</v>
      </c>
      <c r="P109" s="145"/>
      <c r="Q109" s="22"/>
      <c r="R109" s="22"/>
      <c r="S109" s="21"/>
      <c r="T109" s="21"/>
      <c r="U109" s="21"/>
      <c r="V109" s="21"/>
      <c r="W109" s="22"/>
      <c r="X109" s="47"/>
      <c r="Y109" s="21"/>
      <c r="Z109" s="21"/>
      <c r="AA109" s="49"/>
      <c r="AB109" s="21"/>
      <c r="AC109" s="22"/>
      <c r="AD109" s="22"/>
      <c r="AE109" s="22"/>
      <c r="AF109" s="22"/>
    </row>
    <row r="110" spans="1:45">
      <c r="A110" s="20"/>
      <c r="B110" s="21"/>
      <c r="C110" s="21"/>
      <c r="D110" s="4">
        <v>3</v>
      </c>
      <c r="E110" s="22" t="s">
        <v>17</v>
      </c>
      <c r="F110" s="144" t="s">
        <v>22</v>
      </c>
      <c r="G110" s="144"/>
      <c r="H110" s="21" t="s">
        <v>17</v>
      </c>
      <c r="I110" s="145" t="s">
        <v>24</v>
      </c>
      <c r="J110" s="145"/>
      <c r="K110" s="22"/>
      <c r="L110" s="22"/>
      <c r="M110" s="7"/>
      <c r="N110" s="22"/>
      <c r="O110" s="23"/>
      <c r="P110" s="22"/>
      <c r="Q110" s="22"/>
      <c r="R110" s="22"/>
      <c r="S110" s="22"/>
      <c r="T110" s="21"/>
      <c r="U110" s="21"/>
      <c r="V110" s="21"/>
      <c r="W110" s="22"/>
      <c r="X110" s="48"/>
      <c r="Y110" s="21"/>
      <c r="Z110" s="21"/>
      <c r="AA110" s="49"/>
      <c r="AB110" s="21"/>
      <c r="AC110" s="22"/>
      <c r="AD110" s="22"/>
      <c r="AE110" s="22"/>
      <c r="AF110" s="22"/>
    </row>
    <row r="111" spans="1:45">
      <c r="A111" s="20"/>
      <c r="B111" s="21"/>
      <c r="C111" s="21"/>
      <c r="D111" s="36">
        <v>4</v>
      </c>
      <c r="E111" s="38" t="s">
        <v>17</v>
      </c>
      <c r="F111" s="144" t="s">
        <v>19</v>
      </c>
      <c r="G111" s="144"/>
      <c r="H111" s="37" t="s">
        <v>17</v>
      </c>
      <c r="I111" s="145" t="s">
        <v>32</v>
      </c>
      <c r="J111" s="145"/>
      <c r="K111" s="22"/>
      <c r="L111" s="22"/>
      <c r="M111" s="7"/>
      <c r="N111" s="22"/>
      <c r="O111" s="23"/>
      <c r="P111" s="22"/>
      <c r="Q111" s="22"/>
      <c r="R111" s="22"/>
      <c r="S111" s="22"/>
      <c r="T111" s="21"/>
      <c r="U111" s="21"/>
      <c r="V111" s="21"/>
      <c r="W111" s="22"/>
      <c r="X111" s="48"/>
      <c r="Y111" s="21"/>
      <c r="Z111" s="21"/>
      <c r="AA111" s="49"/>
      <c r="AB111" s="21"/>
      <c r="AC111" s="22"/>
      <c r="AD111" s="22"/>
      <c r="AE111" s="22"/>
      <c r="AF111" s="22"/>
    </row>
    <row r="112" spans="1:45">
      <c r="A112" s="20"/>
      <c r="B112" s="21"/>
      <c r="C112" s="21"/>
      <c r="D112" s="36">
        <v>5</v>
      </c>
      <c r="E112" s="38" t="s">
        <v>17</v>
      </c>
      <c r="F112" s="144" t="s">
        <v>32</v>
      </c>
      <c r="G112" s="144"/>
      <c r="H112" s="37" t="s">
        <v>17</v>
      </c>
      <c r="I112" s="155" t="s">
        <v>19</v>
      </c>
      <c r="J112" s="155"/>
      <c r="K112" s="22"/>
      <c r="L112" s="22"/>
      <c r="M112" s="7"/>
      <c r="N112" s="22"/>
      <c r="O112" s="23"/>
      <c r="P112" s="22"/>
      <c r="Q112" s="22"/>
      <c r="R112" s="22"/>
      <c r="S112" s="22"/>
      <c r="T112" s="21"/>
      <c r="U112" s="21"/>
      <c r="V112" s="21"/>
      <c r="W112" s="22"/>
      <c r="X112" s="48"/>
      <c r="Y112" s="21"/>
      <c r="Z112" s="21"/>
      <c r="AA112" s="49"/>
      <c r="AB112" s="21"/>
      <c r="AC112" s="22"/>
      <c r="AD112" s="22"/>
      <c r="AE112" s="22"/>
      <c r="AF112" s="22"/>
    </row>
    <row r="113" spans="1:45">
      <c r="A113" s="20"/>
      <c r="B113" s="21"/>
      <c r="C113" s="21"/>
      <c r="D113" s="21"/>
      <c r="E113" s="22"/>
      <c r="F113" s="22"/>
      <c r="G113" s="22"/>
      <c r="H113" s="21"/>
      <c r="I113" s="21"/>
      <c r="J113" s="21"/>
      <c r="K113" s="22"/>
      <c r="L113" s="22"/>
      <c r="M113" s="21"/>
      <c r="N113" s="21"/>
      <c r="O113" s="21"/>
      <c r="P113" s="21"/>
      <c r="Q113" s="22"/>
      <c r="R113" s="22"/>
      <c r="S113" s="21"/>
      <c r="T113" s="21"/>
      <c r="U113" s="21"/>
      <c r="V113" s="21"/>
      <c r="W113" s="22"/>
      <c r="X113" s="47"/>
      <c r="Y113" s="21"/>
      <c r="Z113" s="21"/>
      <c r="AA113" s="50"/>
      <c r="AB113" s="21"/>
      <c r="AC113" s="22"/>
      <c r="AD113" s="22"/>
      <c r="AE113" s="22"/>
      <c r="AF113" s="22"/>
    </row>
    <row r="114" spans="1:45">
      <c r="A114" s="20" t="s">
        <v>25</v>
      </c>
      <c r="B114" s="21"/>
      <c r="C114" s="21"/>
      <c r="D114" s="21"/>
      <c r="E114" s="22"/>
      <c r="F114" s="22"/>
      <c r="G114" s="22"/>
      <c r="H114" s="21"/>
      <c r="I114" s="20"/>
      <c r="J114" s="21"/>
      <c r="K114" s="21"/>
      <c r="L114" s="21" t="s">
        <v>26</v>
      </c>
      <c r="M114" s="22"/>
      <c r="N114" s="22"/>
      <c r="O114" s="22"/>
      <c r="P114" s="21"/>
      <c r="Q114" s="22"/>
      <c r="R114" s="22"/>
      <c r="S114" s="21"/>
      <c r="T114" s="24"/>
      <c r="U114" s="24"/>
      <c r="V114" s="24"/>
      <c r="W114" s="24"/>
      <c r="X114" s="24"/>
      <c r="Y114" s="21" t="s">
        <v>27</v>
      </c>
      <c r="Z114" s="21"/>
      <c r="AA114" s="21"/>
      <c r="AB114" s="21"/>
      <c r="AC114" s="22"/>
      <c r="AD114" s="22"/>
      <c r="AE114" s="22"/>
      <c r="AF114" s="22"/>
    </row>
    <row r="115" spans="1:45">
      <c r="L115" s="25"/>
      <c r="M115" s="25"/>
      <c r="N115" s="25"/>
      <c r="O115" s="25"/>
      <c r="P115" s="25"/>
      <c r="Q115" s="25"/>
      <c r="X115" s="25"/>
      <c r="Y115" s="25"/>
      <c r="Z115" s="25"/>
      <c r="AA115" s="25"/>
      <c r="AB115" s="25"/>
      <c r="AC115" s="25"/>
    </row>
    <row r="116" spans="1:45">
      <c r="B116" s="146" t="s">
        <v>70</v>
      </c>
      <c r="C116" s="146"/>
      <c r="D116" s="146"/>
      <c r="E116" s="146"/>
      <c r="F116" s="146"/>
      <c r="G116" s="146"/>
      <c r="H116" s="25"/>
      <c r="J116" s="25"/>
      <c r="N116" s="146" t="s">
        <v>28</v>
      </c>
      <c r="O116" s="146"/>
      <c r="P116" s="146"/>
      <c r="Q116" s="146"/>
      <c r="R116" s="146"/>
      <c r="S116" s="146"/>
      <c r="T116" s="146"/>
      <c r="U116" s="146"/>
      <c r="AA116" s="146" t="s">
        <v>35</v>
      </c>
      <c r="AB116" s="146"/>
      <c r="AC116" s="146"/>
      <c r="AD116" s="146"/>
      <c r="AE116" s="146"/>
      <c r="AF116" s="146"/>
    </row>
    <row r="117" spans="1:45">
      <c r="B117" s="147" t="s">
        <v>29</v>
      </c>
      <c r="C117" s="147"/>
      <c r="D117" s="147"/>
      <c r="E117" s="147"/>
      <c r="F117" s="147"/>
      <c r="G117" s="147"/>
      <c r="N117" s="147" t="s">
        <v>30</v>
      </c>
      <c r="O117" s="147"/>
      <c r="P117" s="147"/>
      <c r="Q117" s="147"/>
      <c r="R117" s="147"/>
      <c r="S117" s="147"/>
      <c r="T117" s="147"/>
      <c r="AA117" s="148" t="s">
        <v>47</v>
      </c>
      <c r="AB117" s="148"/>
      <c r="AC117" s="148"/>
      <c r="AD117" s="148"/>
      <c r="AE117" s="148"/>
      <c r="AF117" s="148"/>
    </row>
    <row r="119" spans="1:45" ht="18.75">
      <c r="A119" s="149" t="s">
        <v>41</v>
      </c>
      <c r="B119" s="149"/>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c r="Y119" s="149"/>
      <c r="Z119" s="149"/>
      <c r="AA119" s="149"/>
      <c r="AB119" s="149"/>
      <c r="AC119" s="149"/>
      <c r="AD119" s="149"/>
      <c r="AE119" s="149"/>
      <c r="AF119" s="149"/>
      <c r="AG119" s="149"/>
    </row>
    <row r="120" spans="1:45">
      <c r="A120" s="1" t="s">
        <v>1</v>
      </c>
      <c r="B120" s="2" t="s">
        <v>4</v>
      </c>
      <c r="C120" s="27" t="s">
        <v>5</v>
      </c>
      <c r="D120" s="27" t="s">
        <v>6</v>
      </c>
      <c r="E120" s="2" t="s">
        <v>7</v>
      </c>
      <c r="F120" s="2" t="s">
        <v>8</v>
      </c>
      <c r="G120" s="2" t="s">
        <v>2</v>
      </c>
      <c r="H120" s="2" t="s">
        <v>3</v>
      </c>
      <c r="I120" s="2" t="s">
        <v>4</v>
      </c>
      <c r="J120" s="27" t="s">
        <v>5</v>
      </c>
      <c r="K120" s="27" t="s">
        <v>6</v>
      </c>
      <c r="L120" s="2" t="s">
        <v>7</v>
      </c>
      <c r="M120" s="2" t="s">
        <v>8</v>
      </c>
      <c r="N120" s="2" t="s">
        <v>2</v>
      </c>
      <c r="O120" s="2" t="s">
        <v>3</v>
      </c>
      <c r="P120" s="2" t="s">
        <v>4</v>
      </c>
      <c r="Q120" s="27" t="s">
        <v>5</v>
      </c>
      <c r="R120" s="27" t="s">
        <v>6</v>
      </c>
      <c r="S120" s="2" t="s">
        <v>7</v>
      </c>
      <c r="T120" s="2" t="s">
        <v>8</v>
      </c>
      <c r="U120" s="2" t="s">
        <v>2</v>
      </c>
      <c r="V120" s="2" t="s">
        <v>3</v>
      </c>
      <c r="W120" s="2" t="s">
        <v>4</v>
      </c>
      <c r="X120" s="27" t="s">
        <v>5</v>
      </c>
      <c r="Y120" s="27" t="s">
        <v>6</v>
      </c>
      <c r="Z120" s="2" t="s">
        <v>7</v>
      </c>
      <c r="AA120" s="2" t="s">
        <v>8</v>
      </c>
      <c r="AB120" s="2" t="s">
        <v>2</v>
      </c>
      <c r="AC120" s="2" t="s">
        <v>3</v>
      </c>
      <c r="AD120" s="2" t="s">
        <v>4</v>
      </c>
      <c r="AE120" s="27" t="s">
        <v>5</v>
      </c>
      <c r="AF120" s="27" t="s">
        <v>6</v>
      </c>
      <c r="AG120" s="26"/>
    </row>
    <row r="121" spans="1:45">
      <c r="A121" s="3" t="s">
        <v>9</v>
      </c>
      <c r="B121" s="15">
        <v>1</v>
      </c>
      <c r="C121" s="69">
        <v>2</v>
      </c>
      <c r="D121" s="69">
        <v>3</v>
      </c>
      <c r="E121" s="16">
        <v>4</v>
      </c>
      <c r="F121" s="16">
        <v>5</v>
      </c>
      <c r="G121" s="15">
        <v>6</v>
      </c>
      <c r="H121" s="15">
        <v>7</v>
      </c>
      <c r="I121" s="15">
        <v>8</v>
      </c>
      <c r="J121" s="69">
        <v>9</v>
      </c>
      <c r="K121" s="69">
        <v>10</v>
      </c>
      <c r="L121" s="15">
        <v>11</v>
      </c>
      <c r="M121" s="15">
        <v>12</v>
      </c>
      <c r="N121" s="15">
        <v>13</v>
      </c>
      <c r="O121" s="15">
        <v>14</v>
      </c>
      <c r="P121" s="15">
        <v>15</v>
      </c>
      <c r="Q121" s="69">
        <v>16</v>
      </c>
      <c r="R121" s="69">
        <v>17</v>
      </c>
      <c r="S121" s="15">
        <v>18</v>
      </c>
      <c r="T121" s="15">
        <v>19</v>
      </c>
      <c r="U121" s="15">
        <v>20</v>
      </c>
      <c r="V121" s="15">
        <v>21</v>
      </c>
      <c r="W121" s="15">
        <v>22</v>
      </c>
      <c r="X121" s="69">
        <v>23</v>
      </c>
      <c r="Y121" s="69">
        <v>24</v>
      </c>
      <c r="Z121" s="15">
        <v>25</v>
      </c>
      <c r="AA121" s="15">
        <v>26</v>
      </c>
      <c r="AB121" s="15">
        <v>27</v>
      </c>
      <c r="AC121" s="57">
        <v>28</v>
      </c>
      <c r="AD121" s="57">
        <v>29</v>
      </c>
      <c r="AE121" s="69">
        <v>30</v>
      </c>
      <c r="AF121" s="69">
        <v>31</v>
      </c>
      <c r="AG121" s="27">
        <v>24</v>
      </c>
      <c r="AJ121" s="56"/>
      <c r="AK121" s="56">
        <v>3</v>
      </c>
      <c r="AL121" s="56">
        <v>1</v>
      </c>
      <c r="AM121" s="56">
        <v>2</v>
      </c>
      <c r="AN121" s="56" t="s">
        <v>10</v>
      </c>
      <c r="AO121" s="56" t="s">
        <v>11</v>
      </c>
      <c r="AP121" s="56">
        <v>4</v>
      </c>
      <c r="AQ121" s="56">
        <v>5</v>
      </c>
    </row>
    <row r="122" spans="1:45">
      <c r="A122" s="150" t="s">
        <v>16</v>
      </c>
      <c r="B122" s="9" t="s">
        <v>11</v>
      </c>
      <c r="C122" s="70" t="s">
        <v>10</v>
      </c>
      <c r="D122" s="70">
        <v>2</v>
      </c>
      <c r="E122" s="8" t="s">
        <v>11</v>
      </c>
      <c r="F122" s="8" t="s">
        <v>11</v>
      </c>
      <c r="G122" s="8" t="s">
        <v>11</v>
      </c>
      <c r="H122" s="8" t="s">
        <v>11</v>
      </c>
      <c r="I122" s="8" t="s">
        <v>11</v>
      </c>
      <c r="J122" s="70" t="s">
        <v>10</v>
      </c>
      <c r="K122" s="70">
        <v>2</v>
      </c>
      <c r="L122" s="8" t="s">
        <v>11</v>
      </c>
      <c r="M122" s="8" t="s">
        <v>11</v>
      </c>
      <c r="N122" s="8" t="s">
        <v>11</v>
      </c>
      <c r="O122" s="8" t="s">
        <v>11</v>
      </c>
      <c r="P122" s="8" t="s">
        <v>11</v>
      </c>
      <c r="Q122" s="70" t="s">
        <v>10</v>
      </c>
      <c r="R122" s="70">
        <v>2</v>
      </c>
      <c r="S122" s="8" t="s">
        <v>11</v>
      </c>
      <c r="T122" s="8" t="s">
        <v>11</v>
      </c>
      <c r="U122" s="8" t="s">
        <v>11</v>
      </c>
      <c r="V122" s="8" t="s">
        <v>11</v>
      </c>
      <c r="W122" s="8" t="s">
        <v>11</v>
      </c>
      <c r="X122" s="70" t="s">
        <v>10</v>
      </c>
      <c r="Y122" s="70" t="s">
        <v>10</v>
      </c>
      <c r="Z122" s="8" t="s">
        <v>11</v>
      </c>
      <c r="AA122" s="8" t="s">
        <v>11</v>
      </c>
      <c r="AB122" s="8" t="s">
        <v>11</v>
      </c>
      <c r="AC122" s="8">
        <v>2</v>
      </c>
      <c r="AD122" s="8">
        <v>2</v>
      </c>
      <c r="AE122" s="70">
        <v>2</v>
      </c>
      <c r="AF122" s="70" t="s">
        <v>10</v>
      </c>
      <c r="AG122" s="17">
        <f>AS122</f>
        <v>25</v>
      </c>
      <c r="AH122">
        <f>COUNTIF($B122:$AF122,4)</f>
        <v>0</v>
      </c>
      <c r="AI122">
        <f>COUNTIF($B122:$AF122,5)</f>
        <v>0</v>
      </c>
      <c r="AK122" s="56">
        <f>COUNTIF($B122:$AF122,3)</f>
        <v>0</v>
      </c>
      <c r="AL122" s="56">
        <f>COUNTIF($B122:$AF122,1)</f>
        <v>0</v>
      </c>
      <c r="AM122" s="56">
        <f>COUNTIF($B122:$AF122,2)</f>
        <v>6</v>
      </c>
      <c r="AN122" s="56">
        <f>COUNTIF($B122:$AF122,"DO")</f>
        <v>6</v>
      </c>
      <c r="AO122" s="56">
        <f>COUNTIF($B122:$AF122,"R")</f>
        <v>19</v>
      </c>
      <c r="AP122" s="56">
        <f>COUNTIF($B122:$AF122,4)</f>
        <v>0</v>
      </c>
      <c r="AQ122" s="56">
        <f>COUNTIF($B122:$AF122,5)</f>
        <v>0</v>
      </c>
      <c r="AR122" s="10">
        <f t="shared" ref="AR122" si="16">SUM(AK122:AQ122)</f>
        <v>31</v>
      </c>
      <c r="AS122" s="82">
        <f>AQ122+AP122+AO122+AM122+AL122+AK122+((AH122+AI122)/2)</f>
        <v>25</v>
      </c>
    </row>
    <row r="123" spans="1:45">
      <c r="A123" s="151"/>
      <c r="B123" s="11"/>
      <c r="C123" s="13"/>
      <c r="D123" s="13"/>
      <c r="E123" s="12"/>
      <c r="F123" s="11"/>
      <c r="G123" s="12"/>
      <c r="H123" s="12"/>
      <c r="I123" s="12"/>
      <c r="J123" s="75"/>
      <c r="K123" s="13"/>
      <c r="L123" s="12"/>
      <c r="M123" s="12"/>
      <c r="N123" s="11"/>
      <c r="O123" s="12"/>
      <c r="P123" s="12"/>
      <c r="Q123" s="13"/>
      <c r="R123" s="75"/>
      <c r="S123" s="12"/>
      <c r="T123" s="12"/>
      <c r="U123" s="12"/>
      <c r="V123" s="11"/>
      <c r="W123" s="12"/>
      <c r="X123" s="13"/>
      <c r="Y123" s="13"/>
      <c r="Z123" s="11"/>
      <c r="AA123" s="12"/>
      <c r="AB123" s="12"/>
      <c r="AC123" s="12"/>
      <c r="AD123" s="12"/>
      <c r="AE123" s="13"/>
      <c r="AF123" s="13"/>
      <c r="AG123" s="17"/>
      <c r="AK123" s="56"/>
      <c r="AL123" s="56"/>
      <c r="AM123" s="56"/>
      <c r="AN123" s="56"/>
      <c r="AO123" s="56"/>
      <c r="AP123" s="56"/>
      <c r="AQ123" s="56"/>
      <c r="AR123" s="10"/>
      <c r="AS123" s="82"/>
    </row>
    <row r="124" spans="1:45">
      <c r="A124" s="150" t="s">
        <v>71</v>
      </c>
      <c r="B124" s="11" t="s">
        <v>11</v>
      </c>
      <c r="C124" s="13" t="s">
        <v>10</v>
      </c>
      <c r="D124" s="75" t="s">
        <v>10</v>
      </c>
      <c r="E124" s="12" t="s">
        <v>11</v>
      </c>
      <c r="F124" s="11">
        <v>3</v>
      </c>
      <c r="G124" s="12">
        <v>1</v>
      </c>
      <c r="H124" s="12" t="s">
        <v>10</v>
      </c>
      <c r="I124" s="12">
        <v>3</v>
      </c>
      <c r="J124" s="13">
        <v>1</v>
      </c>
      <c r="K124" s="13" t="s">
        <v>10</v>
      </c>
      <c r="L124" s="12" t="s">
        <v>11</v>
      </c>
      <c r="M124" s="12" t="s">
        <v>10</v>
      </c>
      <c r="N124" s="11">
        <v>3</v>
      </c>
      <c r="O124" s="12">
        <v>1</v>
      </c>
      <c r="P124" s="12" t="s">
        <v>10</v>
      </c>
      <c r="Q124" s="13">
        <v>3</v>
      </c>
      <c r="R124" s="13">
        <v>1</v>
      </c>
      <c r="S124" s="12" t="s">
        <v>11</v>
      </c>
      <c r="T124" s="12">
        <v>3</v>
      </c>
      <c r="U124" s="12">
        <v>1</v>
      </c>
      <c r="V124" s="11" t="s">
        <v>10</v>
      </c>
      <c r="W124" s="12">
        <v>3</v>
      </c>
      <c r="X124" s="13">
        <v>1</v>
      </c>
      <c r="Y124" s="13" t="s">
        <v>10</v>
      </c>
      <c r="Z124" s="11" t="s">
        <v>11</v>
      </c>
      <c r="AA124" s="12">
        <v>3</v>
      </c>
      <c r="AB124" s="12">
        <v>1</v>
      </c>
      <c r="AC124" s="12" t="s">
        <v>10</v>
      </c>
      <c r="AD124" s="12" t="s">
        <v>10</v>
      </c>
      <c r="AE124" s="13" t="s">
        <v>10</v>
      </c>
      <c r="AF124" s="13" t="s">
        <v>10</v>
      </c>
      <c r="AG124" s="17">
        <f>AS124</f>
        <v>19</v>
      </c>
      <c r="AH124">
        <f t="shared" ref="AH124:AH126" si="17">COUNTIF($B124:$AF124,4)</f>
        <v>0</v>
      </c>
      <c r="AI124">
        <f t="shared" ref="AI124:AI126" si="18">COUNTIF($B124:$AF124,5)</f>
        <v>0</v>
      </c>
      <c r="AK124" s="56">
        <f>COUNTIF($B124:$AF124,3)</f>
        <v>7</v>
      </c>
      <c r="AL124" s="56">
        <f>COUNTIF($B124:$AF124,1)</f>
        <v>7</v>
      </c>
      <c r="AM124" s="56">
        <f>COUNTIF($B124:$AF124,2)</f>
        <v>0</v>
      </c>
      <c r="AN124" s="56">
        <f>COUNTIF($B124:$AF124,"DO")</f>
        <v>12</v>
      </c>
      <c r="AO124" s="56">
        <f>COUNTIF($B124:$AF124,"R")</f>
        <v>5</v>
      </c>
      <c r="AP124" s="56">
        <f>COUNTIF($B124:$AF124,4)</f>
        <v>0</v>
      </c>
      <c r="AQ124" s="56">
        <f>COUNTIF($B124:$AF124,5)</f>
        <v>0</v>
      </c>
      <c r="AR124" s="10">
        <f t="shared" ref="AR124" si="19">SUM(AK124:AQ124)</f>
        <v>31</v>
      </c>
      <c r="AS124" s="82">
        <f t="shared" ref="AS124" si="20">AQ124+AP124+AO124+AM124+AL124+AK124+((AH124+AI124)/2)</f>
        <v>19</v>
      </c>
    </row>
    <row r="125" spans="1:45">
      <c r="A125" s="151"/>
      <c r="B125" s="11"/>
      <c r="C125" s="13"/>
      <c r="D125" s="13"/>
      <c r="E125" s="12"/>
      <c r="F125" s="11"/>
      <c r="G125" s="12"/>
      <c r="H125" s="12"/>
      <c r="I125" s="12"/>
      <c r="J125" s="75"/>
      <c r="K125" s="13"/>
      <c r="L125" s="12"/>
      <c r="M125" s="12"/>
      <c r="N125" s="11"/>
      <c r="O125" s="12"/>
      <c r="P125" s="12"/>
      <c r="Q125" s="13"/>
      <c r="R125" s="75"/>
      <c r="S125" s="12"/>
      <c r="T125" s="12"/>
      <c r="U125" s="12"/>
      <c r="V125" s="11"/>
      <c r="W125" s="12"/>
      <c r="X125" s="13"/>
      <c r="Y125" s="13"/>
      <c r="Z125" s="11"/>
      <c r="AA125" s="12"/>
      <c r="AB125" s="12"/>
      <c r="AC125" s="12"/>
      <c r="AD125" s="12"/>
      <c r="AE125" s="13"/>
      <c r="AF125" s="13"/>
      <c r="AG125" s="17"/>
      <c r="AK125" s="56"/>
      <c r="AL125" s="56"/>
      <c r="AM125" s="56"/>
      <c r="AN125" s="56"/>
      <c r="AO125" s="56"/>
      <c r="AP125" s="56"/>
      <c r="AQ125" s="56"/>
      <c r="AR125" s="10"/>
      <c r="AS125" s="82"/>
    </row>
    <row r="126" spans="1:45">
      <c r="A126" s="150" t="s">
        <v>72</v>
      </c>
      <c r="B126" s="11">
        <v>3</v>
      </c>
      <c r="C126" s="75">
        <v>1</v>
      </c>
      <c r="D126" s="75" t="s">
        <v>10</v>
      </c>
      <c r="E126" s="12" t="s">
        <v>11</v>
      </c>
      <c r="F126" s="11" t="s">
        <v>11</v>
      </c>
      <c r="G126" s="12" t="s">
        <v>10</v>
      </c>
      <c r="H126" s="12">
        <v>3</v>
      </c>
      <c r="I126" s="12">
        <v>1</v>
      </c>
      <c r="J126" s="13" t="s">
        <v>10</v>
      </c>
      <c r="K126" s="13" t="s">
        <v>10</v>
      </c>
      <c r="L126" s="12" t="s">
        <v>10</v>
      </c>
      <c r="M126" s="12">
        <v>3</v>
      </c>
      <c r="N126" s="11">
        <v>1</v>
      </c>
      <c r="O126" s="12" t="s">
        <v>10</v>
      </c>
      <c r="P126" s="12">
        <v>3</v>
      </c>
      <c r="Q126" s="13">
        <v>1</v>
      </c>
      <c r="R126" s="13" t="s">
        <v>10</v>
      </c>
      <c r="S126" s="12">
        <v>3</v>
      </c>
      <c r="T126" s="12">
        <v>1</v>
      </c>
      <c r="U126" s="12">
        <v>3</v>
      </c>
      <c r="V126" s="11">
        <v>1</v>
      </c>
      <c r="W126" s="12" t="s">
        <v>11</v>
      </c>
      <c r="X126" s="13" t="s">
        <v>10</v>
      </c>
      <c r="Y126" s="13" t="s">
        <v>10</v>
      </c>
      <c r="Z126" s="11">
        <v>3</v>
      </c>
      <c r="AA126" s="12">
        <v>1</v>
      </c>
      <c r="AB126" s="12">
        <v>3</v>
      </c>
      <c r="AC126" s="12">
        <v>1</v>
      </c>
      <c r="AD126" s="12" t="s">
        <v>10</v>
      </c>
      <c r="AE126" s="13" t="s">
        <v>10</v>
      </c>
      <c r="AF126" s="13" t="s">
        <v>10</v>
      </c>
      <c r="AG126" s="17">
        <f>AS126</f>
        <v>19</v>
      </c>
      <c r="AH126">
        <f t="shared" si="17"/>
        <v>0</v>
      </c>
      <c r="AI126">
        <f t="shared" si="18"/>
        <v>0</v>
      </c>
      <c r="AK126" s="56">
        <f>COUNTIF($B126:$AF126,3)</f>
        <v>8</v>
      </c>
      <c r="AL126" s="56">
        <f>COUNTIF($B126:$AF126,1)</f>
        <v>8</v>
      </c>
      <c r="AM126" s="56">
        <f>COUNTIF($B126:$AF126,2)</f>
        <v>0</v>
      </c>
      <c r="AN126" s="56">
        <f>COUNTIF($B126:$AF126,"DO")</f>
        <v>12</v>
      </c>
      <c r="AO126" s="56">
        <f>COUNTIF($B126:$AF126,"R")</f>
        <v>3</v>
      </c>
      <c r="AP126" s="56">
        <f>COUNTIF($B126:$AF126,4)</f>
        <v>0</v>
      </c>
      <c r="AQ126" s="56">
        <f>COUNTIF($B126:$AF126,5)</f>
        <v>0</v>
      </c>
      <c r="AR126" s="10">
        <f t="shared" ref="AR126" si="21">SUM(AK126:AQ126)</f>
        <v>31</v>
      </c>
      <c r="AS126" s="82">
        <f t="shared" ref="AS126" si="22">AQ126+AP126+AO126+AM126+AL126+AK126+((AH126+AI126)/2)</f>
        <v>19</v>
      </c>
    </row>
    <row r="127" spans="1:45">
      <c r="A127" s="151"/>
      <c r="B127" s="11"/>
      <c r="C127" s="13"/>
      <c r="D127" s="13"/>
      <c r="E127" s="12"/>
      <c r="F127" s="11"/>
      <c r="G127" s="12"/>
      <c r="H127" s="12"/>
      <c r="I127" s="12"/>
      <c r="J127" s="75"/>
      <c r="K127" s="13"/>
      <c r="L127" s="12"/>
      <c r="M127" s="12"/>
      <c r="N127" s="11"/>
      <c r="O127" s="12"/>
      <c r="P127" s="12"/>
      <c r="Q127" s="13"/>
      <c r="R127" s="75"/>
      <c r="S127" s="12"/>
      <c r="T127" s="12"/>
      <c r="U127" s="12"/>
      <c r="V127" s="11"/>
      <c r="W127" s="12"/>
      <c r="X127" s="13"/>
      <c r="Y127" s="13"/>
      <c r="Z127" s="11"/>
      <c r="AA127" s="12"/>
      <c r="AB127" s="12"/>
      <c r="AC127" s="12"/>
      <c r="AD127" s="12"/>
      <c r="AE127" s="13"/>
      <c r="AF127" s="13"/>
      <c r="AG127" s="17"/>
      <c r="AJ127" s="56"/>
      <c r="AK127" s="56"/>
      <c r="AL127" s="56"/>
      <c r="AM127" s="56"/>
      <c r="AN127" s="56"/>
      <c r="AO127" s="56"/>
      <c r="AP127" s="56"/>
      <c r="AQ127" s="56"/>
      <c r="AR127" s="10"/>
      <c r="AS127" s="10"/>
    </row>
    <row r="128" spans="1:45">
      <c r="A128" s="150" t="s">
        <v>73</v>
      </c>
      <c r="B128" s="11" t="s">
        <v>11</v>
      </c>
      <c r="C128" s="75">
        <v>3</v>
      </c>
      <c r="D128" s="75">
        <v>1</v>
      </c>
      <c r="E128" s="12">
        <v>3</v>
      </c>
      <c r="F128" s="11">
        <v>1</v>
      </c>
      <c r="G128" s="12">
        <v>3</v>
      </c>
      <c r="H128" s="12">
        <v>1</v>
      </c>
      <c r="I128" s="12" t="s">
        <v>11</v>
      </c>
      <c r="J128" s="75" t="s">
        <v>10</v>
      </c>
      <c r="K128" s="13" t="s">
        <v>10</v>
      </c>
      <c r="L128" s="12">
        <v>3</v>
      </c>
      <c r="M128" s="12">
        <v>1</v>
      </c>
      <c r="N128" s="11" t="s">
        <v>11</v>
      </c>
      <c r="O128" s="12">
        <v>3</v>
      </c>
      <c r="P128" s="12">
        <v>1</v>
      </c>
      <c r="Q128" s="13" t="s">
        <v>10</v>
      </c>
      <c r="R128" s="13">
        <v>3</v>
      </c>
      <c r="S128" s="12">
        <v>1</v>
      </c>
      <c r="T128" s="12" t="s">
        <v>11</v>
      </c>
      <c r="U128" s="12" t="s">
        <v>11</v>
      </c>
      <c r="V128" s="11">
        <v>3</v>
      </c>
      <c r="W128" s="12">
        <v>1</v>
      </c>
      <c r="X128" s="13" t="s">
        <v>10</v>
      </c>
      <c r="Y128" s="13" t="s">
        <v>10</v>
      </c>
      <c r="Z128" s="12" t="s">
        <v>10</v>
      </c>
      <c r="AA128" s="12" t="s">
        <v>10</v>
      </c>
      <c r="AB128" s="12" t="s">
        <v>10</v>
      </c>
      <c r="AC128" s="12" t="s">
        <v>10</v>
      </c>
      <c r="AD128" s="12" t="s">
        <v>10</v>
      </c>
      <c r="AE128" s="13" t="s">
        <v>10</v>
      </c>
      <c r="AF128" s="13" t="s">
        <v>10</v>
      </c>
      <c r="AG128" s="17">
        <f>AS128</f>
        <v>19</v>
      </c>
      <c r="AH128">
        <v>4</v>
      </c>
      <c r="AJ128" s="56"/>
      <c r="AK128" s="56">
        <f>COUNTIF($B128:$AF128,3)</f>
        <v>7</v>
      </c>
      <c r="AL128" s="56">
        <f>COUNTIF($B128:$AF128,1)</f>
        <v>7</v>
      </c>
      <c r="AM128" s="56">
        <f>COUNTIF($B128:$AF128,2)</f>
        <v>0</v>
      </c>
      <c r="AN128" s="56">
        <f>COUNTIF($B128:$AF128,"DO")</f>
        <v>12</v>
      </c>
      <c r="AO128" s="56">
        <f>COUNTIF($B128:$AF128,"R")</f>
        <v>5</v>
      </c>
      <c r="AP128" s="56">
        <f>COUNTIF($B128:$AF128,4)</f>
        <v>0</v>
      </c>
      <c r="AQ128" s="56">
        <f>COUNTIF($B128:$AF128,5)</f>
        <v>0</v>
      </c>
      <c r="AR128" s="10">
        <f>SUM(AK128:AO128)</f>
        <v>31</v>
      </c>
      <c r="AS128" s="10">
        <f>AQ128+AP128+AO128+AM128+AL128+AK128</f>
        <v>19</v>
      </c>
    </row>
    <row r="129" spans="1:45">
      <c r="A129" s="151"/>
      <c r="B129" s="11"/>
      <c r="C129" s="13"/>
      <c r="D129" s="13"/>
      <c r="E129" s="12"/>
      <c r="F129" s="11"/>
      <c r="G129" s="12"/>
      <c r="H129" s="12"/>
      <c r="I129" s="12"/>
      <c r="J129" s="75"/>
      <c r="K129" s="13"/>
      <c r="L129" s="12"/>
      <c r="M129" s="12"/>
      <c r="N129" s="11"/>
      <c r="O129" s="12"/>
      <c r="P129" s="12"/>
      <c r="Q129" s="13"/>
      <c r="R129" s="75"/>
      <c r="S129" s="12"/>
      <c r="T129" s="12"/>
      <c r="U129" s="12"/>
      <c r="V129" s="11"/>
      <c r="W129" s="12"/>
      <c r="X129" s="13"/>
      <c r="Y129" s="13"/>
      <c r="Z129" s="11"/>
      <c r="AA129" s="12"/>
      <c r="AB129" s="12"/>
      <c r="AC129" s="12"/>
      <c r="AD129" s="12"/>
      <c r="AE129" s="13"/>
      <c r="AF129" s="13"/>
      <c r="AG129" s="17"/>
      <c r="AJ129" s="56"/>
      <c r="AK129" s="56"/>
      <c r="AL129" s="56"/>
      <c r="AM129" s="56"/>
      <c r="AN129" s="56"/>
      <c r="AO129" s="56"/>
      <c r="AP129" s="56"/>
      <c r="AQ129" s="56"/>
      <c r="AR129" s="10"/>
      <c r="AS129" s="10"/>
    </row>
    <row r="130" spans="1:45">
      <c r="A130" s="150" t="s">
        <v>12</v>
      </c>
      <c r="B130" s="9">
        <v>2</v>
      </c>
      <c r="C130" s="73" t="s">
        <v>10</v>
      </c>
      <c r="D130" s="73">
        <v>3</v>
      </c>
      <c r="E130" s="12">
        <v>1</v>
      </c>
      <c r="F130" s="9">
        <v>2</v>
      </c>
      <c r="G130" s="8" t="s">
        <v>11</v>
      </c>
      <c r="H130" s="8" t="s">
        <v>10</v>
      </c>
      <c r="I130" s="12">
        <v>3</v>
      </c>
      <c r="J130" s="71">
        <v>1</v>
      </c>
      <c r="K130" s="70">
        <v>3</v>
      </c>
      <c r="L130" s="9">
        <v>1</v>
      </c>
      <c r="M130" s="12">
        <v>2</v>
      </c>
      <c r="N130" s="12" t="s">
        <v>11</v>
      </c>
      <c r="O130" s="8">
        <v>2</v>
      </c>
      <c r="P130" s="9">
        <v>3</v>
      </c>
      <c r="Q130" s="70">
        <v>1</v>
      </c>
      <c r="R130" s="71">
        <v>3</v>
      </c>
      <c r="S130" s="8">
        <v>1</v>
      </c>
      <c r="T130" s="9" t="s">
        <v>11</v>
      </c>
      <c r="U130" s="12" t="s">
        <v>10</v>
      </c>
      <c r="V130" s="8">
        <v>3</v>
      </c>
      <c r="W130" s="8">
        <v>1</v>
      </c>
      <c r="X130" s="71" t="s">
        <v>10</v>
      </c>
      <c r="Y130" s="70">
        <v>2</v>
      </c>
      <c r="Z130" s="9">
        <v>3</v>
      </c>
      <c r="AA130" s="8">
        <v>1</v>
      </c>
      <c r="AB130" s="30">
        <v>3</v>
      </c>
      <c r="AC130" s="33">
        <v>1</v>
      </c>
      <c r="AD130" s="11">
        <v>3</v>
      </c>
      <c r="AE130" s="70">
        <v>1</v>
      </c>
      <c r="AF130" s="11">
        <v>3</v>
      </c>
      <c r="AG130" s="17">
        <f>AS130</f>
        <v>27</v>
      </c>
      <c r="AH130">
        <f>COUNTIF($B130:$AF130,4)</f>
        <v>0</v>
      </c>
      <c r="AI130">
        <f>COUNTIF($B130:$AF130,5)</f>
        <v>0</v>
      </c>
      <c r="AK130" s="56">
        <f>COUNTIF($B130:$AF130,3)</f>
        <v>10</v>
      </c>
      <c r="AL130" s="56">
        <f>COUNTIF($B130:$AF130,1)</f>
        <v>9</v>
      </c>
      <c r="AM130" s="56">
        <f>COUNTIF($B130:$AF130,2)</f>
        <v>5</v>
      </c>
      <c r="AN130" s="56">
        <f>COUNTIF($B130:$AF130,"DO")</f>
        <v>4</v>
      </c>
      <c r="AO130" s="56">
        <f>COUNTIF($B130:$AF130,"R")</f>
        <v>3</v>
      </c>
      <c r="AP130" s="56">
        <f>COUNTIF($B130:$AF130,4)</f>
        <v>0</v>
      </c>
      <c r="AQ130" s="56">
        <f>COUNTIF($B130:$AF130,5)</f>
        <v>0</v>
      </c>
      <c r="AR130" s="10">
        <f t="shared" ref="AR130" si="23">SUM(AK130:AQ130)</f>
        <v>31</v>
      </c>
      <c r="AS130" s="82">
        <f>AQ130+AP130+AO130+AM130+AL130+AK130+((AH130+AI130)/2)</f>
        <v>27</v>
      </c>
    </row>
    <row r="131" spans="1:45">
      <c r="A131" s="151"/>
      <c r="B131" s="32"/>
      <c r="C131" s="74"/>
      <c r="D131" s="74"/>
      <c r="E131" s="12"/>
      <c r="F131" s="12"/>
      <c r="G131" s="12"/>
      <c r="H131" s="28"/>
      <c r="I131" s="12"/>
      <c r="J131" s="78"/>
      <c r="K131" s="13"/>
      <c r="L131" s="12"/>
      <c r="M131" s="12"/>
      <c r="N131" s="4"/>
      <c r="O131" s="12"/>
      <c r="P131" s="12"/>
      <c r="Q131" s="13"/>
      <c r="R131" s="13"/>
      <c r="S131" s="12"/>
      <c r="T131" s="4"/>
      <c r="U131" s="12"/>
      <c r="V131" s="12"/>
      <c r="W131" s="12"/>
      <c r="X131" s="13"/>
      <c r="Y131" s="13"/>
      <c r="Z131" s="4"/>
      <c r="AA131" s="12"/>
      <c r="AB131" s="12"/>
      <c r="AC131" s="12"/>
      <c r="AD131" s="34"/>
      <c r="AE131" s="13"/>
      <c r="AF131" s="13"/>
      <c r="AG131" s="17"/>
      <c r="AK131" s="56"/>
      <c r="AL131" s="56"/>
      <c r="AM131" s="56"/>
      <c r="AN131" s="56"/>
      <c r="AO131" s="56"/>
      <c r="AP131" s="56"/>
      <c r="AQ131" s="56"/>
      <c r="AR131" s="10"/>
      <c r="AS131" s="82"/>
    </row>
    <row r="132" spans="1:45">
      <c r="A132" s="150" t="s">
        <v>13</v>
      </c>
      <c r="B132" s="29">
        <v>1</v>
      </c>
      <c r="C132" s="76" t="s">
        <v>10</v>
      </c>
      <c r="D132" s="76" t="s">
        <v>10</v>
      </c>
      <c r="E132" s="41" t="s">
        <v>10</v>
      </c>
      <c r="F132" s="41" t="s">
        <v>10</v>
      </c>
      <c r="G132" s="41" t="s">
        <v>10</v>
      </c>
      <c r="H132" s="36" t="s">
        <v>11</v>
      </c>
      <c r="I132" s="8">
        <v>2</v>
      </c>
      <c r="J132" s="12">
        <v>3</v>
      </c>
      <c r="K132" s="70">
        <v>1</v>
      </c>
      <c r="L132" s="12">
        <v>2</v>
      </c>
      <c r="M132" s="8" t="s">
        <v>11</v>
      </c>
      <c r="N132" s="8">
        <v>3</v>
      </c>
      <c r="O132" s="8">
        <v>1</v>
      </c>
      <c r="P132" s="41">
        <v>2</v>
      </c>
      <c r="Q132" s="70">
        <v>3</v>
      </c>
      <c r="R132" s="71">
        <v>1</v>
      </c>
      <c r="S132" s="8">
        <v>2</v>
      </c>
      <c r="T132" s="8">
        <v>3</v>
      </c>
      <c r="U132" s="29">
        <v>1</v>
      </c>
      <c r="V132" s="8" t="s">
        <v>11</v>
      </c>
      <c r="W132" s="8" t="s">
        <v>11</v>
      </c>
      <c r="X132" s="71">
        <v>3</v>
      </c>
      <c r="Y132" s="70">
        <v>1</v>
      </c>
      <c r="Z132" s="8">
        <v>2</v>
      </c>
      <c r="AA132" s="8" t="s">
        <v>11</v>
      </c>
      <c r="AB132" s="8">
        <v>2</v>
      </c>
      <c r="AC132" s="8">
        <v>3</v>
      </c>
      <c r="AD132" s="12">
        <v>1</v>
      </c>
      <c r="AE132" s="70">
        <v>3</v>
      </c>
      <c r="AF132" s="71">
        <v>1</v>
      </c>
      <c r="AG132" s="17">
        <f>AS132</f>
        <v>26</v>
      </c>
      <c r="AH132">
        <f t="shared" ref="AH132:AH138" si="24">COUNTIF($B132:$AF132,4)</f>
        <v>0</v>
      </c>
      <c r="AI132">
        <f t="shared" ref="AI132:AI138" si="25">COUNTIF($B132:$AF132,5)</f>
        <v>0</v>
      </c>
      <c r="AK132" s="56">
        <f>COUNTIF($B132:$AF132,3)</f>
        <v>7</v>
      </c>
      <c r="AL132" s="56">
        <f>COUNTIF($B132:$AF132,1)</f>
        <v>8</v>
      </c>
      <c r="AM132" s="56">
        <f>COUNTIF($B132:$AF132,2)</f>
        <v>6</v>
      </c>
      <c r="AN132" s="56">
        <f>COUNTIF($B132:$AF132,"DO")</f>
        <v>5</v>
      </c>
      <c r="AO132" s="56">
        <f>COUNTIF($B132:$AF132,"R")</f>
        <v>5</v>
      </c>
      <c r="AP132" s="56">
        <f>COUNTIF($B132:$AF132,4)</f>
        <v>0</v>
      </c>
      <c r="AQ132" s="56">
        <f>COUNTIF($B132:$AF132,5)</f>
        <v>0</v>
      </c>
      <c r="AR132" s="10">
        <f t="shared" ref="AR132" si="26">SUM(AK132:AQ132)</f>
        <v>31</v>
      </c>
      <c r="AS132" s="82">
        <f t="shared" ref="AS132" si="27">AQ132+AP132+AO132+AM132+AL132+AK132+((AH132+AI132)/2)</f>
        <v>26</v>
      </c>
    </row>
    <row r="133" spans="1:45">
      <c r="A133" s="151"/>
      <c r="B133" s="4"/>
      <c r="C133" s="77"/>
      <c r="D133" s="13"/>
      <c r="E133" s="12"/>
      <c r="F133" s="12"/>
      <c r="G133" s="12"/>
      <c r="H133" s="12"/>
      <c r="I133" s="12"/>
      <c r="J133" s="13"/>
      <c r="K133" s="13"/>
      <c r="L133" s="12"/>
      <c r="M133" s="12"/>
      <c r="N133" s="12"/>
      <c r="O133" s="12"/>
      <c r="P133" s="12"/>
      <c r="Q133" s="13"/>
      <c r="R133" s="13"/>
      <c r="S133" s="12"/>
      <c r="T133" s="12"/>
      <c r="U133" s="12"/>
      <c r="V133" s="12"/>
      <c r="W133" s="12"/>
      <c r="X133" s="74"/>
      <c r="Y133" s="74"/>
      <c r="Z133" s="33"/>
      <c r="AA133" s="33"/>
      <c r="AB133" s="33"/>
      <c r="AC133" s="33"/>
      <c r="AD133" s="42"/>
      <c r="AE133" s="74"/>
      <c r="AF133" s="80"/>
      <c r="AG133" s="17"/>
      <c r="AK133" s="56"/>
      <c r="AL133" s="56"/>
      <c r="AM133" s="56"/>
      <c r="AN133" s="56"/>
      <c r="AO133" s="56"/>
      <c r="AP133" s="56"/>
      <c r="AQ133" s="56"/>
      <c r="AR133" s="10"/>
      <c r="AS133" s="82"/>
    </row>
    <row r="134" spans="1:45">
      <c r="A134" s="150" t="s">
        <v>14</v>
      </c>
      <c r="B134" s="29">
        <v>1</v>
      </c>
      <c r="C134" s="76" t="s">
        <v>10</v>
      </c>
      <c r="D134" s="76" t="s">
        <v>10</v>
      </c>
      <c r="E134" s="41" t="s">
        <v>10</v>
      </c>
      <c r="F134" s="41" t="s">
        <v>10</v>
      </c>
      <c r="G134" s="36">
        <v>2</v>
      </c>
      <c r="H134" s="12">
        <v>3</v>
      </c>
      <c r="I134" s="8">
        <v>1</v>
      </c>
      <c r="J134" s="70">
        <v>2</v>
      </c>
      <c r="K134" s="70">
        <v>3</v>
      </c>
      <c r="L134" s="8">
        <v>1</v>
      </c>
      <c r="M134" s="12" t="s">
        <v>11</v>
      </c>
      <c r="N134" s="8" t="s">
        <v>11</v>
      </c>
      <c r="O134" s="8">
        <v>3</v>
      </c>
      <c r="P134" s="8">
        <v>1</v>
      </c>
      <c r="Q134" s="70">
        <v>2</v>
      </c>
      <c r="R134" s="71" t="s">
        <v>10</v>
      </c>
      <c r="S134" s="8">
        <v>3</v>
      </c>
      <c r="T134" s="8">
        <v>1</v>
      </c>
      <c r="U134" s="8">
        <v>2</v>
      </c>
      <c r="V134" s="8" t="s">
        <v>11</v>
      </c>
      <c r="W134" s="8">
        <v>3</v>
      </c>
      <c r="X134" s="13">
        <v>1</v>
      </c>
      <c r="Y134" s="70">
        <v>3</v>
      </c>
      <c r="Z134" s="8">
        <v>1</v>
      </c>
      <c r="AA134" s="12">
        <v>2</v>
      </c>
      <c r="AB134" s="8" t="s">
        <v>11</v>
      </c>
      <c r="AC134" s="11">
        <v>3</v>
      </c>
      <c r="AD134" s="9">
        <v>1</v>
      </c>
      <c r="AE134" s="70">
        <v>3</v>
      </c>
      <c r="AF134" s="71">
        <v>1</v>
      </c>
      <c r="AG134" s="17">
        <f>AS134</f>
        <v>26</v>
      </c>
      <c r="AH134">
        <f t="shared" si="24"/>
        <v>0</v>
      </c>
      <c r="AI134">
        <f t="shared" si="25"/>
        <v>0</v>
      </c>
      <c r="AK134" s="56">
        <f>COUNTIF($B134:$AF134,3)</f>
        <v>8</v>
      </c>
      <c r="AL134" s="56">
        <f>COUNTIF($B134:$AF134,1)</f>
        <v>9</v>
      </c>
      <c r="AM134" s="56">
        <f>COUNTIF($B134:$AF134,2)</f>
        <v>5</v>
      </c>
      <c r="AN134" s="56">
        <f>COUNTIF($B134:$AF134,"DO")</f>
        <v>5</v>
      </c>
      <c r="AO134" s="56">
        <f>COUNTIF($B134:$AF134,"R")</f>
        <v>4</v>
      </c>
      <c r="AP134" s="56">
        <f>COUNTIF($B134:$AF134,4)</f>
        <v>0</v>
      </c>
      <c r="AQ134" s="56">
        <f>COUNTIF($B134:$AF134,5)</f>
        <v>0</v>
      </c>
      <c r="AR134" s="10">
        <f t="shared" ref="AR134" si="28">SUM(AK134:AQ134)</f>
        <v>31</v>
      </c>
      <c r="AS134" s="82">
        <f t="shared" ref="AS134" si="29">AQ134+AP134+AO134+AM134+AL134+AK134+((AH134+AI134)/2)</f>
        <v>26</v>
      </c>
    </row>
    <row r="135" spans="1:45">
      <c r="A135" s="151"/>
      <c r="B135" s="4"/>
      <c r="C135" s="13"/>
      <c r="D135" s="13"/>
      <c r="E135" s="12"/>
      <c r="F135" s="12"/>
      <c r="G135" s="4"/>
      <c r="H135" s="12"/>
      <c r="I135" s="12"/>
      <c r="J135" s="13"/>
      <c r="K135" s="13"/>
      <c r="L135" s="12"/>
      <c r="M135" s="4"/>
      <c r="N135" s="12"/>
      <c r="O135" s="12"/>
      <c r="P135" s="12"/>
      <c r="Q135" s="13"/>
      <c r="R135" s="13"/>
      <c r="S135" s="4"/>
      <c r="T135" s="12"/>
      <c r="U135" s="12"/>
      <c r="V135" s="12"/>
      <c r="W135" s="12"/>
      <c r="X135" s="13"/>
      <c r="Y135" s="69"/>
      <c r="Z135" s="12"/>
      <c r="AA135" s="12"/>
      <c r="AB135" s="12"/>
      <c r="AC135" s="14"/>
      <c r="AD135" s="12"/>
      <c r="AE135" s="81"/>
      <c r="AF135" s="13"/>
      <c r="AG135" s="17"/>
      <c r="AK135" s="56"/>
      <c r="AL135" s="56"/>
      <c r="AM135" s="56"/>
      <c r="AN135" s="56"/>
      <c r="AO135" s="56"/>
      <c r="AP135" s="56"/>
      <c r="AQ135" s="56"/>
      <c r="AR135" s="10"/>
      <c r="AS135" s="82"/>
    </row>
    <row r="136" spans="1:45">
      <c r="A136" s="150" t="s">
        <v>15</v>
      </c>
      <c r="B136" s="8">
        <v>3</v>
      </c>
      <c r="C136" s="36">
        <v>4</v>
      </c>
      <c r="D136" s="73" t="s">
        <v>10</v>
      </c>
      <c r="E136" s="29">
        <v>3</v>
      </c>
      <c r="F136" s="41">
        <v>1</v>
      </c>
      <c r="G136" s="8">
        <v>3</v>
      </c>
      <c r="H136" s="36">
        <v>1</v>
      </c>
      <c r="I136" s="8" t="s">
        <v>11</v>
      </c>
      <c r="J136" s="75">
        <v>3</v>
      </c>
      <c r="K136" s="13">
        <v>1</v>
      </c>
      <c r="L136" s="8" t="s">
        <v>11</v>
      </c>
      <c r="M136" s="12">
        <v>3</v>
      </c>
      <c r="N136" s="9">
        <v>1</v>
      </c>
      <c r="O136" s="9" t="s">
        <v>10</v>
      </c>
      <c r="P136" s="9" t="s">
        <v>11</v>
      </c>
      <c r="Q136" s="70">
        <v>3</v>
      </c>
      <c r="R136" s="71">
        <v>1</v>
      </c>
      <c r="S136" s="8" t="s">
        <v>11</v>
      </c>
      <c r="T136" s="12">
        <v>2</v>
      </c>
      <c r="U136" s="8">
        <v>3</v>
      </c>
      <c r="V136" s="9">
        <v>1</v>
      </c>
      <c r="W136" s="8">
        <v>2</v>
      </c>
      <c r="X136" s="13">
        <v>2</v>
      </c>
      <c r="Y136" s="73">
        <v>3</v>
      </c>
      <c r="Z136" s="30">
        <v>1</v>
      </c>
      <c r="AA136" s="29" t="s">
        <v>10</v>
      </c>
      <c r="AB136" s="29" t="s">
        <v>10</v>
      </c>
      <c r="AC136" s="29" t="s">
        <v>10</v>
      </c>
      <c r="AD136" s="30">
        <v>3</v>
      </c>
      <c r="AE136" s="70">
        <v>1</v>
      </c>
      <c r="AF136" s="83">
        <v>2</v>
      </c>
      <c r="AG136" s="17">
        <f>AS136</f>
        <v>26.5</v>
      </c>
      <c r="AH136">
        <f t="shared" si="24"/>
        <v>1</v>
      </c>
      <c r="AI136">
        <f t="shared" si="25"/>
        <v>0</v>
      </c>
      <c r="AK136" s="56">
        <f>COUNTIF($B136:$AF136,3)</f>
        <v>9</v>
      </c>
      <c r="AL136" s="56">
        <f>COUNTIF($B136:$AF136,1)</f>
        <v>8</v>
      </c>
      <c r="AM136" s="56">
        <f>COUNTIF($B136:$AF136,2)</f>
        <v>4</v>
      </c>
      <c r="AN136" s="56">
        <f>COUNTIF($B136:$AF136,"DO")</f>
        <v>5</v>
      </c>
      <c r="AO136" s="56">
        <f>COUNTIF($B136:$AF136,"R")</f>
        <v>4</v>
      </c>
      <c r="AP136" s="56">
        <f>COUNTIF($B136:$AF136,4)</f>
        <v>1</v>
      </c>
      <c r="AQ136" s="56">
        <f>COUNTIF($B136:$AF136,5)</f>
        <v>0</v>
      </c>
      <c r="AR136" s="10">
        <f t="shared" ref="AR136" si="30">SUM(AK136:AQ136)</f>
        <v>31</v>
      </c>
      <c r="AS136" s="82">
        <f t="shared" ref="AS136" si="31">AQ136+AP136+AO136+AM136+AL136+AK136+((AH136+AI136)/2)</f>
        <v>26.5</v>
      </c>
    </row>
    <row r="137" spans="1:45">
      <c r="A137" s="151"/>
      <c r="B137" s="4"/>
      <c r="C137" s="69"/>
      <c r="D137" s="69"/>
      <c r="E137" s="12"/>
      <c r="F137" s="12"/>
      <c r="G137" s="4"/>
      <c r="H137" s="33"/>
      <c r="I137" s="29"/>
      <c r="J137" s="13"/>
      <c r="K137" s="79"/>
      <c r="L137" s="12"/>
      <c r="M137" s="4"/>
      <c r="N137" s="12"/>
      <c r="O137" s="4"/>
      <c r="P137" s="12"/>
      <c r="Q137" s="13"/>
      <c r="R137" s="13"/>
      <c r="S137" s="4"/>
      <c r="T137" s="12"/>
      <c r="U137" s="4"/>
      <c r="V137" s="12"/>
      <c r="W137" s="12"/>
      <c r="X137" s="13"/>
      <c r="Y137" s="69"/>
      <c r="Z137" s="12"/>
      <c r="AA137" s="4"/>
      <c r="AB137" s="12"/>
      <c r="AC137" s="12"/>
      <c r="AD137" s="12"/>
      <c r="AE137" s="13"/>
      <c r="AF137" s="13"/>
      <c r="AG137" s="13"/>
      <c r="AK137" s="56"/>
      <c r="AL137" s="56"/>
      <c r="AM137" s="56"/>
      <c r="AN137" s="56"/>
      <c r="AO137" s="56"/>
      <c r="AP137" s="56"/>
      <c r="AQ137" s="56"/>
      <c r="AR137" s="10"/>
      <c r="AS137" s="82"/>
    </row>
    <row r="138" spans="1:45">
      <c r="A138" s="150" t="s">
        <v>31</v>
      </c>
      <c r="B138" s="29" t="s">
        <v>11</v>
      </c>
      <c r="C138" s="36">
        <v>5</v>
      </c>
      <c r="D138" s="73">
        <v>1</v>
      </c>
      <c r="E138" s="8">
        <v>2</v>
      </c>
      <c r="F138" s="9">
        <v>3</v>
      </c>
      <c r="G138" s="8">
        <v>1</v>
      </c>
      <c r="H138" s="9">
        <v>2</v>
      </c>
      <c r="I138" s="9">
        <v>3</v>
      </c>
      <c r="J138" s="70">
        <v>1</v>
      </c>
      <c r="K138" s="70" t="s">
        <v>10</v>
      </c>
      <c r="L138" s="9">
        <v>3</v>
      </c>
      <c r="M138" s="8">
        <v>1</v>
      </c>
      <c r="N138" s="8">
        <v>2</v>
      </c>
      <c r="O138" s="8" t="s">
        <v>11</v>
      </c>
      <c r="P138" s="8">
        <v>3</v>
      </c>
      <c r="Q138" s="70">
        <v>1</v>
      </c>
      <c r="R138" s="70">
        <v>3</v>
      </c>
      <c r="S138" s="9">
        <v>1</v>
      </c>
      <c r="T138" s="8" t="s">
        <v>11</v>
      </c>
      <c r="U138" s="12" t="s">
        <v>11</v>
      </c>
      <c r="V138" s="9">
        <v>2</v>
      </c>
      <c r="W138" s="8">
        <v>3</v>
      </c>
      <c r="X138" s="71">
        <v>1</v>
      </c>
      <c r="Y138" s="70" t="s">
        <v>10</v>
      </c>
      <c r="Z138" s="9" t="s">
        <v>11</v>
      </c>
      <c r="AA138" s="11">
        <v>3</v>
      </c>
      <c r="AB138" s="12">
        <v>1</v>
      </c>
      <c r="AC138" s="29" t="s">
        <v>10</v>
      </c>
      <c r="AD138" s="30" t="s">
        <v>10</v>
      </c>
      <c r="AE138" s="73" t="s">
        <v>10</v>
      </c>
      <c r="AF138" s="72" t="s">
        <v>10</v>
      </c>
      <c r="AG138" s="17">
        <f>AS138</f>
        <v>25.5</v>
      </c>
      <c r="AH138">
        <f t="shared" si="24"/>
        <v>0</v>
      </c>
      <c r="AI138">
        <f t="shared" si="25"/>
        <v>1</v>
      </c>
      <c r="AK138" s="56">
        <f>COUNTIF($B138:$AF138,3)</f>
        <v>7</v>
      </c>
      <c r="AL138" s="56">
        <f>COUNTIF($B138:$AF138,1)</f>
        <v>8</v>
      </c>
      <c r="AM138" s="56">
        <f>COUNTIF($B138:$AF138,2)</f>
        <v>4</v>
      </c>
      <c r="AN138" s="56">
        <f>COUNTIF($B138:$AF138,"DO")</f>
        <v>6</v>
      </c>
      <c r="AO138" s="56">
        <f>COUNTIF($B138:$AF138,"R")</f>
        <v>5</v>
      </c>
      <c r="AP138" s="56">
        <f>COUNTIF($B138:$AF138,4)</f>
        <v>0</v>
      </c>
      <c r="AQ138" s="56">
        <f>COUNTIF($B138:$AF138,5)</f>
        <v>1</v>
      </c>
      <c r="AR138" s="10">
        <f>SUM(AK138:AQ138)</f>
        <v>31</v>
      </c>
      <c r="AS138" s="82">
        <f t="shared" ref="AS138" si="32">AQ138+AP138+AO138+AM138+AL138+AK138+((AH138+AI138)/2)</f>
        <v>25.5</v>
      </c>
    </row>
    <row r="139" spans="1:45">
      <c r="A139" s="151"/>
      <c r="B139" s="32"/>
      <c r="C139" s="69"/>
      <c r="D139" s="69"/>
      <c r="E139" s="12"/>
      <c r="F139" s="12"/>
      <c r="G139" s="4"/>
      <c r="H139" s="12"/>
      <c r="I139" s="18"/>
      <c r="J139" s="13"/>
      <c r="K139" s="79"/>
      <c r="L139" s="12"/>
      <c r="M139" s="4"/>
      <c r="N139" s="12"/>
      <c r="O139" s="4"/>
      <c r="P139" s="12"/>
      <c r="Q139" s="13"/>
      <c r="R139" s="13"/>
      <c r="S139" s="4"/>
      <c r="T139" s="12"/>
      <c r="U139" s="4"/>
      <c r="V139" s="12"/>
      <c r="W139" s="12"/>
      <c r="X139" s="13"/>
      <c r="Y139" s="69"/>
      <c r="Z139" s="12"/>
      <c r="AA139" s="4"/>
      <c r="AB139" s="12"/>
      <c r="AC139" s="12"/>
      <c r="AD139" s="12"/>
      <c r="AE139" s="13"/>
      <c r="AF139" s="13"/>
      <c r="AG139" s="13"/>
      <c r="AJ139" s="56"/>
      <c r="AK139" s="56"/>
      <c r="AL139" s="56"/>
      <c r="AM139" s="56"/>
      <c r="AN139" s="56"/>
      <c r="AO139" s="56"/>
      <c r="AP139" s="56"/>
      <c r="AQ139" s="10"/>
      <c r="AR139" s="10"/>
    </row>
    <row r="140" spans="1:45">
      <c r="A140" s="3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row>
    <row r="141" spans="1:45">
      <c r="A141" s="20" t="s">
        <v>18</v>
      </c>
      <c r="B141" s="21"/>
      <c r="C141" s="21"/>
      <c r="D141" s="4">
        <v>1</v>
      </c>
      <c r="E141" s="22" t="s">
        <v>17</v>
      </c>
      <c r="F141" s="144" t="s">
        <v>19</v>
      </c>
      <c r="G141" s="144"/>
      <c r="H141" s="21" t="s">
        <v>17</v>
      </c>
      <c r="I141" s="145" t="s">
        <v>20</v>
      </c>
      <c r="J141" s="145"/>
      <c r="K141" s="22"/>
      <c r="L141" s="22"/>
      <c r="M141" s="21" t="s">
        <v>11</v>
      </c>
      <c r="N141" s="21" t="s">
        <v>17</v>
      </c>
      <c r="O141" s="145" t="s">
        <v>20</v>
      </c>
      <c r="P141" s="145"/>
      <c r="Q141" s="22" t="s">
        <v>17</v>
      </c>
      <c r="R141" s="144" t="s">
        <v>21</v>
      </c>
      <c r="S141" s="144"/>
      <c r="T141" s="21"/>
      <c r="U141" s="21"/>
      <c r="V141" s="21"/>
      <c r="W141" s="22"/>
      <c r="AD141" s="22"/>
      <c r="AE141" s="22"/>
      <c r="AF141" s="22"/>
    </row>
    <row r="142" spans="1:45">
      <c r="A142" s="20"/>
      <c r="B142" s="21"/>
      <c r="C142" s="21"/>
      <c r="D142" s="4">
        <v>2</v>
      </c>
      <c r="E142" s="22" t="s">
        <v>17</v>
      </c>
      <c r="F142" s="144" t="s">
        <v>20</v>
      </c>
      <c r="G142" s="144"/>
      <c r="H142" s="21" t="s">
        <v>17</v>
      </c>
      <c r="I142" s="145" t="s">
        <v>22</v>
      </c>
      <c r="J142" s="145"/>
      <c r="K142" s="22"/>
      <c r="L142" s="22"/>
      <c r="M142" s="21" t="s">
        <v>10</v>
      </c>
      <c r="N142" s="21" t="s">
        <v>17</v>
      </c>
      <c r="O142" s="145" t="s">
        <v>23</v>
      </c>
      <c r="P142" s="145"/>
      <c r="Q142" s="22"/>
      <c r="R142" s="22"/>
      <c r="S142" s="21"/>
      <c r="T142" s="21"/>
      <c r="U142" s="21"/>
      <c r="V142" s="21"/>
      <c r="W142" s="22"/>
      <c r="X142" s="47"/>
      <c r="Y142" s="21"/>
      <c r="Z142" s="21"/>
      <c r="AA142" s="49"/>
      <c r="AB142" s="21"/>
      <c r="AC142" s="22"/>
      <c r="AD142" s="22"/>
      <c r="AE142" s="22"/>
      <c r="AF142" s="22"/>
    </row>
    <row r="143" spans="1:45">
      <c r="A143" s="20"/>
      <c r="B143" s="21"/>
      <c r="C143" s="21"/>
      <c r="D143" s="4">
        <v>3</v>
      </c>
      <c r="E143" s="22" t="s">
        <v>17</v>
      </c>
      <c r="F143" s="144" t="s">
        <v>22</v>
      </c>
      <c r="G143" s="144"/>
      <c r="H143" s="21" t="s">
        <v>17</v>
      </c>
      <c r="I143" s="145" t="s">
        <v>24</v>
      </c>
      <c r="J143" s="145"/>
      <c r="K143" s="22"/>
      <c r="L143" s="22"/>
      <c r="M143" s="7"/>
      <c r="N143" s="22"/>
      <c r="O143" s="23"/>
      <c r="P143" s="22"/>
      <c r="Q143" s="22"/>
      <c r="R143" s="22"/>
      <c r="S143" s="22"/>
      <c r="T143" s="21"/>
      <c r="U143" s="21"/>
      <c r="V143" s="21"/>
      <c r="W143" s="22"/>
      <c r="X143" s="48"/>
      <c r="Y143" s="21"/>
      <c r="Z143" s="21"/>
      <c r="AA143" s="49"/>
      <c r="AB143" s="21"/>
      <c r="AC143" s="22"/>
      <c r="AD143" s="22"/>
      <c r="AE143" s="22"/>
      <c r="AF143" s="22"/>
    </row>
    <row r="144" spans="1:45">
      <c r="A144" s="20"/>
      <c r="B144" s="21"/>
      <c r="C144" s="21"/>
      <c r="D144" s="21"/>
      <c r="E144" s="22"/>
      <c r="F144" s="22"/>
      <c r="G144" s="22"/>
      <c r="H144" s="21"/>
      <c r="I144" s="21"/>
      <c r="J144" s="21"/>
      <c r="K144" s="22"/>
      <c r="L144" s="22"/>
      <c r="M144" s="21"/>
      <c r="N144" s="21"/>
      <c r="O144" s="21"/>
      <c r="P144" s="21"/>
      <c r="Q144" s="22"/>
      <c r="R144" s="22"/>
      <c r="S144" s="21"/>
      <c r="T144" s="21"/>
      <c r="U144" s="21"/>
      <c r="V144" s="21"/>
      <c r="W144" s="22"/>
      <c r="X144" s="47"/>
      <c r="Y144" s="21"/>
      <c r="Z144" s="21"/>
      <c r="AA144" s="50"/>
      <c r="AB144" s="21"/>
      <c r="AC144" s="22"/>
      <c r="AD144" s="22"/>
      <c r="AE144" s="22"/>
      <c r="AF144" s="22"/>
    </row>
    <row r="145" spans="1:45">
      <c r="A145" s="20" t="s">
        <v>25</v>
      </c>
      <c r="B145" s="21"/>
      <c r="C145" s="21"/>
      <c r="D145" s="21"/>
      <c r="E145" s="22"/>
      <c r="F145" s="22"/>
      <c r="G145" s="22"/>
      <c r="H145" s="21"/>
      <c r="I145" s="20"/>
      <c r="J145" s="21"/>
      <c r="K145" s="21"/>
      <c r="L145" s="21" t="s">
        <v>26</v>
      </c>
      <c r="M145" s="22"/>
      <c r="N145" s="22"/>
      <c r="O145" s="22"/>
      <c r="P145" s="21"/>
      <c r="Q145" s="22"/>
      <c r="R145" s="22"/>
      <c r="S145" s="21"/>
      <c r="T145" s="24"/>
      <c r="U145" s="24"/>
      <c r="V145" s="24"/>
      <c r="W145" s="24"/>
      <c r="X145" s="24"/>
      <c r="Y145" s="21" t="s">
        <v>27</v>
      </c>
      <c r="Z145" s="21"/>
      <c r="AA145" s="21"/>
      <c r="AB145" s="21"/>
      <c r="AC145" s="22"/>
      <c r="AD145" s="22"/>
      <c r="AE145" s="22"/>
      <c r="AF145" s="22"/>
    </row>
    <row r="146" spans="1:45">
      <c r="L146" s="25"/>
      <c r="M146" s="25"/>
      <c r="N146" s="25"/>
      <c r="O146" s="25"/>
      <c r="P146" s="25"/>
      <c r="Q146" s="25"/>
      <c r="X146" s="25"/>
      <c r="Y146" s="25"/>
      <c r="Z146" s="25"/>
      <c r="AA146" s="25"/>
      <c r="AB146" s="25"/>
      <c r="AC146" s="25"/>
    </row>
    <row r="147" spans="1:45">
      <c r="B147" s="146" t="s">
        <v>70</v>
      </c>
      <c r="C147" s="146"/>
      <c r="D147" s="146"/>
      <c r="E147" s="146"/>
      <c r="F147" s="146"/>
      <c r="G147" s="146"/>
      <c r="H147" s="25"/>
      <c r="J147" s="25"/>
      <c r="N147" s="146" t="s">
        <v>28</v>
      </c>
      <c r="O147" s="146"/>
      <c r="P147" s="146"/>
      <c r="Q147" s="146"/>
      <c r="R147" s="146"/>
      <c r="S147" s="146"/>
      <c r="T147" s="146"/>
      <c r="U147" s="146"/>
      <c r="AA147" s="146" t="s">
        <v>35</v>
      </c>
      <c r="AB147" s="146"/>
      <c r="AC147" s="146"/>
      <c r="AD147" s="146"/>
      <c r="AE147" s="146"/>
      <c r="AF147" s="146"/>
    </row>
    <row r="148" spans="1:45">
      <c r="B148" s="147" t="s">
        <v>29</v>
      </c>
      <c r="C148" s="147"/>
      <c r="D148" s="147"/>
      <c r="E148" s="147"/>
      <c r="F148" s="147"/>
      <c r="G148" s="147"/>
      <c r="N148" s="147" t="s">
        <v>30</v>
      </c>
      <c r="O148" s="147"/>
      <c r="P148" s="147"/>
      <c r="Q148" s="147"/>
      <c r="R148" s="147"/>
      <c r="S148" s="147"/>
      <c r="T148" s="147"/>
      <c r="AA148" s="148" t="s">
        <v>47</v>
      </c>
      <c r="AB148" s="148"/>
      <c r="AC148" s="148"/>
      <c r="AD148" s="148"/>
      <c r="AE148" s="148"/>
      <c r="AF148" s="148"/>
    </row>
    <row r="151" spans="1:45" ht="18.75">
      <c r="A151" s="149" t="s">
        <v>79</v>
      </c>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c r="AA151" s="149"/>
      <c r="AB151" s="149"/>
      <c r="AC151" s="149"/>
      <c r="AD151" s="149"/>
      <c r="AE151" s="149"/>
      <c r="AF151" s="149"/>
      <c r="AG151" s="149"/>
    </row>
    <row r="152" spans="1:45" ht="18.75">
      <c r="A152" s="149" t="s">
        <v>41</v>
      </c>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c r="AA152" s="149"/>
      <c r="AB152" s="149"/>
      <c r="AC152" s="149"/>
      <c r="AD152" s="149"/>
      <c r="AE152" s="149"/>
      <c r="AF152" s="149"/>
      <c r="AG152" s="149"/>
    </row>
    <row r="153" spans="1:45">
      <c r="A153" s="1" t="s">
        <v>1</v>
      </c>
      <c r="B153" s="2" t="s">
        <v>4</v>
      </c>
      <c r="C153" s="27" t="s">
        <v>5</v>
      </c>
      <c r="D153" s="27" t="s">
        <v>6</v>
      </c>
      <c r="E153" s="2" t="s">
        <v>7</v>
      </c>
      <c r="F153" s="2" t="s">
        <v>8</v>
      </c>
      <c r="G153" s="2" t="s">
        <v>2</v>
      </c>
      <c r="H153" s="2" t="s">
        <v>3</v>
      </c>
      <c r="I153" s="2" t="s">
        <v>4</v>
      </c>
      <c r="J153" s="27" t="s">
        <v>5</v>
      </c>
      <c r="K153" s="27" t="s">
        <v>6</v>
      </c>
      <c r="L153" s="2" t="s">
        <v>7</v>
      </c>
      <c r="M153" s="2" t="s">
        <v>8</v>
      </c>
      <c r="N153" s="2" t="s">
        <v>2</v>
      </c>
      <c r="O153" s="2" t="s">
        <v>3</v>
      </c>
      <c r="P153" s="2" t="s">
        <v>4</v>
      </c>
      <c r="Q153" s="27" t="s">
        <v>5</v>
      </c>
      <c r="R153" s="27" t="s">
        <v>6</v>
      </c>
      <c r="S153" s="2" t="s">
        <v>7</v>
      </c>
      <c r="T153" s="2" t="s">
        <v>8</v>
      </c>
      <c r="U153" s="2" t="s">
        <v>2</v>
      </c>
      <c r="V153" s="2" t="s">
        <v>3</v>
      </c>
      <c r="W153" s="2" t="s">
        <v>4</v>
      </c>
      <c r="X153" s="27" t="s">
        <v>5</v>
      </c>
      <c r="Y153" s="27" t="s">
        <v>6</v>
      </c>
      <c r="Z153" s="2" t="s">
        <v>7</v>
      </c>
      <c r="AA153" s="2" t="s">
        <v>8</v>
      </c>
      <c r="AB153" s="2" t="s">
        <v>2</v>
      </c>
      <c r="AC153" s="2" t="s">
        <v>3</v>
      </c>
      <c r="AD153" s="2" t="s">
        <v>4</v>
      </c>
      <c r="AE153" s="27" t="s">
        <v>5</v>
      </c>
      <c r="AF153" s="27" t="s">
        <v>6</v>
      </c>
      <c r="AG153" s="26"/>
    </row>
    <row r="154" spans="1:45">
      <c r="A154" s="3" t="s">
        <v>9</v>
      </c>
      <c r="B154" s="15">
        <v>1</v>
      </c>
      <c r="C154" s="69">
        <v>2</v>
      </c>
      <c r="D154" s="69">
        <v>3</v>
      </c>
      <c r="E154" s="16">
        <v>4</v>
      </c>
      <c r="F154" s="16">
        <v>5</v>
      </c>
      <c r="G154" s="15">
        <v>6</v>
      </c>
      <c r="H154" s="15">
        <v>7</v>
      </c>
      <c r="I154" s="15">
        <v>8</v>
      </c>
      <c r="J154" s="69">
        <v>9</v>
      </c>
      <c r="K154" s="69">
        <v>10</v>
      </c>
      <c r="L154" s="15">
        <v>11</v>
      </c>
      <c r="M154" s="15">
        <v>12</v>
      </c>
      <c r="N154" s="15">
        <v>13</v>
      </c>
      <c r="O154" s="15">
        <v>14</v>
      </c>
      <c r="P154" s="15">
        <v>15</v>
      </c>
      <c r="Q154" s="69">
        <v>16</v>
      </c>
      <c r="R154" s="69">
        <v>17</v>
      </c>
      <c r="S154" s="15">
        <v>18</v>
      </c>
      <c r="T154" s="15">
        <v>19</v>
      </c>
      <c r="U154" s="15">
        <v>20</v>
      </c>
      <c r="V154" s="15">
        <v>21</v>
      </c>
      <c r="W154" s="15">
        <v>22</v>
      </c>
      <c r="X154" s="69">
        <v>23</v>
      </c>
      <c r="Y154" s="69">
        <v>24</v>
      </c>
      <c r="Z154" s="15">
        <v>25</v>
      </c>
      <c r="AA154" s="15">
        <v>26</v>
      </c>
      <c r="AB154" s="15">
        <v>27</v>
      </c>
      <c r="AC154" s="57">
        <v>28</v>
      </c>
      <c r="AD154" s="57">
        <v>29</v>
      </c>
      <c r="AE154" s="69">
        <v>30</v>
      </c>
      <c r="AF154" s="69">
        <v>31</v>
      </c>
      <c r="AG154" s="27">
        <v>24</v>
      </c>
      <c r="AJ154" s="56"/>
      <c r="AK154" s="56">
        <v>3</v>
      </c>
      <c r="AL154" s="56">
        <v>1</v>
      </c>
      <c r="AM154" s="56">
        <v>2</v>
      </c>
      <c r="AN154" s="56" t="s">
        <v>10</v>
      </c>
      <c r="AO154" s="56" t="s">
        <v>11</v>
      </c>
      <c r="AP154" s="56">
        <v>4</v>
      </c>
      <c r="AQ154" s="56">
        <v>5</v>
      </c>
    </row>
    <row r="155" spans="1:45">
      <c r="A155" s="150" t="s">
        <v>16</v>
      </c>
      <c r="B155" s="9" t="s">
        <v>11</v>
      </c>
      <c r="C155" s="8" t="s">
        <v>10</v>
      </c>
      <c r="D155" s="70">
        <v>3</v>
      </c>
      <c r="E155" s="8">
        <v>1</v>
      </c>
      <c r="F155" s="8" t="s">
        <v>11</v>
      </c>
      <c r="G155" s="8" t="s">
        <v>11</v>
      </c>
      <c r="H155" s="8" t="s">
        <v>11</v>
      </c>
      <c r="I155" s="8" t="s">
        <v>11</v>
      </c>
      <c r="J155" s="70" t="s">
        <v>10</v>
      </c>
      <c r="K155" s="70">
        <v>2</v>
      </c>
      <c r="L155" s="8" t="s">
        <v>11</v>
      </c>
      <c r="M155" s="8" t="s">
        <v>11</v>
      </c>
      <c r="N155" s="8" t="s">
        <v>11</v>
      </c>
      <c r="O155" s="8" t="s">
        <v>11</v>
      </c>
      <c r="P155" s="8" t="s">
        <v>11</v>
      </c>
      <c r="Q155" s="70" t="s">
        <v>10</v>
      </c>
      <c r="R155" s="70" t="s">
        <v>10</v>
      </c>
      <c r="S155" s="8" t="s">
        <v>11</v>
      </c>
      <c r="T155" s="8" t="s">
        <v>11</v>
      </c>
      <c r="U155" s="8" t="s">
        <v>11</v>
      </c>
      <c r="V155" s="8" t="s">
        <v>11</v>
      </c>
      <c r="W155" s="8" t="s">
        <v>11</v>
      </c>
      <c r="X155" s="70">
        <v>2</v>
      </c>
      <c r="Y155" s="70" t="s">
        <v>10</v>
      </c>
      <c r="Z155" s="8" t="s">
        <v>11</v>
      </c>
      <c r="AA155" s="8" t="s">
        <v>11</v>
      </c>
      <c r="AB155" s="8" t="s">
        <v>11</v>
      </c>
      <c r="AC155" s="8">
        <v>2</v>
      </c>
      <c r="AD155" s="8">
        <v>2</v>
      </c>
      <c r="AE155" s="70">
        <v>2</v>
      </c>
      <c r="AF155" s="70" t="s">
        <v>10</v>
      </c>
      <c r="AG155" s="17">
        <f>AS155</f>
        <v>25</v>
      </c>
      <c r="AH155">
        <f>COUNTIF($B155:$AF155,4)</f>
        <v>0</v>
      </c>
      <c r="AI155">
        <f>COUNTIF($B155:$AF155,5)</f>
        <v>0</v>
      </c>
      <c r="AK155" s="56">
        <f>COUNTIF($B155:$AF155,3)</f>
        <v>1</v>
      </c>
      <c r="AL155" s="56">
        <f>COUNTIF($B155:$AF155,1)</f>
        <v>1</v>
      </c>
      <c r="AM155" s="56">
        <f>COUNTIF($B155:$AF155,2)</f>
        <v>5</v>
      </c>
      <c r="AN155" s="56">
        <f>COUNTIF($B155:$AF155,"DO")</f>
        <v>6</v>
      </c>
      <c r="AO155" s="56">
        <f>COUNTIF($B155:$AF155,"R")</f>
        <v>18</v>
      </c>
      <c r="AP155" s="56">
        <f>COUNTIF($B155:$AF155,4)</f>
        <v>0</v>
      </c>
      <c r="AQ155" s="56">
        <f>COUNTIF($B155:$AF155,5)</f>
        <v>0</v>
      </c>
      <c r="AR155" s="10">
        <f t="shared" ref="AR155" si="33">SUM(AK155:AQ155)</f>
        <v>31</v>
      </c>
      <c r="AS155" s="82">
        <f>AQ155+AP155+AO155+AM155+AL155+AK155+((AH155+AI155)/2)</f>
        <v>25</v>
      </c>
    </row>
    <row r="156" spans="1:45">
      <c r="A156" s="151"/>
      <c r="B156" s="11"/>
      <c r="C156" s="13"/>
      <c r="D156" s="13"/>
      <c r="E156" s="12"/>
      <c r="F156" s="11"/>
      <c r="G156" s="12"/>
      <c r="H156" s="12"/>
      <c r="I156" s="12"/>
      <c r="J156" s="75"/>
      <c r="K156" s="13"/>
      <c r="L156" s="12"/>
      <c r="M156" s="12"/>
      <c r="N156" s="11"/>
      <c r="O156" s="12"/>
      <c r="P156" s="12"/>
      <c r="Q156" s="13"/>
      <c r="R156" s="75"/>
      <c r="S156" s="12"/>
      <c r="T156" s="12"/>
      <c r="U156" s="12"/>
      <c r="V156" s="11"/>
      <c r="W156" s="12"/>
      <c r="X156" s="13"/>
      <c r="Y156" s="13"/>
      <c r="Z156" s="11"/>
      <c r="AA156" s="12"/>
      <c r="AB156" s="12"/>
      <c r="AC156" s="12"/>
      <c r="AD156" s="12"/>
      <c r="AE156" s="13"/>
      <c r="AF156" s="13"/>
      <c r="AG156" s="17"/>
      <c r="AK156" s="56"/>
      <c r="AL156" s="56"/>
      <c r="AM156" s="56"/>
      <c r="AN156" s="56"/>
      <c r="AO156" s="56"/>
      <c r="AP156" s="56"/>
      <c r="AQ156" s="56"/>
      <c r="AR156" s="10"/>
      <c r="AS156" s="82"/>
    </row>
    <row r="157" spans="1:45">
      <c r="A157" s="150" t="s">
        <v>71</v>
      </c>
      <c r="B157" s="11" t="s">
        <v>11</v>
      </c>
      <c r="C157" s="13" t="s">
        <v>10</v>
      </c>
      <c r="D157" s="75" t="s">
        <v>10</v>
      </c>
      <c r="E157" s="12" t="s">
        <v>11</v>
      </c>
      <c r="F157" s="11">
        <v>3</v>
      </c>
      <c r="G157" s="12">
        <v>1</v>
      </c>
      <c r="H157" s="12" t="s">
        <v>10</v>
      </c>
      <c r="I157" s="12">
        <v>3</v>
      </c>
      <c r="J157" s="13">
        <v>1</v>
      </c>
      <c r="K157" s="13" t="s">
        <v>10</v>
      </c>
      <c r="L157" s="12" t="s">
        <v>11</v>
      </c>
      <c r="M157" s="12" t="s">
        <v>10</v>
      </c>
      <c r="N157" s="11">
        <v>3</v>
      </c>
      <c r="O157" s="12">
        <v>1</v>
      </c>
      <c r="P157" s="12" t="s">
        <v>10</v>
      </c>
      <c r="Q157" s="13">
        <v>3</v>
      </c>
      <c r="R157" s="13">
        <v>1</v>
      </c>
      <c r="S157" s="12" t="s">
        <v>11</v>
      </c>
      <c r="T157" s="12">
        <v>3</v>
      </c>
      <c r="U157" s="12">
        <v>1</v>
      </c>
      <c r="V157" s="11" t="s">
        <v>10</v>
      </c>
      <c r="W157" s="11" t="s">
        <v>10</v>
      </c>
      <c r="X157" s="11" t="s">
        <v>10</v>
      </c>
      <c r="Y157" s="13" t="s">
        <v>10</v>
      </c>
      <c r="Z157" s="11" t="s">
        <v>11</v>
      </c>
      <c r="AA157" s="12">
        <v>3</v>
      </c>
      <c r="AB157" s="12">
        <v>1</v>
      </c>
      <c r="AC157" s="12">
        <v>3</v>
      </c>
      <c r="AD157" s="12">
        <v>1</v>
      </c>
      <c r="AE157" s="13" t="s">
        <v>10</v>
      </c>
      <c r="AF157" s="13" t="s">
        <v>10</v>
      </c>
      <c r="AG157" s="17">
        <f>AS157</f>
        <v>19</v>
      </c>
      <c r="AH157">
        <f t="shared" ref="AH157:AH159" si="34">COUNTIF($B157:$AF157,4)</f>
        <v>0</v>
      </c>
      <c r="AI157">
        <f t="shared" ref="AI157:AI159" si="35">COUNTIF($B157:$AF157,5)</f>
        <v>0</v>
      </c>
      <c r="AK157" s="56">
        <f>COUNTIF($B157:$AF157,3)</f>
        <v>7</v>
      </c>
      <c r="AL157" s="56">
        <f>COUNTIF($B157:$AF157,1)</f>
        <v>7</v>
      </c>
      <c r="AM157" s="56">
        <f>COUNTIF($B157:$AF157,2)</f>
        <v>0</v>
      </c>
      <c r="AN157" s="56">
        <f>COUNTIF($B157:$AF157,"DO")</f>
        <v>12</v>
      </c>
      <c r="AO157" s="56">
        <f>COUNTIF($B157:$AF157,"R")</f>
        <v>5</v>
      </c>
      <c r="AP157" s="56">
        <f>COUNTIF($B157:$AF157,4)</f>
        <v>0</v>
      </c>
      <c r="AQ157" s="56">
        <f>COUNTIF($B157:$AF157,5)</f>
        <v>0</v>
      </c>
      <c r="AR157" s="10">
        <f t="shared" ref="AR157" si="36">SUM(AK157:AQ157)</f>
        <v>31</v>
      </c>
      <c r="AS157" s="82">
        <f t="shared" ref="AS157" si="37">AQ157+AP157+AO157+AM157+AL157+AK157+((AH157+AI157)/2)</f>
        <v>19</v>
      </c>
    </row>
    <row r="158" spans="1:45">
      <c r="A158" s="151"/>
      <c r="B158" s="11"/>
      <c r="C158" s="13"/>
      <c r="D158" s="13"/>
      <c r="E158" s="12"/>
      <c r="F158" s="11"/>
      <c r="G158" s="12"/>
      <c r="H158" s="12"/>
      <c r="I158" s="12"/>
      <c r="J158" s="75"/>
      <c r="K158" s="13"/>
      <c r="L158" s="12"/>
      <c r="M158" s="12"/>
      <c r="N158" s="11"/>
      <c r="O158" s="12"/>
      <c r="P158" s="12"/>
      <c r="Q158" s="13"/>
      <c r="R158" s="75"/>
      <c r="S158" s="12"/>
      <c r="T158" s="12"/>
      <c r="U158" s="12"/>
      <c r="V158" s="11"/>
      <c r="W158" s="12"/>
      <c r="X158" s="13"/>
      <c r="Y158" s="13"/>
      <c r="Z158" s="11"/>
      <c r="AA158" s="12"/>
      <c r="AB158" s="12"/>
      <c r="AC158" s="12"/>
      <c r="AD158" s="12"/>
      <c r="AE158" s="13"/>
      <c r="AF158" s="13"/>
      <c r="AG158" s="17"/>
      <c r="AK158" s="56"/>
      <c r="AL158" s="56"/>
      <c r="AM158" s="56"/>
      <c r="AN158" s="56"/>
      <c r="AO158" s="56"/>
      <c r="AP158" s="56"/>
      <c r="AQ158" s="56"/>
      <c r="AR158" s="10"/>
      <c r="AS158" s="82"/>
    </row>
    <row r="159" spans="1:45">
      <c r="A159" s="150" t="s">
        <v>72</v>
      </c>
      <c r="B159" s="11">
        <v>3</v>
      </c>
      <c r="C159" s="75">
        <v>1</v>
      </c>
      <c r="D159" s="75" t="s">
        <v>10</v>
      </c>
      <c r="E159" s="12" t="s">
        <v>11</v>
      </c>
      <c r="F159" s="11" t="s">
        <v>11</v>
      </c>
      <c r="G159" s="12" t="s">
        <v>11</v>
      </c>
      <c r="H159" s="12">
        <v>3</v>
      </c>
      <c r="I159" s="12">
        <v>1</v>
      </c>
      <c r="J159" s="13" t="s">
        <v>10</v>
      </c>
      <c r="K159" s="13" t="s">
        <v>10</v>
      </c>
      <c r="L159" s="12" t="s">
        <v>10</v>
      </c>
      <c r="M159" s="12">
        <v>3</v>
      </c>
      <c r="N159" s="11">
        <v>1</v>
      </c>
      <c r="O159" s="12" t="s">
        <v>10</v>
      </c>
      <c r="P159" s="12">
        <v>3</v>
      </c>
      <c r="Q159" s="13">
        <v>1</v>
      </c>
      <c r="R159" s="13" t="s">
        <v>10</v>
      </c>
      <c r="S159" s="12">
        <v>3</v>
      </c>
      <c r="T159" s="12">
        <v>1</v>
      </c>
      <c r="U159" s="12">
        <v>3</v>
      </c>
      <c r="V159" s="11">
        <v>1</v>
      </c>
      <c r="W159" s="12" t="s">
        <v>10</v>
      </c>
      <c r="X159" s="13" t="s">
        <v>10</v>
      </c>
      <c r="Y159" s="13" t="s">
        <v>10</v>
      </c>
      <c r="Z159" s="11">
        <v>3</v>
      </c>
      <c r="AA159" s="12">
        <v>1</v>
      </c>
      <c r="AB159" s="12">
        <v>3</v>
      </c>
      <c r="AC159" s="12">
        <v>1</v>
      </c>
      <c r="AD159" s="12" t="s">
        <v>10</v>
      </c>
      <c r="AE159" s="13" t="s">
        <v>10</v>
      </c>
      <c r="AF159" s="13" t="s">
        <v>10</v>
      </c>
      <c r="AG159" s="17">
        <f>AS159</f>
        <v>19</v>
      </c>
      <c r="AH159">
        <f t="shared" si="34"/>
        <v>0</v>
      </c>
      <c r="AI159">
        <f t="shared" si="35"/>
        <v>0</v>
      </c>
      <c r="AK159" s="56">
        <f>COUNTIF($B159:$AF159,3)</f>
        <v>8</v>
      </c>
      <c r="AL159" s="56">
        <f>COUNTIF($B159:$AF159,1)</f>
        <v>8</v>
      </c>
      <c r="AM159" s="56">
        <f>COUNTIF($B159:$AF159,2)</f>
        <v>0</v>
      </c>
      <c r="AN159" s="56">
        <f>COUNTIF($B159:$AF159,"DO")</f>
        <v>12</v>
      </c>
      <c r="AO159" s="56">
        <f>COUNTIF($B159:$AF159,"R")</f>
        <v>3</v>
      </c>
      <c r="AP159" s="56">
        <f>COUNTIF($B159:$AF159,4)</f>
        <v>0</v>
      </c>
      <c r="AQ159" s="56">
        <f>COUNTIF($B159:$AF159,5)</f>
        <v>0</v>
      </c>
      <c r="AR159" s="10">
        <f t="shared" ref="AR159" si="38">SUM(AK159:AQ159)</f>
        <v>31</v>
      </c>
      <c r="AS159" s="82">
        <f t="shared" ref="AS159" si="39">AQ159+AP159+AO159+AM159+AL159+AK159+((AH159+AI159)/2)</f>
        <v>19</v>
      </c>
    </row>
    <row r="160" spans="1:45">
      <c r="A160" s="151"/>
      <c r="B160" s="11"/>
      <c r="C160" s="13"/>
      <c r="D160" s="13"/>
      <c r="E160" s="12"/>
      <c r="F160" s="11"/>
      <c r="G160" s="12"/>
      <c r="H160" s="12"/>
      <c r="I160" s="12"/>
      <c r="J160" s="75"/>
      <c r="K160" s="13"/>
      <c r="L160" s="12"/>
      <c r="M160" s="12"/>
      <c r="N160" s="11"/>
      <c r="O160" s="12"/>
      <c r="P160" s="12"/>
      <c r="Q160" s="13"/>
      <c r="R160" s="75"/>
      <c r="S160" s="12"/>
      <c r="T160" s="12"/>
      <c r="U160" s="12"/>
      <c r="V160" s="11"/>
      <c r="W160" s="12"/>
      <c r="X160" s="13"/>
      <c r="Y160" s="13"/>
      <c r="Z160" s="11"/>
      <c r="AA160" s="12"/>
      <c r="AB160" s="12"/>
      <c r="AC160" s="12"/>
      <c r="AD160" s="12"/>
      <c r="AE160" s="13"/>
      <c r="AF160" s="13"/>
      <c r="AG160" s="17"/>
      <c r="AJ160" s="56"/>
      <c r="AK160" s="56"/>
      <c r="AL160" s="56"/>
      <c r="AM160" s="56"/>
      <c r="AN160" s="56"/>
      <c r="AO160" s="56"/>
      <c r="AP160" s="56"/>
      <c r="AQ160" s="56"/>
      <c r="AR160" s="10"/>
      <c r="AS160" s="10"/>
    </row>
    <row r="161" spans="1:45">
      <c r="A161" s="150" t="s">
        <v>73</v>
      </c>
      <c r="B161" s="11" t="s">
        <v>11</v>
      </c>
      <c r="C161" s="75">
        <v>3</v>
      </c>
      <c r="D161" s="75">
        <v>1</v>
      </c>
      <c r="E161" s="12">
        <v>3</v>
      </c>
      <c r="F161" s="11">
        <v>1</v>
      </c>
      <c r="G161" s="12">
        <v>3</v>
      </c>
      <c r="H161" s="12">
        <v>1</v>
      </c>
      <c r="I161" s="12" t="s">
        <v>11</v>
      </c>
      <c r="J161" s="75" t="s">
        <v>10</v>
      </c>
      <c r="K161" s="13" t="s">
        <v>10</v>
      </c>
      <c r="L161" s="12">
        <v>3</v>
      </c>
      <c r="M161" s="12">
        <v>1</v>
      </c>
      <c r="N161" s="11" t="s">
        <v>11</v>
      </c>
      <c r="O161" s="12">
        <v>3</v>
      </c>
      <c r="P161" s="12">
        <v>1</v>
      </c>
      <c r="Q161" s="13" t="s">
        <v>10</v>
      </c>
      <c r="R161" s="13">
        <v>3</v>
      </c>
      <c r="S161" s="12">
        <v>1</v>
      </c>
      <c r="T161" s="12" t="s">
        <v>11</v>
      </c>
      <c r="U161" s="12" t="s">
        <v>11</v>
      </c>
      <c r="V161" s="11">
        <v>3</v>
      </c>
      <c r="W161" s="12">
        <v>1</v>
      </c>
      <c r="X161" s="13" t="s">
        <v>10</v>
      </c>
      <c r="Y161" s="13" t="s">
        <v>10</v>
      </c>
      <c r="Z161" s="12" t="s">
        <v>10</v>
      </c>
      <c r="AA161" s="12" t="s">
        <v>10</v>
      </c>
      <c r="AB161" s="12" t="s">
        <v>10</v>
      </c>
      <c r="AC161" s="12" t="s">
        <v>10</v>
      </c>
      <c r="AD161" s="12" t="s">
        <v>10</v>
      </c>
      <c r="AE161" s="13" t="s">
        <v>10</v>
      </c>
      <c r="AF161" s="13" t="s">
        <v>10</v>
      </c>
      <c r="AG161" s="17">
        <f>AS161</f>
        <v>19</v>
      </c>
      <c r="AJ161" s="56"/>
      <c r="AK161" s="56">
        <f>COUNTIF($B161:$AF161,3)</f>
        <v>7</v>
      </c>
      <c r="AL161" s="56">
        <f>COUNTIF($B161:$AF161,1)</f>
        <v>7</v>
      </c>
      <c r="AM161" s="56">
        <f>COUNTIF($B161:$AF161,2)</f>
        <v>0</v>
      </c>
      <c r="AN161" s="56">
        <f>COUNTIF($B161:$AF161,"DO")</f>
        <v>12</v>
      </c>
      <c r="AO161" s="56">
        <f>COUNTIF($B161:$AF161,"R")</f>
        <v>5</v>
      </c>
      <c r="AP161" s="56">
        <f>COUNTIF($B161:$AF161,4)</f>
        <v>0</v>
      </c>
      <c r="AQ161" s="56">
        <f>COUNTIF($B161:$AF161,5)</f>
        <v>0</v>
      </c>
      <c r="AR161" s="10">
        <f>SUM(AK161:AO161)</f>
        <v>31</v>
      </c>
      <c r="AS161" s="10">
        <f>AQ161+AP161+AO161+AM161+AL161+AK161</f>
        <v>19</v>
      </c>
    </row>
    <row r="162" spans="1:45">
      <c r="A162" s="151"/>
      <c r="B162" s="11"/>
      <c r="C162" s="13"/>
      <c r="D162" s="13"/>
      <c r="E162" s="12"/>
      <c r="F162" s="11"/>
      <c r="G162" s="12"/>
      <c r="H162" s="12"/>
      <c r="I162" s="12"/>
      <c r="J162" s="75"/>
      <c r="K162" s="13"/>
      <c r="L162" s="12"/>
      <c r="M162" s="12"/>
      <c r="N162" s="11"/>
      <c r="O162" s="12"/>
      <c r="P162" s="12"/>
      <c r="Q162" s="13"/>
      <c r="R162" s="75"/>
      <c r="S162" s="12"/>
      <c r="T162" s="12"/>
      <c r="U162" s="12"/>
      <c r="V162" s="11"/>
      <c r="W162" s="12"/>
      <c r="X162" s="13"/>
      <c r="Y162" s="13"/>
      <c r="Z162" s="11"/>
      <c r="AA162" s="12"/>
      <c r="AB162" s="12"/>
      <c r="AC162" s="12"/>
      <c r="AD162" s="12"/>
      <c r="AE162" s="13"/>
      <c r="AF162" s="13"/>
      <c r="AG162" s="17"/>
      <c r="AJ162" s="56"/>
      <c r="AK162" s="56"/>
      <c r="AL162" s="56"/>
      <c r="AM162" s="56"/>
      <c r="AN162" s="56"/>
      <c r="AO162" s="56"/>
      <c r="AP162" s="56"/>
      <c r="AQ162" s="56"/>
      <c r="AR162" s="10"/>
      <c r="AS162" s="10"/>
    </row>
    <row r="163" spans="1:45">
      <c r="A163" s="150" t="s">
        <v>12</v>
      </c>
      <c r="B163" s="9">
        <v>2</v>
      </c>
      <c r="C163" s="70">
        <v>3</v>
      </c>
      <c r="D163" s="70">
        <v>1</v>
      </c>
      <c r="E163" s="12" t="s">
        <v>11</v>
      </c>
      <c r="F163" s="9" t="s">
        <v>11</v>
      </c>
      <c r="G163" s="8" t="s">
        <v>11</v>
      </c>
      <c r="H163" s="8" t="s">
        <v>11</v>
      </c>
      <c r="I163" s="12" t="s">
        <v>11</v>
      </c>
      <c r="J163" s="71" t="s">
        <v>11</v>
      </c>
      <c r="K163" s="70" t="s">
        <v>11</v>
      </c>
      <c r="L163" s="9">
        <v>3</v>
      </c>
      <c r="M163" s="12">
        <v>1</v>
      </c>
      <c r="N163" s="12">
        <v>2</v>
      </c>
      <c r="O163" s="8" t="s">
        <v>11</v>
      </c>
      <c r="P163" s="9" t="s">
        <v>10</v>
      </c>
      <c r="Q163" s="70" t="s">
        <v>10</v>
      </c>
      <c r="R163" s="71">
        <v>3</v>
      </c>
      <c r="S163" s="8">
        <v>1</v>
      </c>
      <c r="T163" s="9" t="s">
        <v>10</v>
      </c>
      <c r="U163" s="100">
        <v>2</v>
      </c>
      <c r="V163" s="8">
        <v>3</v>
      </c>
      <c r="W163" s="8">
        <v>1</v>
      </c>
      <c r="X163" s="71">
        <v>3</v>
      </c>
      <c r="Y163" s="70">
        <v>1</v>
      </c>
      <c r="Z163" s="9">
        <v>3</v>
      </c>
      <c r="AA163" s="8">
        <v>1</v>
      </c>
      <c r="AB163" s="9">
        <v>2</v>
      </c>
      <c r="AC163" s="12">
        <v>3</v>
      </c>
      <c r="AD163" s="11">
        <v>1</v>
      </c>
      <c r="AE163" s="70">
        <v>3</v>
      </c>
      <c r="AF163" s="36">
        <v>1</v>
      </c>
      <c r="AG163" s="17">
        <f>AS163</f>
        <v>28</v>
      </c>
      <c r="AH163">
        <f>COUNTIF($B163:$AF163,4)</f>
        <v>0</v>
      </c>
      <c r="AI163">
        <f>COUNTIF($B163:$AF163,5)</f>
        <v>0</v>
      </c>
      <c r="AK163" s="56">
        <f>COUNTIF($B163:$AF163,3)</f>
        <v>8</v>
      </c>
      <c r="AL163" s="56">
        <f>COUNTIF($B163:$AF163,1)</f>
        <v>8</v>
      </c>
      <c r="AM163" s="56">
        <f>COUNTIF($B163:$AF163,2)</f>
        <v>4</v>
      </c>
      <c r="AN163" s="56">
        <f>COUNTIF($B163:$AF163,"DO")</f>
        <v>3</v>
      </c>
      <c r="AO163" s="56">
        <f>COUNTIF($B163:$AF163,"R")</f>
        <v>8</v>
      </c>
      <c r="AP163" s="56">
        <f>COUNTIF($B163:$AF163,4)</f>
        <v>0</v>
      </c>
      <c r="AQ163" s="56">
        <f>COUNTIF($B163:$AF163,5)</f>
        <v>0</v>
      </c>
      <c r="AR163" s="10">
        <f t="shared" ref="AR163" si="40">SUM(AK163:AQ163)</f>
        <v>31</v>
      </c>
      <c r="AS163" s="82">
        <f>AQ163+AP163+AO163+AM163+AL163+AK163+((AH163+AI163)/2)</f>
        <v>28</v>
      </c>
    </row>
    <row r="164" spans="1:45">
      <c r="A164" s="151"/>
      <c r="B164" s="4"/>
      <c r="C164" s="13"/>
      <c r="D164" s="13"/>
      <c r="E164" s="12"/>
      <c r="F164" s="12"/>
      <c r="G164" s="12"/>
      <c r="H164" s="101"/>
      <c r="I164" s="12"/>
      <c r="J164" s="102"/>
      <c r="K164" s="13"/>
      <c r="L164" s="12"/>
      <c r="M164" s="12"/>
      <c r="N164" s="4"/>
      <c r="O164" s="12"/>
      <c r="P164" s="12"/>
      <c r="Q164" s="13"/>
      <c r="R164" s="13"/>
      <c r="S164" s="12"/>
      <c r="T164" s="4"/>
      <c r="U164" s="12"/>
      <c r="V164" s="12"/>
      <c r="W164" s="12"/>
      <c r="X164" s="13"/>
      <c r="Y164" s="13"/>
      <c r="Z164" s="4"/>
      <c r="AA164" s="12"/>
      <c r="AB164" s="12"/>
      <c r="AC164" s="12"/>
      <c r="AD164" s="34"/>
      <c r="AE164" s="13"/>
      <c r="AF164" s="13"/>
      <c r="AG164" s="17"/>
      <c r="AK164" s="56"/>
      <c r="AL164" s="56"/>
      <c r="AM164" s="56"/>
      <c r="AN164" s="56"/>
      <c r="AO164" s="56"/>
      <c r="AP164" s="56"/>
      <c r="AQ164" s="56"/>
      <c r="AR164" s="10"/>
      <c r="AS164" s="82"/>
    </row>
    <row r="165" spans="1:45">
      <c r="A165" s="150" t="s">
        <v>31</v>
      </c>
      <c r="B165" s="8" t="s">
        <v>11</v>
      </c>
      <c r="C165" s="8" t="s">
        <v>10</v>
      </c>
      <c r="D165" s="70">
        <v>2</v>
      </c>
      <c r="E165" s="8">
        <v>2</v>
      </c>
      <c r="F165" s="70">
        <v>3</v>
      </c>
      <c r="G165" s="8">
        <v>1</v>
      </c>
      <c r="H165" s="9" t="s">
        <v>11</v>
      </c>
      <c r="I165" s="9">
        <v>2</v>
      </c>
      <c r="J165" s="70">
        <v>3</v>
      </c>
      <c r="K165" s="70">
        <v>1</v>
      </c>
      <c r="L165" s="9">
        <v>2</v>
      </c>
      <c r="M165" s="8">
        <v>3</v>
      </c>
      <c r="N165" s="8">
        <v>1</v>
      </c>
      <c r="O165" s="8">
        <v>2</v>
      </c>
      <c r="P165" s="8">
        <v>3</v>
      </c>
      <c r="Q165" s="8">
        <v>1</v>
      </c>
      <c r="R165" s="70" t="s">
        <v>10</v>
      </c>
      <c r="S165" s="9">
        <v>2</v>
      </c>
      <c r="T165" s="8">
        <v>3</v>
      </c>
      <c r="U165" s="12">
        <v>1</v>
      </c>
      <c r="V165" s="9">
        <v>2</v>
      </c>
      <c r="W165" s="8">
        <v>3</v>
      </c>
      <c r="X165" s="71">
        <v>1</v>
      </c>
      <c r="Y165" s="70">
        <v>3</v>
      </c>
      <c r="Z165" s="9">
        <v>1</v>
      </c>
      <c r="AA165" s="11">
        <v>3</v>
      </c>
      <c r="AB165" s="12">
        <v>1</v>
      </c>
      <c r="AC165" s="8" t="s">
        <v>10</v>
      </c>
      <c r="AD165" s="9" t="s">
        <v>10</v>
      </c>
      <c r="AE165" s="70" t="s">
        <v>10</v>
      </c>
      <c r="AF165" s="71" t="s">
        <v>10</v>
      </c>
      <c r="AG165" s="17">
        <f>AS165</f>
        <v>25</v>
      </c>
      <c r="AH165">
        <f>COUNTIF($B165:$AF165,4)</f>
        <v>0</v>
      </c>
      <c r="AI165">
        <f>COUNTIF($B165:$AF165,5)</f>
        <v>0</v>
      </c>
      <c r="AK165" s="56">
        <f>COUNTIF($B165:$AF165,3)</f>
        <v>8</v>
      </c>
      <c r="AL165" s="56">
        <f>COUNTIF($B165:$AF165,1)</f>
        <v>8</v>
      </c>
      <c r="AM165" s="56">
        <f>COUNTIF($B165:$AF165,2)</f>
        <v>7</v>
      </c>
      <c r="AN165" s="56">
        <f>COUNTIF($B165:$AF165,"DO")</f>
        <v>6</v>
      </c>
      <c r="AO165" s="56">
        <f>COUNTIF($B165:$AF165,"R")</f>
        <v>2</v>
      </c>
      <c r="AP165" s="56">
        <f>COUNTIF($B165:$AF165,4)</f>
        <v>0</v>
      </c>
      <c r="AQ165" s="56">
        <f>COUNTIF($B165:$AF165,5)</f>
        <v>0</v>
      </c>
      <c r="AR165" s="10">
        <f>SUM(AK165:AQ165)</f>
        <v>31</v>
      </c>
      <c r="AS165" s="82">
        <f t="shared" ref="AS165" si="41">AQ165+AP165+AO165+AM165+AL165+AK165+((AH165+AI165)/2)</f>
        <v>25</v>
      </c>
    </row>
    <row r="166" spans="1:45">
      <c r="A166" s="151"/>
      <c r="B166" s="4"/>
      <c r="C166" s="69"/>
      <c r="D166" s="69"/>
      <c r="E166" s="12"/>
      <c r="F166" s="12"/>
      <c r="G166" s="4"/>
      <c r="H166" s="12"/>
      <c r="I166" s="103"/>
      <c r="J166" s="13"/>
      <c r="K166" s="104"/>
      <c r="L166" s="12"/>
      <c r="M166" s="4"/>
      <c r="N166" s="12"/>
      <c r="O166" s="4"/>
      <c r="P166" s="12"/>
      <c r="Q166" s="13"/>
      <c r="R166" s="13"/>
      <c r="S166" s="4"/>
      <c r="T166" s="12"/>
      <c r="U166" s="4"/>
      <c r="V166" s="12"/>
      <c r="W166" s="12"/>
      <c r="X166" s="13"/>
      <c r="Y166" s="69"/>
      <c r="Z166" s="12"/>
      <c r="AA166" s="4"/>
      <c r="AB166" s="12"/>
      <c r="AC166" s="12"/>
      <c r="AD166" s="12"/>
      <c r="AE166" s="13"/>
      <c r="AF166" s="13"/>
      <c r="AG166" s="13"/>
    </row>
    <row r="167" spans="1:45">
      <c r="A167" s="150" t="s">
        <v>13</v>
      </c>
      <c r="B167" s="8">
        <v>1</v>
      </c>
      <c r="C167" s="70" t="s">
        <v>10</v>
      </c>
      <c r="D167" s="70" t="s">
        <v>10</v>
      </c>
      <c r="E167" s="8" t="s">
        <v>10</v>
      </c>
      <c r="F167" s="8" t="s">
        <v>10</v>
      </c>
      <c r="G167" s="8" t="s">
        <v>10</v>
      </c>
      <c r="H167" s="8">
        <v>2</v>
      </c>
      <c r="I167" s="8">
        <v>3</v>
      </c>
      <c r="J167" s="12">
        <v>1</v>
      </c>
      <c r="K167" s="70">
        <v>3</v>
      </c>
      <c r="L167" s="12">
        <v>1</v>
      </c>
      <c r="M167" s="12" t="s">
        <v>11</v>
      </c>
      <c r="N167" s="9" t="s">
        <v>11</v>
      </c>
      <c r="O167" s="9">
        <v>3</v>
      </c>
      <c r="P167" s="9">
        <v>1</v>
      </c>
      <c r="Q167" s="8">
        <v>2</v>
      </c>
      <c r="R167" s="71">
        <v>2</v>
      </c>
      <c r="S167" s="8" t="s">
        <v>10</v>
      </c>
      <c r="T167" s="8">
        <v>2</v>
      </c>
      <c r="U167" s="8">
        <v>3</v>
      </c>
      <c r="V167" s="8">
        <v>1</v>
      </c>
      <c r="W167" s="8">
        <v>3</v>
      </c>
      <c r="X167" s="71">
        <v>1</v>
      </c>
      <c r="Y167" s="70">
        <v>2</v>
      </c>
      <c r="Z167" s="8" t="s">
        <v>11</v>
      </c>
      <c r="AA167" s="8" t="s">
        <v>11</v>
      </c>
      <c r="AB167" s="8" t="s">
        <v>11</v>
      </c>
      <c r="AC167" s="8" t="s">
        <v>11</v>
      </c>
      <c r="AD167" s="12" t="s">
        <v>10</v>
      </c>
      <c r="AE167" s="70">
        <v>3</v>
      </c>
      <c r="AF167" s="36">
        <v>1</v>
      </c>
      <c r="AG167" s="17">
        <f>AS167</f>
        <v>24</v>
      </c>
      <c r="AH167">
        <f t="shared" ref="AH167:AH171" si="42">COUNTIF($B167:$AF167,4)</f>
        <v>0</v>
      </c>
      <c r="AI167">
        <f t="shared" ref="AI167:AI171" si="43">COUNTIF($B167:$AF167,5)</f>
        <v>0</v>
      </c>
      <c r="AK167" s="56">
        <f>COUNTIF($B167:$AF167,3)</f>
        <v>6</v>
      </c>
      <c r="AL167" s="56">
        <f>COUNTIF($B167:$AF167,1)</f>
        <v>7</v>
      </c>
      <c r="AM167" s="56">
        <f>COUNTIF($B167:$AF167,2)</f>
        <v>5</v>
      </c>
      <c r="AN167" s="56">
        <f>COUNTIF($B167:$AF167,"DO")</f>
        <v>7</v>
      </c>
      <c r="AO167" s="56">
        <f>COUNTIF($B167:$AF167,"R")</f>
        <v>6</v>
      </c>
      <c r="AP167" s="56">
        <f>COUNTIF($B167:$AF167,4)</f>
        <v>0</v>
      </c>
      <c r="AQ167" s="56">
        <f>COUNTIF($B167:$AF167,5)</f>
        <v>0</v>
      </c>
      <c r="AR167" s="10">
        <f t="shared" ref="AR167" si="44">SUM(AK167:AQ167)</f>
        <v>31</v>
      </c>
      <c r="AS167" s="82">
        <f t="shared" ref="AS167" si="45">AQ167+AP167+AO167+AM167+AL167+AK167+((AH167+AI167)/2)</f>
        <v>24</v>
      </c>
    </row>
    <row r="168" spans="1:45">
      <c r="A168" s="151"/>
      <c r="B168" s="4"/>
      <c r="C168" s="77"/>
      <c r="D168" s="13"/>
      <c r="E168" s="12"/>
      <c r="F168" s="12"/>
      <c r="G168" s="12"/>
      <c r="H168" s="12"/>
      <c r="I168" s="12"/>
      <c r="J168" s="13"/>
      <c r="K168" s="13"/>
      <c r="L168" s="12"/>
      <c r="M168" s="12"/>
      <c r="N168" s="12"/>
      <c r="O168" s="12"/>
      <c r="P168" s="12"/>
      <c r="Q168" s="13"/>
      <c r="R168" s="13"/>
      <c r="S168" s="12"/>
      <c r="T168" s="12"/>
      <c r="U168" s="12"/>
      <c r="V168" s="12"/>
      <c r="W168" s="12"/>
      <c r="X168" s="13"/>
      <c r="Y168" s="13"/>
      <c r="Z168" s="12"/>
      <c r="AA168" s="12"/>
      <c r="AB168" s="12"/>
      <c r="AC168" s="12"/>
      <c r="AD168" s="105"/>
      <c r="AE168" s="13"/>
      <c r="AF168" s="102"/>
      <c r="AG168" s="17"/>
      <c r="AK168" s="56"/>
      <c r="AL168" s="56"/>
      <c r="AM168" s="56"/>
      <c r="AN168" s="56"/>
      <c r="AO168" s="56"/>
      <c r="AP168" s="56"/>
      <c r="AQ168" s="56"/>
      <c r="AR168" s="10"/>
      <c r="AS168" s="82"/>
    </row>
    <row r="169" spans="1:45">
      <c r="A169" s="150" t="s">
        <v>14</v>
      </c>
      <c r="B169" s="8">
        <v>1</v>
      </c>
      <c r="C169" s="70" t="s">
        <v>10</v>
      </c>
      <c r="D169" s="70" t="s">
        <v>10</v>
      </c>
      <c r="E169" s="8" t="s">
        <v>10</v>
      </c>
      <c r="F169" s="8" t="s">
        <v>10</v>
      </c>
      <c r="G169" s="8">
        <v>2</v>
      </c>
      <c r="H169" s="12">
        <v>3</v>
      </c>
      <c r="I169" s="8">
        <v>1</v>
      </c>
      <c r="J169" s="70">
        <v>3</v>
      </c>
      <c r="K169" s="70">
        <v>1</v>
      </c>
      <c r="L169" s="8" t="s">
        <v>11</v>
      </c>
      <c r="M169" s="12" t="s">
        <v>11</v>
      </c>
      <c r="N169" s="8" t="s">
        <v>11</v>
      </c>
      <c r="O169" s="8" t="s">
        <v>11</v>
      </c>
      <c r="P169" s="8" t="s">
        <v>11</v>
      </c>
      <c r="Q169" s="70" t="s">
        <v>11</v>
      </c>
      <c r="R169" s="71" t="s">
        <v>11</v>
      </c>
      <c r="S169" s="8">
        <v>3</v>
      </c>
      <c r="T169" s="8">
        <v>1</v>
      </c>
      <c r="U169" s="8" t="s">
        <v>10</v>
      </c>
      <c r="V169" s="8" t="s">
        <v>11</v>
      </c>
      <c r="W169" s="8">
        <v>2</v>
      </c>
      <c r="X169" s="13">
        <v>3</v>
      </c>
      <c r="Y169" s="70">
        <v>1</v>
      </c>
      <c r="Z169" s="8">
        <v>2</v>
      </c>
      <c r="AA169" s="12">
        <v>2</v>
      </c>
      <c r="AB169" s="8">
        <v>3</v>
      </c>
      <c r="AC169" s="11">
        <v>1</v>
      </c>
      <c r="AD169" s="9">
        <v>3</v>
      </c>
      <c r="AE169" s="70">
        <v>1</v>
      </c>
      <c r="AF169" s="71">
        <v>3</v>
      </c>
      <c r="AG169" s="17">
        <f>AS169</f>
        <v>26</v>
      </c>
      <c r="AH169">
        <f t="shared" si="42"/>
        <v>0</v>
      </c>
      <c r="AI169">
        <f t="shared" si="43"/>
        <v>0</v>
      </c>
      <c r="AK169" s="56">
        <f>COUNTIF($B169:$AF169,3)</f>
        <v>7</v>
      </c>
      <c r="AL169" s="56">
        <f>COUNTIF($B169:$AF169,1)</f>
        <v>7</v>
      </c>
      <c r="AM169" s="56">
        <f>COUNTIF($B169:$AF169,2)</f>
        <v>4</v>
      </c>
      <c r="AN169" s="56">
        <f>COUNTIF($B169:$AF169,"DO")</f>
        <v>5</v>
      </c>
      <c r="AO169" s="56">
        <f>COUNTIF($B169:$AF169,"R")</f>
        <v>8</v>
      </c>
      <c r="AP169" s="56">
        <f>COUNTIF($B169:$AF169,4)</f>
        <v>0</v>
      </c>
      <c r="AQ169" s="56">
        <f>COUNTIF($B169:$AF169,5)</f>
        <v>0</v>
      </c>
      <c r="AR169" s="10">
        <f t="shared" ref="AR169" si="46">SUM(AK169:AQ169)</f>
        <v>31</v>
      </c>
      <c r="AS169" s="82">
        <f t="shared" ref="AS169" si="47">AQ169+AP169+AO169+AM169+AL169+AK169+((AH169+AI169)/2)</f>
        <v>26</v>
      </c>
    </row>
    <row r="170" spans="1:45">
      <c r="A170" s="151"/>
      <c r="B170" s="4"/>
      <c r="C170" s="13"/>
      <c r="D170" s="13"/>
      <c r="E170" s="12"/>
      <c r="F170" s="12"/>
      <c r="G170" s="4"/>
      <c r="H170" s="12"/>
      <c r="I170" s="12"/>
      <c r="J170" s="13"/>
      <c r="K170" s="13"/>
      <c r="L170" s="12"/>
      <c r="M170" s="4"/>
      <c r="N170" s="12"/>
      <c r="O170" s="12"/>
      <c r="P170" s="12"/>
      <c r="Q170" s="13"/>
      <c r="R170" s="13"/>
      <c r="S170" s="4"/>
      <c r="T170" s="12"/>
      <c r="U170" s="12"/>
      <c r="V170" s="12"/>
      <c r="W170" s="12"/>
      <c r="X170" s="13"/>
      <c r="Y170" s="69"/>
      <c r="Z170" s="12"/>
      <c r="AA170" s="12"/>
      <c r="AB170" s="12"/>
      <c r="AC170" s="14"/>
      <c r="AD170" s="12"/>
      <c r="AE170" s="81"/>
      <c r="AF170" s="13"/>
      <c r="AG170" s="17"/>
      <c r="AK170" s="56"/>
      <c r="AL170" s="56"/>
      <c r="AM170" s="56"/>
      <c r="AN170" s="56"/>
      <c r="AO170" s="56"/>
      <c r="AP170" s="56"/>
      <c r="AQ170" s="56"/>
      <c r="AR170" s="10"/>
      <c r="AS170" s="82"/>
    </row>
    <row r="171" spans="1:45">
      <c r="A171" s="150" t="s">
        <v>15</v>
      </c>
      <c r="B171" s="8">
        <v>3</v>
      </c>
      <c r="C171" s="8">
        <v>1</v>
      </c>
      <c r="D171" s="70" t="s">
        <v>10</v>
      </c>
      <c r="E171" s="8">
        <v>3</v>
      </c>
      <c r="F171" s="8">
        <v>1</v>
      </c>
      <c r="G171" s="8">
        <v>3</v>
      </c>
      <c r="H171" s="8">
        <v>1</v>
      </c>
      <c r="I171" s="8" t="s">
        <v>10</v>
      </c>
      <c r="J171" s="75">
        <v>2</v>
      </c>
      <c r="K171" s="13">
        <v>3</v>
      </c>
      <c r="L171" s="8">
        <v>1</v>
      </c>
      <c r="M171" s="12">
        <v>2</v>
      </c>
      <c r="N171" s="9">
        <v>3</v>
      </c>
      <c r="O171" s="9">
        <v>1</v>
      </c>
      <c r="P171" s="9">
        <v>2</v>
      </c>
      <c r="Q171" s="70">
        <v>3</v>
      </c>
      <c r="R171" s="71">
        <v>1</v>
      </c>
      <c r="S171" s="8" t="s">
        <v>11</v>
      </c>
      <c r="T171" s="12" t="s">
        <v>11</v>
      </c>
      <c r="U171" s="8" t="s">
        <v>11</v>
      </c>
      <c r="V171" s="9" t="s">
        <v>11</v>
      </c>
      <c r="W171" s="8" t="s">
        <v>10</v>
      </c>
      <c r="X171" s="13" t="s">
        <v>11</v>
      </c>
      <c r="Y171" s="70">
        <v>3</v>
      </c>
      <c r="Z171" s="9">
        <v>1</v>
      </c>
      <c r="AA171" s="8" t="s">
        <v>10</v>
      </c>
      <c r="AB171" s="8" t="s">
        <v>10</v>
      </c>
      <c r="AC171" s="8" t="s">
        <v>10</v>
      </c>
      <c r="AD171" s="9">
        <v>3</v>
      </c>
      <c r="AE171" s="70">
        <v>1</v>
      </c>
      <c r="AF171" s="36">
        <v>3</v>
      </c>
      <c r="AG171" s="17">
        <f>AS171</f>
        <v>25</v>
      </c>
      <c r="AH171">
        <f t="shared" si="42"/>
        <v>0</v>
      </c>
      <c r="AI171">
        <f t="shared" si="43"/>
        <v>0</v>
      </c>
      <c r="AK171" s="56">
        <f>COUNTIF($B171:$AF171,3)</f>
        <v>9</v>
      </c>
      <c r="AL171" s="56">
        <f>COUNTIF($B171:$AF171,1)</f>
        <v>8</v>
      </c>
      <c r="AM171" s="56">
        <f>COUNTIF($B171:$AF171,2)</f>
        <v>3</v>
      </c>
      <c r="AN171" s="56">
        <f>COUNTIF($B171:$AF171,"DO")</f>
        <v>6</v>
      </c>
      <c r="AO171" s="56">
        <f>COUNTIF($B171:$AF171,"R")</f>
        <v>5</v>
      </c>
      <c r="AP171" s="56">
        <f>COUNTIF($B171:$AF171,4)</f>
        <v>0</v>
      </c>
      <c r="AQ171" s="56">
        <f>COUNTIF($B171:$AF171,5)</f>
        <v>0</v>
      </c>
      <c r="AR171" s="10">
        <f t="shared" ref="AR171" si="48">SUM(AK171:AQ171)</f>
        <v>31</v>
      </c>
      <c r="AS171" s="82">
        <f t="shared" ref="AS171" si="49">AQ171+AP171+AO171+AM171+AL171+AK171+((AH171+AI171)/2)</f>
        <v>25</v>
      </c>
    </row>
    <row r="172" spans="1:45">
      <c r="A172" s="151"/>
      <c r="B172" s="4"/>
      <c r="C172" s="69"/>
      <c r="D172" s="69"/>
      <c r="E172" s="12"/>
      <c r="F172" s="12"/>
      <c r="G172" s="4"/>
      <c r="H172" s="12"/>
      <c r="I172" s="8"/>
      <c r="J172" s="13"/>
      <c r="K172" s="104"/>
      <c r="L172" s="12"/>
      <c r="M172" s="4"/>
      <c r="N172" s="12"/>
      <c r="O172" s="4"/>
      <c r="P172" s="12"/>
      <c r="Q172" s="13"/>
      <c r="R172" s="13"/>
      <c r="S172" s="4"/>
      <c r="T172" s="12"/>
      <c r="U172" s="4"/>
      <c r="V172" s="12"/>
      <c r="W172" s="12"/>
      <c r="X172" s="13"/>
      <c r="Y172" s="69"/>
      <c r="Z172" s="12"/>
      <c r="AA172" s="4"/>
      <c r="AB172" s="12"/>
      <c r="AC172" s="12"/>
      <c r="AD172" s="12"/>
      <c r="AE172" s="13"/>
      <c r="AF172" s="13"/>
      <c r="AG172" s="13"/>
      <c r="AK172" s="56"/>
      <c r="AL172" s="56"/>
      <c r="AM172" s="56"/>
      <c r="AN172" s="56"/>
      <c r="AO172" s="56"/>
      <c r="AP172" s="56"/>
      <c r="AQ172" s="56"/>
      <c r="AR172" s="10"/>
      <c r="AS172" s="82"/>
    </row>
    <row r="174" spans="1:45">
      <c r="A174" s="20" t="s">
        <v>18</v>
      </c>
      <c r="B174" s="21"/>
      <c r="C174" s="21"/>
      <c r="D174" s="4">
        <v>1</v>
      </c>
      <c r="E174" s="22" t="s">
        <v>17</v>
      </c>
      <c r="F174" s="144" t="s">
        <v>19</v>
      </c>
      <c r="G174" s="144"/>
      <c r="H174" s="21" t="s">
        <v>17</v>
      </c>
      <c r="I174" s="145" t="s">
        <v>20</v>
      </c>
      <c r="J174" s="145"/>
      <c r="K174" s="22"/>
      <c r="L174" s="22"/>
      <c r="M174" s="21" t="s">
        <v>11</v>
      </c>
      <c r="N174" s="21" t="s">
        <v>17</v>
      </c>
      <c r="O174" s="145" t="s">
        <v>20</v>
      </c>
      <c r="P174" s="145"/>
      <c r="Q174" s="22" t="s">
        <v>17</v>
      </c>
      <c r="R174" s="144" t="s">
        <v>21</v>
      </c>
      <c r="S174" s="144"/>
      <c r="T174" s="21"/>
      <c r="U174" s="21"/>
      <c r="V174" s="21"/>
      <c r="W174" s="22"/>
      <c r="AD174" s="22"/>
      <c r="AE174" s="22"/>
      <c r="AF174" s="22"/>
    </row>
    <row r="175" spans="1:45">
      <c r="A175" s="20"/>
      <c r="B175" s="21"/>
      <c r="C175" s="21"/>
      <c r="D175" s="4">
        <v>2</v>
      </c>
      <c r="E175" s="22" t="s">
        <v>17</v>
      </c>
      <c r="F175" s="144" t="s">
        <v>20</v>
      </c>
      <c r="G175" s="144"/>
      <c r="H175" s="21" t="s">
        <v>17</v>
      </c>
      <c r="I175" s="145" t="s">
        <v>22</v>
      </c>
      <c r="J175" s="145"/>
      <c r="K175" s="22"/>
      <c r="L175" s="22"/>
      <c r="M175" s="21" t="s">
        <v>10</v>
      </c>
      <c r="N175" s="21" t="s">
        <v>17</v>
      </c>
      <c r="O175" s="145" t="s">
        <v>23</v>
      </c>
      <c r="P175" s="145"/>
      <c r="Q175" s="22"/>
      <c r="R175" s="22"/>
      <c r="S175" s="21"/>
      <c r="T175" s="21"/>
      <c r="U175" s="21"/>
      <c r="V175" s="21"/>
      <c r="W175" s="22"/>
      <c r="X175" s="47"/>
      <c r="Y175" s="21" t="s">
        <v>76</v>
      </c>
      <c r="Z175" s="21"/>
      <c r="AA175" s="49"/>
      <c r="AB175" s="21"/>
      <c r="AC175" s="22"/>
      <c r="AD175" s="22"/>
      <c r="AE175" s="22"/>
      <c r="AF175" s="22"/>
    </row>
    <row r="176" spans="1:45">
      <c r="A176" s="20"/>
      <c r="B176" s="21"/>
      <c r="C176" s="21"/>
      <c r="D176" s="4">
        <v>3</v>
      </c>
      <c r="E176" s="22" t="s">
        <v>17</v>
      </c>
      <c r="F176" s="144" t="s">
        <v>22</v>
      </c>
      <c r="G176" s="144"/>
      <c r="H176" s="21" t="s">
        <v>17</v>
      </c>
      <c r="I176" s="145" t="s">
        <v>24</v>
      </c>
      <c r="J176" s="145"/>
      <c r="K176" s="22"/>
      <c r="L176" s="22"/>
      <c r="M176" s="7"/>
      <c r="N176" s="22"/>
      <c r="O176" s="23"/>
      <c r="P176" s="22"/>
      <c r="Q176" s="22"/>
      <c r="R176" s="22"/>
      <c r="S176" s="22"/>
      <c r="T176" s="21"/>
      <c r="U176" s="21"/>
      <c r="V176" s="21"/>
      <c r="W176" s="22"/>
      <c r="X176" s="48"/>
      <c r="Y176" s="21"/>
      <c r="Z176" s="21"/>
      <c r="AA176" s="49"/>
      <c r="AB176" s="21"/>
      <c r="AC176" s="22"/>
      <c r="AD176" s="22"/>
      <c r="AE176" s="22"/>
      <c r="AF176" s="22"/>
    </row>
    <row r="177" spans="1:45">
      <c r="A177" s="20"/>
      <c r="B177" s="21"/>
      <c r="C177" s="21"/>
      <c r="D177" s="21"/>
      <c r="E177" s="22"/>
      <c r="F177" s="22"/>
      <c r="G177" s="22"/>
      <c r="H177" s="21"/>
      <c r="I177" s="21"/>
      <c r="J177" s="21"/>
      <c r="K177" s="22"/>
      <c r="L177" s="22"/>
      <c r="M177" s="7"/>
      <c r="N177" s="22"/>
      <c r="O177" s="23"/>
      <c r="P177" s="22"/>
      <c r="Q177" s="22"/>
      <c r="R177" s="22"/>
      <c r="S177" s="22"/>
      <c r="T177" s="21"/>
      <c r="U177" s="21"/>
      <c r="V177" s="21"/>
      <c r="W177" s="22"/>
      <c r="X177" s="48"/>
      <c r="Y177" s="21"/>
      <c r="Z177" s="21"/>
      <c r="AA177" s="49"/>
      <c r="AB177" s="21"/>
      <c r="AC177" s="22"/>
      <c r="AD177" s="22"/>
      <c r="AE177" s="22"/>
      <c r="AF177" s="22"/>
    </row>
    <row r="178" spans="1:45">
      <c r="A178" s="20" t="s">
        <v>25</v>
      </c>
      <c r="B178" s="21"/>
      <c r="C178" s="21"/>
      <c r="D178" s="21"/>
      <c r="E178" s="22"/>
      <c r="F178" s="22"/>
      <c r="G178" s="22"/>
      <c r="H178" s="85"/>
      <c r="I178" s="20"/>
      <c r="J178" s="21"/>
      <c r="M178" s="22"/>
      <c r="N178" s="22"/>
      <c r="O178" s="22"/>
      <c r="P178" s="21"/>
      <c r="Q178" s="22"/>
      <c r="R178" s="22"/>
      <c r="S178" s="21"/>
      <c r="T178" s="24"/>
      <c r="U178" s="24"/>
      <c r="V178" s="24"/>
      <c r="W178" s="24"/>
      <c r="X178" s="24"/>
      <c r="Y178" s="85" t="s">
        <v>27</v>
      </c>
      <c r="Z178" s="21"/>
      <c r="AA178" s="21"/>
      <c r="AB178" s="21"/>
      <c r="AC178" s="22"/>
      <c r="AD178" s="22"/>
      <c r="AE178" s="22"/>
      <c r="AF178" s="22"/>
    </row>
    <row r="179" spans="1:45">
      <c r="X179" s="25"/>
      <c r="Y179" s="25"/>
      <c r="Z179" s="25"/>
      <c r="AA179" s="25"/>
      <c r="AB179" s="25"/>
      <c r="AC179" s="25"/>
    </row>
    <row r="180" spans="1:45">
      <c r="B180" s="146" t="s">
        <v>88</v>
      </c>
      <c r="C180" s="146"/>
      <c r="D180" s="146"/>
      <c r="E180" s="146"/>
      <c r="F180" s="146"/>
      <c r="H180" s="25"/>
      <c r="X180" s="54"/>
      <c r="AA180" s="146" t="s">
        <v>35</v>
      </c>
      <c r="AB180" s="146"/>
      <c r="AC180" s="146"/>
      <c r="AD180" s="146"/>
      <c r="AE180" s="146"/>
      <c r="AF180" s="146"/>
    </row>
    <row r="181" spans="1:45">
      <c r="B181" s="148" t="s">
        <v>81</v>
      </c>
      <c r="C181" s="148"/>
      <c r="D181" s="148"/>
      <c r="E181" s="148"/>
      <c r="F181" s="148"/>
      <c r="X181" s="54"/>
      <c r="AA181" s="148" t="s">
        <v>47</v>
      </c>
      <c r="AB181" s="148"/>
      <c r="AC181" s="148"/>
      <c r="AD181" s="148"/>
      <c r="AE181" s="148"/>
      <c r="AF181" s="148"/>
    </row>
    <row r="182" spans="1:45">
      <c r="L182" s="25"/>
      <c r="M182" s="25"/>
      <c r="N182" s="25"/>
      <c r="O182" s="25"/>
      <c r="P182" s="25"/>
      <c r="Q182" s="25"/>
      <c r="X182" s="25"/>
      <c r="Y182" s="25"/>
      <c r="Z182" s="25"/>
      <c r="AA182" s="25"/>
      <c r="AB182" s="25"/>
      <c r="AC182" s="25"/>
    </row>
    <row r="184" spans="1:45" ht="18.75">
      <c r="A184" s="149" t="s">
        <v>79</v>
      </c>
      <c r="B184" s="149"/>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c r="Y184" s="149"/>
      <c r="Z184" s="149"/>
      <c r="AA184" s="149"/>
      <c r="AB184" s="149"/>
      <c r="AC184" s="149"/>
      <c r="AD184" s="149"/>
      <c r="AE184" s="149"/>
      <c r="AF184" s="149"/>
      <c r="AG184" s="149"/>
    </row>
    <row r="185" spans="1:45" ht="18.75">
      <c r="A185" s="149" t="s">
        <v>74</v>
      </c>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c r="AA185" s="149"/>
      <c r="AB185" s="149"/>
      <c r="AC185" s="149"/>
      <c r="AD185" s="149"/>
      <c r="AE185" s="149"/>
      <c r="AF185" s="149"/>
      <c r="AG185" s="149"/>
    </row>
    <row r="186" spans="1:45">
      <c r="A186" s="1" t="s">
        <v>1</v>
      </c>
      <c r="B186" s="2" t="s">
        <v>7</v>
      </c>
      <c r="C186" s="2" t="s">
        <v>8</v>
      </c>
      <c r="D186" s="2" t="s">
        <v>2</v>
      </c>
      <c r="E186" s="2" t="s">
        <v>3</v>
      </c>
      <c r="F186" s="2" t="s">
        <v>4</v>
      </c>
      <c r="G186" s="86" t="s">
        <v>5</v>
      </c>
      <c r="H186" s="86" t="s">
        <v>6</v>
      </c>
      <c r="I186" s="2" t="s">
        <v>7</v>
      </c>
      <c r="J186" s="93" t="s">
        <v>8</v>
      </c>
      <c r="K186" s="93" t="s">
        <v>2</v>
      </c>
      <c r="L186" s="2" t="s">
        <v>3</v>
      </c>
      <c r="M186" s="2" t="s">
        <v>4</v>
      </c>
      <c r="N186" s="86" t="s">
        <v>5</v>
      </c>
      <c r="O186" s="86" t="s">
        <v>6</v>
      </c>
      <c r="P186" s="2" t="s">
        <v>7</v>
      </c>
      <c r="Q186" s="2" t="s">
        <v>8</v>
      </c>
      <c r="R186" s="2" t="s">
        <v>2</v>
      </c>
      <c r="S186" s="2" t="s">
        <v>3</v>
      </c>
      <c r="T186" s="2" t="s">
        <v>4</v>
      </c>
      <c r="U186" s="86" t="s">
        <v>5</v>
      </c>
      <c r="V186" s="86" t="s">
        <v>6</v>
      </c>
      <c r="W186" s="2" t="s">
        <v>7</v>
      </c>
      <c r="X186" s="2" t="s">
        <v>8</v>
      </c>
      <c r="Y186" s="2" t="s">
        <v>2</v>
      </c>
      <c r="Z186" s="2" t="s">
        <v>3</v>
      </c>
      <c r="AA186" s="2" t="s">
        <v>4</v>
      </c>
      <c r="AB186" s="86" t="s">
        <v>5</v>
      </c>
      <c r="AC186" s="86" t="s">
        <v>6</v>
      </c>
      <c r="AD186" s="2" t="s">
        <v>7</v>
      </c>
      <c r="AE186" s="2" t="s">
        <v>8</v>
      </c>
      <c r="AF186" s="2"/>
      <c r="AG186" s="26"/>
    </row>
    <row r="187" spans="1:45">
      <c r="A187" s="3" t="s">
        <v>9</v>
      </c>
      <c r="B187" s="15">
        <v>1</v>
      </c>
      <c r="C187" s="4">
        <v>2</v>
      </c>
      <c r="D187" s="4">
        <v>3</v>
      </c>
      <c r="E187" s="8">
        <v>4</v>
      </c>
      <c r="F187" s="8">
        <v>5</v>
      </c>
      <c r="G187" s="87">
        <v>6</v>
      </c>
      <c r="H187" s="87">
        <v>7</v>
      </c>
      <c r="I187" s="4">
        <v>8</v>
      </c>
      <c r="J187" s="4">
        <v>9</v>
      </c>
      <c r="K187" s="4">
        <v>10</v>
      </c>
      <c r="L187" s="4">
        <v>11</v>
      </c>
      <c r="M187" s="4">
        <v>12</v>
      </c>
      <c r="N187" s="87">
        <v>13</v>
      </c>
      <c r="O187" s="87">
        <v>14</v>
      </c>
      <c r="P187" s="4">
        <v>15</v>
      </c>
      <c r="Q187" s="4">
        <v>16</v>
      </c>
      <c r="R187" s="4">
        <v>17</v>
      </c>
      <c r="S187" s="4">
        <v>18</v>
      </c>
      <c r="T187" s="4">
        <v>19</v>
      </c>
      <c r="U187" s="87">
        <v>20</v>
      </c>
      <c r="V187" s="87">
        <v>21</v>
      </c>
      <c r="W187" s="4">
        <v>22</v>
      </c>
      <c r="X187" s="4">
        <v>23</v>
      </c>
      <c r="Y187" s="4">
        <v>24</v>
      </c>
      <c r="Z187" s="4">
        <v>25</v>
      </c>
      <c r="AA187" s="4">
        <v>26</v>
      </c>
      <c r="AB187" s="87">
        <v>27</v>
      </c>
      <c r="AC187" s="87">
        <v>28</v>
      </c>
      <c r="AD187" s="4">
        <v>29</v>
      </c>
      <c r="AE187" s="4">
        <v>30</v>
      </c>
      <c r="AF187" s="4">
        <v>31</v>
      </c>
      <c r="AG187" s="27"/>
      <c r="AJ187" s="56"/>
      <c r="AK187" s="56">
        <v>3</v>
      </c>
      <c r="AL187" s="56">
        <v>1</v>
      </c>
      <c r="AM187" s="56">
        <v>2</v>
      </c>
      <c r="AN187" s="56" t="s">
        <v>10</v>
      </c>
      <c r="AO187" s="56" t="s">
        <v>11</v>
      </c>
      <c r="AP187" s="56">
        <v>4</v>
      </c>
      <c r="AQ187" s="56">
        <v>5</v>
      </c>
    </row>
    <row r="188" spans="1:45">
      <c r="A188" s="150" t="s">
        <v>100</v>
      </c>
      <c r="B188" s="11">
        <v>3</v>
      </c>
      <c r="C188" s="12">
        <v>1</v>
      </c>
      <c r="D188" s="11">
        <v>2</v>
      </c>
      <c r="E188" s="12" t="s">
        <v>10</v>
      </c>
      <c r="F188" s="12" t="s">
        <v>10</v>
      </c>
      <c r="G188" s="11">
        <v>3</v>
      </c>
      <c r="H188" s="12">
        <v>1</v>
      </c>
      <c r="I188" s="11">
        <v>2</v>
      </c>
      <c r="J188" s="12" t="s">
        <v>10</v>
      </c>
      <c r="K188" s="12" t="s">
        <v>10</v>
      </c>
      <c r="L188" s="11">
        <v>3</v>
      </c>
      <c r="M188" s="12">
        <v>1</v>
      </c>
      <c r="N188" s="11">
        <v>2</v>
      </c>
      <c r="O188" s="12" t="s">
        <v>10</v>
      </c>
      <c r="P188" s="12" t="s">
        <v>10</v>
      </c>
      <c r="Q188" s="11">
        <v>3</v>
      </c>
      <c r="R188" s="12">
        <v>1</v>
      </c>
      <c r="S188" s="11">
        <v>2</v>
      </c>
      <c r="T188" s="12" t="s">
        <v>10</v>
      </c>
      <c r="U188" s="12" t="s">
        <v>10</v>
      </c>
      <c r="V188" s="11">
        <v>3</v>
      </c>
      <c r="W188" s="12">
        <v>1</v>
      </c>
      <c r="X188" s="11">
        <v>2</v>
      </c>
      <c r="Y188" s="12" t="s">
        <v>10</v>
      </c>
      <c r="Z188" s="12" t="s">
        <v>10</v>
      </c>
      <c r="AA188" s="11">
        <v>3</v>
      </c>
      <c r="AB188" s="12">
        <v>1</v>
      </c>
      <c r="AC188" s="11">
        <v>2</v>
      </c>
      <c r="AD188" s="12" t="s">
        <v>10</v>
      </c>
      <c r="AE188" s="12" t="s">
        <v>10</v>
      </c>
      <c r="AF188" s="12">
        <v>3</v>
      </c>
      <c r="AG188" s="17">
        <f>AS188</f>
        <v>19</v>
      </c>
      <c r="AJ188" s="56"/>
      <c r="AK188" s="56">
        <f>COUNTIF($B188:$AF188,3)</f>
        <v>7</v>
      </c>
      <c r="AL188" s="56">
        <f>COUNTIF($B188:$AF188,1)</f>
        <v>6</v>
      </c>
      <c r="AM188" s="56">
        <f>COUNTIF($B188:$AF188,2)</f>
        <v>6</v>
      </c>
      <c r="AN188" s="56">
        <f>COUNTIF($B188:$AF188,"DO")</f>
        <v>12</v>
      </c>
      <c r="AO188" s="56">
        <f>COUNTIF($B188:$AF188,"R")</f>
        <v>0</v>
      </c>
      <c r="AP188" s="56">
        <f>COUNTIF($B188:$AF188,4)</f>
        <v>0</v>
      </c>
      <c r="AQ188" s="56">
        <f>COUNTIF($B188:$AF188,5)</f>
        <v>0</v>
      </c>
      <c r="AR188" s="10">
        <f t="shared" ref="AR188" si="50">SUM(AK188:AQ188)</f>
        <v>31</v>
      </c>
      <c r="AS188" s="82">
        <f>AQ188+AP188+AO188+AM188+AL188+AK188+((AH188+AI188)/2)</f>
        <v>19</v>
      </c>
    </row>
    <row r="189" spans="1:45">
      <c r="A189" s="151"/>
      <c r="B189" s="11"/>
      <c r="C189" s="12"/>
      <c r="D189" s="12"/>
      <c r="E189" s="12"/>
      <c r="F189" s="11"/>
      <c r="G189" s="88"/>
      <c r="H189" s="88"/>
      <c r="I189" s="12"/>
      <c r="J189" s="11"/>
      <c r="K189" s="12"/>
      <c r="L189" s="12"/>
      <c r="M189" s="12"/>
      <c r="N189" s="91"/>
      <c r="O189" s="88"/>
      <c r="P189" s="12"/>
      <c r="Q189" s="12"/>
      <c r="R189" s="11"/>
      <c r="S189" s="12"/>
      <c r="T189" s="12"/>
      <c r="U189" s="88"/>
      <c r="V189" s="91"/>
      <c r="W189" s="12"/>
      <c r="X189" s="12"/>
      <c r="Y189" s="12"/>
      <c r="Z189" s="11"/>
      <c r="AA189" s="12"/>
      <c r="AB189" s="88"/>
      <c r="AC189" s="88"/>
      <c r="AD189" s="12"/>
      <c r="AE189" s="12"/>
      <c r="AF189" s="12"/>
      <c r="AG189" s="17"/>
      <c r="AJ189" s="56"/>
      <c r="AK189" s="56"/>
      <c r="AL189" s="56"/>
      <c r="AM189" s="56"/>
      <c r="AN189" s="56"/>
      <c r="AO189" s="56"/>
      <c r="AP189" s="56"/>
      <c r="AQ189" s="56"/>
      <c r="AR189" s="10"/>
      <c r="AS189" s="82"/>
    </row>
    <row r="190" spans="1:45">
      <c r="A190" s="150" t="s">
        <v>101</v>
      </c>
      <c r="B190" s="12" t="s">
        <v>10</v>
      </c>
      <c r="C190" s="11">
        <v>3</v>
      </c>
      <c r="D190" s="12">
        <v>1</v>
      </c>
      <c r="E190" s="11">
        <v>2</v>
      </c>
      <c r="F190" s="12" t="s">
        <v>10</v>
      </c>
      <c r="G190" s="12" t="s">
        <v>10</v>
      </c>
      <c r="H190" s="11">
        <v>3</v>
      </c>
      <c r="I190" s="12">
        <v>1</v>
      </c>
      <c r="J190" s="11">
        <v>2</v>
      </c>
      <c r="K190" s="12" t="s">
        <v>10</v>
      </c>
      <c r="L190" s="12" t="s">
        <v>10</v>
      </c>
      <c r="M190" s="11">
        <v>3</v>
      </c>
      <c r="N190" s="12">
        <v>1</v>
      </c>
      <c r="O190" s="11">
        <v>2</v>
      </c>
      <c r="P190" s="12" t="s">
        <v>10</v>
      </c>
      <c r="Q190" s="12" t="s">
        <v>10</v>
      </c>
      <c r="R190" s="11">
        <v>3</v>
      </c>
      <c r="S190" s="12">
        <v>1</v>
      </c>
      <c r="T190" s="11">
        <v>2</v>
      </c>
      <c r="U190" s="12" t="s">
        <v>10</v>
      </c>
      <c r="V190" s="12" t="s">
        <v>10</v>
      </c>
      <c r="W190" s="11">
        <v>3</v>
      </c>
      <c r="X190" s="12">
        <v>1</v>
      </c>
      <c r="Y190" s="11">
        <v>2</v>
      </c>
      <c r="Z190" s="12" t="s">
        <v>10</v>
      </c>
      <c r="AA190" s="12" t="s">
        <v>10</v>
      </c>
      <c r="AB190" s="11">
        <v>3</v>
      </c>
      <c r="AC190" s="12">
        <v>1</v>
      </c>
      <c r="AD190" s="11">
        <v>2</v>
      </c>
      <c r="AE190" s="12" t="s">
        <v>10</v>
      </c>
      <c r="AF190" s="12" t="s">
        <v>10</v>
      </c>
      <c r="AG190" s="17">
        <f>AS190</f>
        <v>18</v>
      </c>
      <c r="AJ190" s="56"/>
      <c r="AK190" s="56">
        <f>COUNTIF($B190:$AF190,3)</f>
        <v>6</v>
      </c>
      <c r="AL190" s="56">
        <f>COUNTIF($B190:$AF190,1)</f>
        <v>6</v>
      </c>
      <c r="AM190" s="56">
        <f>COUNTIF($B190:$AF190,2)</f>
        <v>6</v>
      </c>
      <c r="AN190" s="56">
        <f>COUNTIF($B190:$AF190,"DO")</f>
        <v>13</v>
      </c>
      <c r="AO190" s="56">
        <f>COUNTIF($B190:$AF190,"R")</f>
        <v>0</v>
      </c>
      <c r="AP190" s="56">
        <f>COUNTIF($B190:$AF190,4)</f>
        <v>0</v>
      </c>
      <c r="AQ190" s="56">
        <f>COUNTIF($B190:$AF190,5)</f>
        <v>0</v>
      </c>
      <c r="AR190" s="10">
        <f t="shared" ref="AR190" si="51">SUM(AK190:AQ190)</f>
        <v>31</v>
      </c>
      <c r="AS190" s="82">
        <f t="shared" ref="AS190" si="52">AQ190+AP190+AO190+AM190+AL190+AK190+((AH190+AI190)/2)</f>
        <v>18</v>
      </c>
    </row>
    <row r="191" spans="1:45">
      <c r="A191" s="151"/>
      <c r="B191" s="11"/>
      <c r="C191" s="12"/>
      <c r="D191" s="12"/>
      <c r="E191" s="12"/>
      <c r="F191" s="11"/>
      <c r="G191" s="88"/>
      <c r="H191" s="88"/>
      <c r="I191" s="12"/>
      <c r="J191" s="11"/>
      <c r="K191" s="12"/>
      <c r="L191" s="12"/>
      <c r="M191" s="12"/>
      <c r="N191" s="91"/>
      <c r="O191" s="88"/>
      <c r="P191" s="12"/>
      <c r="Q191" s="12"/>
      <c r="R191" s="11"/>
      <c r="S191" s="12"/>
      <c r="T191" s="12"/>
      <c r="U191" s="88"/>
      <c r="V191" s="91"/>
      <c r="W191" s="12"/>
      <c r="X191" s="12"/>
      <c r="Y191" s="12"/>
      <c r="Z191" s="11"/>
      <c r="AA191" s="12"/>
      <c r="AB191" s="88"/>
      <c r="AC191" s="88"/>
      <c r="AD191" s="12"/>
      <c r="AE191" s="12"/>
      <c r="AF191" s="12"/>
      <c r="AG191" s="17"/>
      <c r="AJ191" s="56"/>
      <c r="AK191" s="56"/>
      <c r="AL191" s="56"/>
      <c r="AM191" s="56"/>
      <c r="AN191" s="56"/>
      <c r="AO191" s="56"/>
      <c r="AP191" s="56"/>
      <c r="AQ191" s="56"/>
      <c r="AR191" s="10"/>
      <c r="AS191" s="82"/>
    </row>
    <row r="192" spans="1:45">
      <c r="A192" s="150" t="s">
        <v>102</v>
      </c>
      <c r="B192" s="12" t="s">
        <v>10</v>
      </c>
      <c r="C192" s="12" t="s">
        <v>10</v>
      </c>
      <c r="D192" s="11">
        <v>3</v>
      </c>
      <c r="E192" s="12">
        <v>1</v>
      </c>
      <c r="F192" s="11">
        <v>2</v>
      </c>
      <c r="G192" s="12" t="s">
        <v>10</v>
      </c>
      <c r="H192" s="12" t="s">
        <v>10</v>
      </c>
      <c r="I192" s="11">
        <v>3</v>
      </c>
      <c r="J192" s="12">
        <v>1</v>
      </c>
      <c r="K192" s="11">
        <v>2</v>
      </c>
      <c r="L192" s="12" t="s">
        <v>10</v>
      </c>
      <c r="M192" s="12" t="s">
        <v>10</v>
      </c>
      <c r="N192" s="11">
        <v>3</v>
      </c>
      <c r="O192" s="12">
        <v>1</v>
      </c>
      <c r="P192" s="11">
        <v>2</v>
      </c>
      <c r="Q192" s="12" t="s">
        <v>10</v>
      </c>
      <c r="R192" s="12" t="s">
        <v>10</v>
      </c>
      <c r="S192" s="11">
        <v>3</v>
      </c>
      <c r="T192" s="12">
        <v>1</v>
      </c>
      <c r="U192" s="11">
        <v>2</v>
      </c>
      <c r="V192" s="12" t="s">
        <v>10</v>
      </c>
      <c r="W192" s="12" t="s">
        <v>10</v>
      </c>
      <c r="X192" s="11">
        <v>3</v>
      </c>
      <c r="Y192" s="12">
        <v>1</v>
      </c>
      <c r="Z192" s="11">
        <v>2</v>
      </c>
      <c r="AA192" s="12" t="s">
        <v>10</v>
      </c>
      <c r="AB192" s="12" t="s">
        <v>10</v>
      </c>
      <c r="AC192" s="11">
        <v>3</v>
      </c>
      <c r="AD192" s="12">
        <v>1</v>
      </c>
      <c r="AE192" s="11">
        <v>2</v>
      </c>
      <c r="AF192" s="12" t="s">
        <v>10</v>
      </c>
      <c r="AG192" s="17">
        <f>AS192</f>
        <v>18</v>
      </c>
      <c r="AH192" s="172"/>
      <c r="AJ192" s="56"/>
      <c r="AK192" s="56">
        <f>COUNTIF($B192:$AF192,3)</f>
        <v>6</v>
      </c>
      <c r="AL192" s="56">
        <f>COUNTIF($B192:$AF192,1)</f>
        <v>6</v>
      </c>
      <c r="AM192" s="56">
        <f>COUNTIF($B192:$AF192,2)</f>
        <v>6</v>
      </c>
      <c r="AN192" s="56">
        <f>COUNTIF($B192:$AF192,"DO")</f>
        <v>13</v>
      </c>
      <c r="AO192" s="56">
        <f>COUNTIF($B192:$AF192,"R")</f>
        <v>0</v>
      </c>
      <c r="AP192" s="56">
        <f>COUNTIF($B192:$AF192,4)</f>
        <v>0</v>
      </c>
      <c r="AQ192" s="56">
        <f>COUNTIF($B192:$AF192,5)</f>
        <v>0</v>
      </c>
      <c r="AR192" s="10">
        <f t="shared" ref="AR192" si="53">SUM(AK192:AQ192)</f>
        <v>31</v>
      </c>
      <c r="AS192" s="82">
        <f t="shared" ref="AS192" si="54">AQ192+AP192+AO192+AM192+AL192+AK192+((AH192+AI192)/2)</f>
        <v>18</v>
      </c>
    </row>
    <row r="193" spans="1:45">
      <c r="A193" s="151"/>
      <c r="B193" s="11"/>
      <c r="C193" s="12"/>
      <c r="D193" s="12"/>
      <c r="E193" s="12"/>
      <c r="F193" s="11"/>
      <c r="G193" s="88"/>
      <c r="H193" s="88"/>
      <c r="I193" s="12"/>
      <c r="J193" s="11"/>
      <c r="K193" s="12"/>
      <c r="L193" s="12"/>
      <c r="M193" s="12"/>
      <c r="N193" s="91"/>
      <c r="O193" s="88"/>
      <c r="P193" s="12"/>
      <c r="Q193" s="12"/>
      <c r="R193" s="11"/>
      <c r="S193" s="12"/>
      <c r="T193" s="12"/>
      <c r="U193" s="88"/>
      <c r="V193" s="91"/>
      <c r="W193" s="12"/>
      <c r="X193" s="12"/>
      <c r="Y193" s="12"/>
      <c r="Z193" s="11"/>
      <c r="AA193" s="12"/>
      <c r="AB193" s="88"/>
      <c r="AC193" s="88"/>
      <c r="AD193" s="12"/>
      <c r="AE193" s="12"/>
      <c r="AF193" s="12"/>
      <c r="AG193" s="17"/>
      <c r="AJ193" s="56"/>
      <c r="AK193" s="56"/>
      <c r="AL193" s="56"/>
      <c r="AM193" s="56"/>
      <c r="AN193" s="56"/>
      <c r="AO193" s="56"/>
      <c r="AP193" s="56"/>
      <c r="AQ193" s="56"/>
      <c r="AR193" s="10"/>
      <c r="AS193" s="10"/>
    </row>
    <row r="194" spans="1:45">
      <c r="A194" s="150" t="s">
        <v>103</v>
      </c>
      <c r="B194" s="9">
        <v>2</v>
      </c>
      <c r="C194" s="12" t="s">
        <v>10</v>
      </c>
      <c r="D194" s="12" t="s">
        <v>10</v>
      </c>
      <c r="E194" s="11">
        <v>3</v>
      </c>
      <c r="F194" s="12">
        <v>1</v>
      </c>
      <c r="G194" s="11">
        <v>2</v>
      </c>
      <c r="H194" s="12" t="s">
        <v>10</v>
      </c>
      <c r="I194" s="12" t="s">
        <v>10</v>
      </c>
      <c r="J194" s="11">
        <v>3</v>
      </c>
      <c r="K194" s="12">
        <v>1</v>
      </c>
      <c r="L194" s="11">
        <v>2</v>
      </c>
      <c r="M194" s="12" t="s">
        <v>10</v>
      </c>
      <c r="N194" s="12" t="s">
        <v>10</v>
      </c>
      <c r="O194" s="11">
        <v>3</v>
      </c>
      <c r="P194" s="12">
        <v>1</v>
      </c>
      <c r="Q194" s="11">
        <v>2</v>
      </c>
      <c r="R194" s="12" t="s">
        <v>10</v>
      </c>
      <c r="S194" s="12" t="s">
        <v>10</v>
      </c>
      <c r="T194" s="11">
        <v>3</v>
      </c>
      <c r="U194" s="12">
        <v>1</v>
      </c>
      <c r="V194" s="11">
        <v>2</v>
      </c>
      <c r="W194" s="12" t="s">
        <v>10</v>
      </c>
      <c r="X194" s="12" t="s">
        <v>10</v>
      </c>
      <c r="Y194" s="11">
        <v>3</v>
      </c>
      <c r="Z194" s="12">
        <v>1</v>
      </c>
      <c r="AA194" s="11">
        <v>2</v>
      </c>
      <c r="AB194" s="12" t="s">
        <v>10</v>
      </c>
      <c r="AC194" s="12" t="s">
        <v>10</v>
      </c>
      <c r="AD194" s="11">
        <v>3</v>
      </c>
      <c r="AE194" s="12">
        <v>1</v>
      </c>
      <c r="AF194" s="11">
        <v>2</v>
      </c>
      <c r="AG194" s="17">
        <f>AS194</f>
        <v>19</v>
      </c>
      <c r="AH194">
        <f>COUNTIF($B194:$AF194,4)</f>
        <v>0</v>
      </c>
      <c r="AI194">
        <f>COUNTIF($B194:$AF194,5)</f>
        <v>0</v>
      </c>
      <c r="AK194" s="56">
        <f>COUNTIF($B194:$AF194,3)</f>
        <v>6</v>
      </c>
      <c r="AL194" s="56">
        <f>COUNTIF($B194:$AF194,1)</f>
        <v>6</v>
      </c>
      <c r="AM194" s="56">
        <f>COUNTIF($B194:$AF194,2)</f>
        <v>7</v>
      </c>
      <c r="AN194" s="56">
        <f>COUNTIF($B194:$AF194,"DO")</f>
        <v>12</v>
      </c>
      <c r="AO194" s="56">
        <f>COUNTIF($B194:$AF194,"R")</f>
        <v>0</v>
      </c>
      <c r="AP194" s="56">
        <f>COUNTIF($B194:$AF194,4)</f>
        <v>0</v>
      </c>
      <c r="AQ194" s="56">
        <f>COUNTIF($B194:$AF194,5)</f>
        <v>0</v>
      </c>
      <c r="AR194" s="10">
        <f>SUM(AK194:AO194)</f>
        <v>31</v>
      </c>
      <c r="AS194" s="10">
        <f>AQ194+AP194+AO194+AM194+AL194+AK194</f>
        <v>19</v>
      </c>
    </row>
    <row r="195" spans="1:45">
      <c r="A195" s="151"/>
      <c r="B195" s="11"/>
      <c r="C195" s="12"/>
      <c r="D195" s="12"/>
      <c r="E195" s="12"/>
      <c r="F195" s="11"/>
      <c r="G195" s="88"/>
      <c r="H195" s="88"/>
      <c r="I195" s="12"/>
      <c r="J195" s="12"/>
      <c r="K195" s="8"/>
      <c r="L195" s="9"/>
      <c r="M195" s="94"/>
      <c r="N195" s="91"/>
      <c r="O195" s="88"/>
      <c r="P195" s="12"/>
      <c r="Q195" s="12"/>
      <c r="R195" s="11"/>
      <c r="S195" s="12"/>
      <c r="T195" s="12"/>
      <c r="U195" s="88"/>
      <c r="V195" s="91"/>
      <c r="W195" s="12"/>
      <c r="X195" s="12"/>
      <c r="Y195" s="12"/>
      <c r="Z195" s="11"/>
      <c r="AA195" s="12"/>
      <c r="AB195" s="88"/>
      <c r="AC195" s="88"/>
      <c r="AD195" s="12"/>
      <c r="AE195" s="12"/>
      <c r="AF195" s="12"/>
      <c r="AG195" s="17"/>
      <c r="AK195" s="56"/>
      <c r="AL195" s="56"/>
      <c r="AM195" s="56"/>
      <c r="AN195" s="56"/>
      <c r="AO195" s="56"/>
      <c r="AP195" s="56"/>
      <c r="AQ195" s="56"/>
      <c r="AR195" s="10"/>
      <c r="AS195" s="10"/>
    </row>
    <row r="196" spans="1:45">
      <c r="A196" s="150" t="s">
        <v>104</v>
      </c>
      <c r="B196" s="115">
        <v>1</v>
      </c>
      <c r="C196" s="115">
        <v>2</v>
      </c>
      <c r="D196" s="12" t="s">
        <v>10</v>
      </c>
      <c r="E196" s="12" t="s">
        <v>10</v>
      </c>
      <c r="F196" s="11">
        <v>3</v>
      </c>
      <c r="G196" s="12">
        <v>1</v>
      </c>
      <c r="H196" s="11">
        <v>2</v>
      </c>
      <c r="I196" s="12" t="s">
        <v>10</v>
      </c>
      <c r="J196" s="12" t="s">
        <v>10</v>
      </c>
      <c r="K196" s="11">
        <v>3</v>
      </c>
      <c r="L196" s="12">
        <v>1</v>
      </c>
      <c r="M196" s="11">
        <v>2</v>
      </c>
      <c r="N196" s="12" t="s">
        <v>10</v>
      </c>
      <c r="O196" s="12" t="s">
        <v>10</v>
      </c>
      <c r="P196" s="11">
        <v>3</v>
      </c>
      <c r="Q196" s="12">
        <v>1</v>
      </c>
      <c r="R196" s="11">
        <v>2</v>
      </c>
      <c r="S196" s="12" t="s">
        <v>10</v>
      </c>
      <c r="T196" s="12" t="s">
        <v>10</v>
      </c>
      <c r="U196" s="11">
        <v>3</v>
      </c>
      <c r="V196" s="12">
        <v>1</v>
      </c>
      <c r="W196" s="11">
        <v>2</v>
      </c>
      <c r="X196" s="12" t="s">
        <v>10</v>
      </c>
      <c r="Y196" s="12" t="s">
        <v>10</v>
      </c>
      <c r="Z196" s="11">
        <v>3</v>
      </c>
      <c r="AA196" s="12">
        <v>1</v>
      </c>
      <c r="AB196" s="11">
        <v>2</v>
      </c>
      <c r="AC196" s="12" t="s">
        <v>10</v>
      </c>
      <c r="AD196" s="12" t="s">
        <v>10</v>
      </c>
      <c r="AE196" s="11">
        <v>3</v>
      </c>
      <c r="AF196" s="12">
        <v>1</v>
      </c>
      <c r="AG196" s="17">
        <f>AS196</f>
        <v>19</v>
      </c>
      <c r="AH196">
        <f t="shared" ref="AH196" si="55">COUNTIF($B196:$AF196,4)</f>
        <v>0</v>
      </c>
      <c r="AI196">
        <f t="shared" ref="AI196" si="56">COUNTIF($B196:$AF196,5)</f>
        <v>0</v>
      </c>
      <c r="AK196" s="56">
        <f>COUNTIF($B196:$AF196,3)</f>
        <v>6</v>
      </c>
      <c r="AL196" s="56">
        <f>COUNTIF($B196:$AF196,1)</f>
        <v>7</v>
      </c>
      <c r="AM196" s="56">
        <f>COUNTIF($B196:$AF196,2)</f>
        <v>6</v>
      </c>
      <c r="AN196" s="56">
        <f>COUNTIF($B196:$AF196,"DO")</f>
        <v>12</v>
      </c>
      <c r="AO196" s="56">
        <f>COUNTIF($B196:$AF196,"R")</f>
        <v>0</v>
      </c>
      <c r="AP196" s="56">
        <f>COUNTIF($B196:$AF196,4)</f>
        <v>0</v>
      </c>
      <c r="AQ196" s="56">
        <f>COUNTIF($B196:$AF196,5)</f>
        <v>0</v>
      </c>
      <c r="AR196" s="10">
        <f t="shared" ref="AR196" si="57">SUM(AK196:AQ196)</f>
        <v>31</v>
      </c>
      <c r="AS196" s="82">
        <f>AQ196+AP196+AO196+AM196+AL196+AK196+((AH196+AI196)/2)</f>
        <v>19</v>
      </c>
    </row>
    <row r="197" spans="1:45">
      <c r="A197" s="151"/>
      <c r="B197" s="29"/>
      <c r="C197" s="29"/>
      <c r="D197" s="29"/>
      <c r="E197" s="29"/>
      <c r="F197" s="30"/>
      <c r="G197" s="89"/>
      <c r="H197" s="90"/>
      <c r="I197" s="12"/>
      <c r="J197" s="101"/>
      <c r="K197" s="12"/>
      <c r="L197" s="12"/>
      <c r="M197" s="12"/>
      <c r="N197" s="87"/>
      <c r="O197" s="88"/>
      <c r="P197" s="12"/>
      <c r="Q197" s="12"/>
      <c r="R197" s="12"/>
      <c r="S197" s="12"/>
      <c r="T197" s="4"/>
      <c r="U197" s="88"/>
      <c r="V197" s="92"/>
      <c r="W197" s="8"/>
      <c r="X197" s="9"/>
      <c r="Y197" s="12"/>
      <c r="Z197" s="4"/>
      <c r="AA197" s="12"/>
      <c r="AB197" s="88"/>
      <c r="AC197" s="88"/>
      <c r="AD197" s="34"/>
      <c r="AE197" s="12"/>
      <c r="AF197" s="12"/>
      <c r="AG197" s="71"/>
      <c r="AK197" s="56"/>
      <c r="AL197" s="56"/>
      <c r="AM197" s="56"/>
      <c r="AN197" s="56"/>
      <c r="AO197" s="56"/>
      <c r="AP197" s="56"/>
      <c r="AQ197" s="56"/>
      <c r="AR197" s="10"/>
      <c r="AS197" s="82"/>
    </row>
    <row r="198" spans="1:45">
      <c r="A198" s="31"/>
      <c r="AK198" s="56"/>
      <c r="AL198" s="56"/>
      <c r="AM198" s="56"/>
      <c r="AN198" s="56"/>
      <c r="AO198" s="56"/>
      <c r="AP198" s="56"/>
      <c r="AQ198" s="56"/>
      <c r="AR198" s="10"/>
      <c r="AS198" s="82"/>
    </row>
    <row r="199" spans="1:45">
      <c r="A199" s="20" t="s">
        <v>18</v>
      </c>
      <c r="B199" s="21"/>
      <c r="C199" s="21"/>
      <c r="D199" s="4">
        <v>1</v>
      </c>
      <c r="E199" s="22" t="s">
        <v>17</v>
      </c>
      <c r="F199" s="144" t="s">
        <v>19</v>
      </c>
      <c r="G199" s="144"/>
      <c r="H199" s="21" t="s">
        <v>17</v>
      </c>
      <c r="I199" s="145" t="s">
        <v>20</v>
      </c>
      <c r="J199" s="145"/>
      <c r="K199" s="22"/>
      <c r="L199" s="22"/>
      <c r="M199" s="21" t="s">
        <v>11</v>
      </c>
      <c r="N199" s="21" t="s">
        <v>17</v>
      </c>
      <c r="O199" s="145" t="s">
        <v>20</v>
      </c>
      <c r="P199" s="145"/>
      <c r="Q199" s="22" t="s">
        <v>17</v>
      </c>
      <c r="R199" s="144" t="s">
        <v>21</v>
      </c>
      <c r="S199" s="144"/>
      <c r="T199" s="21"/>
      <c r="U199" s="21"/>
      <c r="V199" s="21"/>
      <c r="W199" s="22"/>
      <c r="AD199" s="22"/>
      <c r="AE199" s="22"/>
      <c r="AF199" s="22"/>
      <c r="AK199" s="56"/>
      <c r="AL199" s="56"/>
      <c r="AM199" s="56"/>
      <c r="AN199" s="56"/>
      <c r="AO199" s="56"/>
      <c r="AP199" s="56"/>
      <c r="AQ199" s="56"/>
      <c r="AR199" s="10"/>
      <c r="AS199" s="82"/>
    </row>
    <row r="200" spans="1:45">
      <c r="A200" s="20"/>
      <c r="B200" s="21"/>
      <c r="C200" s="21"/>
      <c r="D200" s="4">
        <v>2</v>
      </c>
      <c r="E200" s="22" t="s">
        <v>17</v>
      </c>
      <c r="F200" s="144" t="s">
        <v>20</v>
      </c>
      <c r="G200" s="144"/>
      <c r="H200" s="21" t="s">
        <v>17</v>
      </c>
      <c r="I200" s="145" t="s">
        <v>22</v>
      </c>
      <c r="J200" s="145"/>
      <c r="K200" s="22"/>
      <c r="L200" s="22"/>
      <c r="M200" s="21" t="s">
        <v>10</v>
      </c>
      <c r="N200" s="21" t="s">
        <v>17</v>
      </c>
      <c r="O200" s="145" t="s">
        <v>23</v>
      </c>
      <c r="P200" s="145"/>
      <c r="Q200" s="22"/>
      <c r="R200" s="22"/>
      <c r="S200" s="21"/>
      <c r="T200" s="21"/>
      <c r="U200" s="21"/>
      <c r="V200" s="21"/>
      <c r="W200" s="22"/>
      <c r="X200" s="47"/>
      <c r="Y200" s="21"/>
      <c r="Z200" s="21"/>
      <c r="AA200" s="49"/>
      <c r="AB200" s="21"/>
      <c r="AC200" s="22"/>
      <c r="AD200" s="22"/>
      <c r="AE200" s="22"/>
      <c r="AF200" s="22"/>
      <c r="AK200" s="56"/>
      <c r="AL200" s="56"/>
      <c r="AM200" s="56"/>
      <c r="AN200" s="56"/>
      <c r="AO200" s="56"/>
      <c r="AP200" s="56"/>
      <c r="AQ200" s="56"/>
      <c r="AR200" s="10"/>
      <c r="AS200" s="82"/>
    </row>
    <row r="201" spans="1:45">
      <c r="A201" s="20"/>
      <c r="B201" s="21"/>
      <c r="C201" s="21"/>
      <c r="D201" s="4">
        <v>3</v>
      </c>
      <c r="E201" s="22" t="s">
        <v>17</v>
      </c>
      <c r="F201" s="144" t="s">
        <v>22</v>
      </c>
      <c r="G201" s="144"/>
      <c r="H201" s="21" t="s">
        <v>17</v>
      </c>
      <c r="I201" s="145" t="s">
        <v>24</v>
      </c>
      <c r="J201" s="145"/>
      <c r="K201" s="22"/>
      <c r="L201" s="22"/>
      <c r="M201" s="7"/>
      <c r="N201" s="22"/>
      <c r="O201" s="23"/>
      <c r="P201" s="22"/>
      <c r="Q201" s="22"/>
      <c r="R201" s="22"/>
      <c r="S201" s="22"/>
      <c r="T201" s="21"/>
      <c r="U201" s="21"/>
      <c r="V201" s="21"/>
      <c r="W201" s="22"/>
      <c r="X201" s="48"/>
      <c r="Y201" s="21"/>
      <c r="Z201" s="21"/>
      <c r="AA201" s="49"/>
      <c r="AB201" s="21"/>
      <c r="AC201" s="22"/>
      <c r="AD201" s="22"/>
      <c r="AE201" s="22"/>
      <c r="AF201" s="22"/>
      <c r="AK201" s="56"/>
      <c r="AL201" s="56"/>
      <c r="AM201" s="56"/>
      <c r="AN201" s="56"/>
      <c r="AO201" s="56"/>
      <c r="AP201" s="56"/>
      <c r="AQ201" s="56"/>
      <c r="AR201" s="10"/>
      <c r="AS201" s="82"/>
    </row>
    <row r="202" spans="1:45">
      <c r="A202" s="20"/>
      <c r="B202" s="21"/>
      <c r="C202" s="21"/>
      <c r="D202" s="21"/>
      <c r="E202" s="22"/>
      <c r="F202" s="22"/>
      <c r="G202" s="22"/>
      <c r="H202" s="21"/>
      <c r="I202" s="21"/>
      <c r="J202" s="21"/>
      <c r="K202" s="22"/>
      <c r="L202" s="22"/>
      <c r="M202" s="7"/>
      <c r="N202" s="22"/>
      <c r="O202" s="23"/>
      <c r="P202" s="22"/>
      <c r="Q202" s="22"/>
      <c r="R202" s="22"/>
      <c r="S202" s="22"/>
      <c r="T202" s="21"/>
      <c r="U202" s="21"/>
      <c r="V202" s="21"/>
      <c r="W202" s="22"/>
      <c r="X202" s="48"/>
      <c r="Y202" s="21"/>
      <c r="Z202" s="21"/>
      <c r="AA202" s="49"/>
      <c r="AB202" s="21"/>
      <c r="AC202" s="22"/>
      <c r="AD202" s="22"/>
      <c r="AE202" s="22"/>
      <c r="AF202" s="22"/>
      <c r="AK202" s="56"/>
      <c r="AL202" s="56"/>
      <c r="AM202" s="56"/>
      <c r="AN202" s="56"/>
      <c r="AO202" s="56"/>
      <c r="AP202" s="56"/>
      <c r="AQ202" s="56"/>
      <c r="AR202" s="10"/>
      <c r="AS202" s="82"/>
    </row>
    <row r="203" spans="1:45">
      <c r="A203" s="20" t="s">
        <v>25</v>
      </c>
      <c r="B203" s="21"/>
      <c r="C203" s="21"/>
      <c r="D203" s="21"/>
      <c r="E203" s="22"/>
      <c r="F203" s="22"/>
      <c r="G203" s="22"/>
      <c r="X203" s="24"/>
      <c r="Y203" s="85" t="s">
        <v>27</v>
      </c>
      <c r="Z203" s="21"/>
      <c r="AA203" s="21"/>
      <c r="AB203" s="21"/>
      <c r="AC203" s="22"/>
      <c r="AD203" s="22"/>
      <c r="AE203" s="22"/>
      <c r="AF203" s="22"/>
      <c r="AK203" s="56"/>
      <c r="AL203" s="56"/>
      <c r="AM203" s="56"/>
      <c r="AN203" s="56"/>
      <c r="AO203" s="56"/>
      <c r="AP203" s="56"/>
      <c r="AQ203" s="56"/>
      <c r="AR203" s="10"/>
      <c r="AS203" s="82"/>
    </row>
    <row r="204" spans="1:45">
      <c r="X204" s="25"/>
      <c r="Y204" s="25"/>
      <c r="Z204" s="25"/>
      <c r="AA204" s="25"/>
      <c r="AB204" s="25"/>
      <c r="AC204" s="25"/>
      <c r="AK204" s="56"/>
      <c r="AL204" s="56"/>
      <c r="AM204" s="56"/>
      <c r="AN204" s="56"/>
      <c r="AO204" s="56"/>
      <c r="AP204" s="56"/>
      <c r="AQ204" s="56"/>
      <c r="AR204" s="10"/>
      <c r="AS204" s="82"/>
    </row>
    <row r="205" spans="1:45">
      <c r="B205" s="146" t="s">
        <v>34</v>
      </c>
      <c r="C205" s="146"/>
      <c r="D205" s="146"/>
      <c r="E205" s="146"/>
      <c r="F205" s="146"/>
      <c r="X205" s="54"/>
      <c r="AA205" s="146" t="s">
        <v>35</v>
      </c>
      <c r="AB205" s="146"/>
      <c r="AC205" s="146"/>
      <c r="AD205" s="146"/>
      <c r="AE205" s="146"/>
      <c r="AF205" s="146"/>
      <c r="AK205" s="56"/>
      <c r="AL205" s="56"/>
      <c r="AM205" s="56"/>
      <c r="AN205" s="56"/>
      <c r="AO205" s="56"/>
      <c r="AP205" s="56"/>
      <c r="AQ205" s="56"/>
      <c r="AR205" s="10"/>
      <c r="AS205" s="82"/>
    </row>
    <row r="206" spans="1:45">
      <c r="B206" s="148" t="s">
        <v>81</v>
      </c>
      <c r="C206" s="148"/>
      <c r="D206" s="148"/>
      <c r="E206" s="148"/>
      <c r="F206" s="148"/>
      <c r="X206" s="54"/>
      <c r="AA206" s="148" t="s">
        <v>47</v>
      </c>
      <c r="AB206" s="148"/>
      <c r="AC206" s="148"/>
      <c r="AD206" s="148"/>
      <c r="AE206" s="148"/>
      <c r="AF206" s="148"/>
      <c r="AK206" s="56"/>
      <c r="AL206" s="56"/>
      <c r="AM206" s="56"/>
      <c r="AN206" s="56"/>
      <c r="AO206" s="56"/>
      <c r="AP206" s="56"/>
      <c r="AQ206" s="56"/>
      <c r="AR206" s="10"/>
      <c r="AS206" s="82"/>
    </row>
    <row r="207" spans="1:45">
      <c r="A207" s="20"/>
      <c r="B207" s="21"/>
      <c r="C207" s="21"/>
      <c r="D207" s="21"/>
      <c r="E207" s="22"/>
      <c r="F207" s="22"/>
      <c r="G207" s="22"/>
      <c r="H207" s="21"/>
      <c r="I207" s="21"/>
      <c r="J207" s="21"/>
      <c r="K207" s="22"/>
      <c r="L207" s="22"/>
      <c r="M207" s="7"/>
      <c r="N207" s="22"/>
      <c r="O207" s="23"/>
      <c r="P207" s="22"/>
      <c r="Q207" s="22"/>
      <c r="R207" s="22"/>
      <c r="S207" s="22"/>
      <c r="T207" s="21"/>
      <c r="U207" s="21"/>
      <c r="V207" s="21"/>
      <c r="W207" s="22"/>
      <c r="X207" s="48"/>
      <c r="Y207" s="21"/>
      <c r="Z207" s="21"/>
      <c r="AA207" s="49"/>
      <c r="AB207" s="21"/>
      <c r="AC207" s="22"/>
      <c r="AD207" s="22"/>
      <c r="AE207" s="22"/>
      <c r="AF207" s="22"/>
      <c r="AK207" s="56"/>
      <c r="AL207" s="56"/>
      <c r="AM207" s="56"/>
      <c r="AN207" s="56"/>
      <c r="AO207" s="56"/>
      <c r="AP207" s="56"/>
      <c r="AQ207" s="56"/>
      <c r="AR207" s="10"/>
      <c r="AS207" s="82"/>
    </row>
    <row r="210" spans="1:45">
      <c r="B210" s="54"/>
      <c r="C210" s="54"/>
      <c r="D210" s="54"/>
      <c r="E210" s="54"/>
      <c r="F210" s="54"/>
      <c r="J210" s="54"/>
      <c r="K210" s="54"/>
      <c r="L210" s="54"/>
      <c r="M210" s="54"/>
      <c r="O210" s="54"/>
      <c r="P210" s="54"/>
      <c r="Q210" s="54"/>
      <c r="R210" s="54"/>
      <c r="T210" s="54"/>
      <c r="U210" s="54"/>
      <c r="V210" s="54"/>
      <c r="W210" s="54"/>
      <c r="X210" s="54"/>
      <c r="AA210" s="54"/>
      <c r="AB210" s="54"/>
      <c r="AC210" s="54"/>
      <c r="AD210" s="54"/>
      <c r="AE210" s="54"/>
      <c r="AF210" s="54"/>
    </row>
    <row r="211" spans="1:45">
      <c r="B211" s="54"/>
      <c r="C211" s="54"/>
      <c r="D211" s="54"/>
      <c r="E211" s="54"/>
      <c r="F211" s="54"/>
      <c r="J211" s="54"/>
      <c r="K211" s="54"/>
      <c r="L211" s="54"/>
      <c r="M211" s="54"/>
      <c r="O211" s="54"/>
      <c r="P211" s="54"/>
      <c r="Q211" s="54"/>
      <c r="R211" s="54"/>
      <c r="T211" s="54"/>
      <c r="U211" s="54"/>
      <c r="V211" s="54"/>
      <c r="W211" s="54"/>
      <c r="X211" s="54"/>
      <c r="AA211" s="54"/>
      <c r="AB211" s="54"/>
      <c r="AC211" s="54"/>
      <c r="AD211" s="54"/>
      <c r="AE211" s="54"/>
      <c r="AF211" s="54"/>
    </row>
    <row r="212" spans="1:45" ht="18.75">
      <c r="A212" s="149" t="s">
        <v>79</v>
      </c>
      <c r="B212" s="149"/>
      <c r="C212" s="149"/>
      <c r="D212" s="149"/>
      <c r="E212" s="149"/>
      <c r="F212" s="149"/>
      <c r="G212" s="149"/>
      <c r="H212" s="149"/>
      <c r="I212" s="149"/>
      <c r="J212" s="149"/>
      <c r="K212" s="149"/>
      <c r="L212" s="149"/>
      <c r="M212" s="149"/>
      <c r="N212" s="149"/>
      <c r="O212" s="149"/>
      <c r="P212" s="149"/>
      <c r="Q212" s="149"/>
      <c r="R212" s="149"/>
      <c r="S212" s="149"/>
      <c r="T212" s="149"/>
      <c r="U212" s="149"/>
      <c r="V212" s="149"/>
      <c r="W212" s="149"/>
      <c r="X212" s="149"/>
      <c r="Y212" s="149"/>
      <c r="Z212" s="149"/>
      <c r="AA212" s="149"/>
      <c r="AB212" s="149"/>
      <c r="AC212" s="149"/>
      <c r="AD212" s="149"/>
      <c r="AE212" s="149"/>
      <c r="AF212" s="149"/>
      <c r="AG212" s="149"/>
    </row>
    <row r="213" spans="1:45" ht="18.75">
      <c r="A213" s="149" t="s">
        <v>87</v>
      </c>
      <c r="B213" s="149"/>
      <c r="C213" s="149"/>
      <c r="D213" s="149"/>
      <c r="E213" s="149"/>
      <c r="F213" s="149"/>
      <c r="G213" s="149"/>
      <c r="H213" s="149"/>
      <c r="I213" s="149"/>
      <c r="J213" s="149"/>
      <c r="K213" s="149"/>
      <c r="L213" s="149"/>
      <c r="M213" s="149"/>
      <c r="N213" s="149"/>
      <c r="O213" s="149"/>
      <c r="P213" s="149"/>
      <c r="Q213" s="149"/>
      <c r="R213" s="149"/>
      <c r="S213" s="149"/>
      <c r="T213" s="149"/>
      <c r="U213" s="149"/>
      <c r="V213" s="149"/>
      <c r="W213" s="149"/>
      <c r="X213" s="149"/>
      <c r="Y213" s="149"/>
      <c r="Z213" s="149"/>
      <c r="AA213" s="149"/>
      <c r="AB213" s="149"/>
      <c r="AC213" s="149"/>
      <c r="AD213" s="149"/>
      <c r="AE213" s="149"/>
      <c r="AF213" s="149"/>
      <c r="AG213" s="149"/>
    </row>
    <row r="214" spans="1:45">
      <c r="A214" s="1" t="s">
        <v>1</v>
      </c>
      <c r="B214" s="127" t="s">
        <v>5</v>
      </c>
      <c r="C214" s="127" t="s">
        <v>6</v>
      </c>
      <c r="D214" s="2" t="s">
        <v>7</v>
      </c>
      <c r="E214" s="2" t="s">
        <v>8</v>
      </c>
      <c r="F214" s="2" t="s">
        <v>2</v>
      </c>
      <c r="G214" s="2" t="s">
        <v>3</v>
      </c>
      <c r="H214" s="2" t="s">
        <v>4</v>
      </c>
      <c r="I214" s="127" t="s">
        <v>5</v>
      </c>
      <c r="J214" s="127" t="s">
        <v>6</v>
      </c>
      <c r="K214" s="2" t="s">
        <v>7</v>
      </c>
      <c r="L214" s="2" t="s">
        <v>8</v>
      </c>
      <c r="M214" s="2" t="s">
        <v>2</v>
      </c>
      <c r="N214" s="2" t="s">
        <v>3</v>
      </c>
      <c r="O214" s="2" t="s">
        <v>4</v>
      </c>
      <c r="P214" s="127" t="s">
        <v>5</v>
      </c>
      <c r="Q214" s="127" t="s">
        <v>6</v>
      </c>
      <c r="R214" s="2" t="s">
        <v>7</v>
      </c>
      <c r="S214" s="2" t="s">
        <v>8</v>
      </c>
      <c r="T214" s="2" t="s">
        <v>2</v>
      </c>
      <c r="U214" s="2" t="s">
        <v>3</v>
      </c>
      <c r="V214" s="2" t="s">
        <v>4</v>
      </c>
      <c r="W214" s="127" t="s">
        <v>5</v>
      </c>
      <c r="X214" s="127" t="s">
        <v>6</v>
      </c>
      <c r="Y214" s="2" t="s">
        <v>7</v>
      </c>
      <c r="Z214" s="2" t="s">
        <v>8</v>
      </c>
      <c r="AA214" s="2" t="s">
        <v>2</v>
      </c>
      <c r="AB214" s="2" t="s">
        <v>3</v>
      </c>
      <c r="AC214" s="2" t="s">
        <v>4</v>
      </c>
      <c r="AD214" s="127" t="s">
        <v>5</v>
      </c>
      <c r="AE214" s="127" t="s">
        <v>6</v>
      </c>
      <c r="AF214" s="2"/>
      <c r="AG214" s="26"/>
    </row>
    <row r="215" spans="1:45">
      <c r="A215" s="3" t="s">
        <v>9</v>
      </c>
      <c r="B215" s="15">
        <v>1</v>
      </c>
      <c r="C215" s="4">
        <v>2</v>
      </c>
      <c r="D215" s="4">
        <v>3</v>
      </c>
      <c r="E215" s="8">
        <v>4</v>
      </c>
      <c r="F215" s="8">
        <v>5</v>
      </c>
      <c r="G215" s="4">
        <v>6</v>
      </c>
      <c r="H215" s="4">
        <v>7</v>
      </c>
      <c r="I215" s="4">
        <v>8</v>
      </c>
      <c r="J215" s="114">
        <v>9</v>
      </c>
      <c r="K215" s="4">
        <v>10</v>
      </c>
      <c r="L215" s="4">
        <v>11</v>
      </c>
      <c r="M215" s="4">
        <v>12</v>
      </c>
      <c r="N215" s="4">
        <v>13</v>
      </c>
      <c r="O215" s="4">
        <v>14</v>
      </c>
      <c r="P215" s="4">
        <v>15</v>
      </c>
      <c r="Q215" s="4">
        <v>16</v>
      </c>
      <c r="R215" s="4">
        <v>17</v>
      </c>
      <c r="S215" s="4">
        <v>18</v>
      </c>
      <c r="T215" s="4">
        <v>19</v>
      </c>
      <c r="U215" s="4">
        <v>20</v>
      </c>
      <c r="V215" s="4">
        <v>21</v>
      </c>
      <c r="W215" s="4">
        <v>22</v>
      </c>
      <c r="X215" s="4">
        <v>23</v>
      </c>
      <c r="Y215" s="4">
        <v>24</v>
      </c>
      <c r="Z215" s="4">
        <v>25</v>
      </c>
      <c r="AA215" s="4">
        <v>26</v>
      </c>
      <c r="AB215" s="4">
        <v>27</v>
      </c>
      <c r="AC215" s="4">
        <v>28</v>
      </c>
      <c r="AD215" s="4">
        <v>29</v>
      </c>
      <c r="AE215" s="4">
        <v>30</v>
      </c>
      <c r="AF215" s="4"/>
      <c r="AG215" s="27"/>
      <c r="AJ215" s="56"/>
      <c r="AK215" s="56">
        <v>3</v>
      </c>
      <c r="AL215" s="56">
        <v>1</v>
      </c>
      <c r="AM215" s="56">
        <v>2</v>
      </c>
      <c r="AN215" s="56" t="s">
        <v>10</v>
      </c>
      <c r="AO215" s="56" t="s">
        <v>11</v>
      </c>
      <c r="AP215" s="56">
        <v>4</v>
      </c>
      <c r="AQ215" s="56">
        <v>5</v>
      </c>
    </row>
    <row r="216" spans="1:45">
      <c r="A216" s="150" t="s">
        <v>71</v>
      </c>
      <c r="B216" s="4">
        <v>3</v>
      </c>
      <c r="C216" s="4">
        <v>1</v>
      </c>
      <c r="D216" s="4" t="s">
        <v>11</v>
      </c>
      <c r="E216" s="4" t="s">
        <v>11</v>
      </c>
      <c r="F216" s="4" t="s">
        <v>11</v>
      </c>
      <c r="G216" s="4" t="s">
        <v>11</v>
      </c>
      <c r="H216" s="4" t="s">
        <v>11</v>
      </c>
      <c r="I216" s="12" t="s">
        <v>10</v>
      </c>
      <c r="J216" s="12" t="s">
        <v>10</v>
      </c>
      <c r="K216" s="12" t="s">
        <v>11</v>
      </c>
      <c r="L216" s="12" t="s">
        <v>11</v>
      </c>
      <c r="M216" s="12" t="s">
        <v>11</v>
      </c>
      <c r="N216" s="12" t="s">
        <v>11</v>
      </c>
      <c r="O216" s="12" t="s">
        <v>11</v>
      </c>
      <c r="P216" s="12">
        <v>3</v>
      </c>
      <c r="Q216" s="12">
        <v>1</v>
      </c>
      <c r="R216" s="12" t="s">
        <v>11</v>
      </c>
      <c r="S216" s="12" t="s">
        <v>11</v>
      </c>
      <c r="T216" s="12" t="s">
        <v>11</v>
      </c>
      <c r="U216" s="12" t="s">
        <v>11</v>
      </c>
      <c r="V216" s="12" t="s">
        <v>11</v>
      </c>
      <c r="W216" s="12" t="s">
        <v>10</v>
      </c>
      <c r="X216" s="12" t="s">
        <v>10</v>
      </c>
      <c r="Y216" s="12" t="s">
        <v>11</v>
      </c>
      <c r="Z216" s="12" t="s">
        <v>11</v>
      </c>
      <c r="AA216" s="12" t="s">
        <v>11</v>
      </c>
      <c r="AB216" s="12" t="s">
        <v>11</v>
      </c>
      <c r="AC216" s="12" t="s">
        <v>11</v>
      </c>
      <c r="AD216" s="12">
        <v>3</v>
      </c>
      <c r="AE216" s="12">
        <v>1</v>
      </c>
      <c r="AF216" s="12"/>
      <c r="AG216" s="17">
        <f>AS216</f>
        <v>26</v>
      </c>
      <c r="AJ216" s="56"/>
      <c r="AK216" s="56">
        <f>COUNTIF($B216:$AF216,3)</f>
        <v>3</v>
      </c>
      <c r="AL216" s="56">
        <f>COUNTIF($B216:$AF216,1)</f>
        <v>3</v>
      </c>
      <c r="AM216" s="56">
        <f>COUNTIF($B216:$AF216,2)</f>
        <v>0</v>
      </c>
      <c r="AN216" s="56">
        <f>COUNTIF($B216:$AF216,"DO")</f>
        <v>4</v>
      </c>
      <c r="AO216" s="56">
        <f>COUNTIF($B216:$AF216,"R")</f>
        <v>20</v>
      </c>
      <c r="AP216" s="56">
        <f>COUNTIF($B216:$AF216,4)</f>
        <v>0</v>
      </c>
      <c r="AQ216" s="56">
        <f>COUNTIF($B216:$AF216,5)</f>
        <v>0</v>
      </c>
      <c r="AR216" s="10">
        <f t="shared" ref="AR216" si="58">SUM(AK216:AQ216)</f>
        <v>30</v>
      </c>
      <c r="AS216" s="82">
        <f>AQ216+AP216+AO216+AM216+AL216+AK216+((AH216+AI216)/2)</f>
        <v>26</v>
      </c>
    </row>
    <row r="217" spans="1:45">
      <c r="A217" s="151"/>
      <c r="B217" s="11"/>
      <c r="C217" s="12"/>
      <c r="D217" s="12"/>
      <c r="E217" s="12"/>
      <c r="F217" s="11"/>
      <c r="G217" s="12"/>
      <c r="H217" s="12"/>
      <c r="I217" s="12"/>
      <c r="J217" s="11"/>
      <c r="K217" s="12"/>
      <c r="L217" s="12"/>
      <c r="M217" s="12"/>
      <c r="N217" s="11"/>
      <c r="O217" s="12"/>
      <c r="P217" s="12"/>
      <c r="Q217" s="12"/>
      <c r="R217" s="11"/>
      <c r="S217" s="12"/>
      <c r="T217" s="12"/>
      <c r="U217" s="12"/>
      <c r="V217" s="11"/>
      <c r="W217" s="12"/>
      <c r="X217" s="12"/>
      <c r="Y217" s="12"/>
      <c r="Z217" s="11"/>
      <c r="AA217" s="12"/>
      <c r="AB217" s="12"/>
      <c r="AC217" s="12"/>
      <c r="AD217" s="12"/>
      <c r="AE217" s="12"/>
      <c r="AF217" s="12"/>
      <c r="AG217" s="17"/>
      <c r="AJ217" s="56"/>
      <c r="AK217" s="56"/>
      <c r="AL217" s="56"/>
      <c r="AM217" s="56"/>
      <c r="AN217" s="56"/>
      <c r="AO217" s="56"/>
      <c r="AP217" s="56"/>
      <c r="AQ217" s="56"/>
      <c r="AR217" s="10"/>
      <c r="AS217" s="82"/>
    </row>
    <row r="218" spans="1:45">
      <c r="A218" s="150" t="s">
        <v>72</v>
      </c>
      <c r="B218" s="128" t="s">
        <v>10</v>
      </c>
      <c r="C218" s="128" t="s">
        <v>10</v>
      </c>
      <c r="D218" s="120">
        <v>4</v>
      </c>
      <c r="E218" s="120">
        <v>4</v>
      </c>
      <c r="F218" s="120">
        <v>4</v>
      </c>
      <c r="G218" s="120">
        <v>4</v>
      </c>
      <c r="H218" s="120">
        <v>4</v>
      </c>
      <c r="I218" s="128" t="s">
        <v>10</v>
      </c>
      <c r="J218" s="128" t="s">
        <v>10</v>
      </c>
      <c r="K218" s="120">
        <v>4</v>
      </c>
      <c r="L218" s="120">
        <v>4</v>
      </c>
      <c r="M218" s="120">
        <v>4</v>
      </c>
      <c r="N218" s="120">
        <v>4</v>
      </c>
      <c r="O218" s="120">
        <v>4</v>
      </c>
      <c r="P218" s="128" t="s">
        <v>10</v>
      </c>
      <c r="Q218" s="128" t="s">
        <v>10</v>
      </c>
      <c r="R218" s="120">
        <v>4</v>
      </c>
      <c r="S218" s="120">
        <v>4</v>
      </c>
      <c r="T218" s="120">
        <v>4</v>
      </c>
      <c r="U218" s="120">
        <v>4</v>
      </c>
      <c r="V218" s="120">
        <v>4</v>
      </c>
      <c r="W218" s="128" t="s">
        <v>10</v>
      </c>
      <c r="X218" s="128" t="s">
        <v>10</v>
      </c>
      <c r="Y218" s="120">
        <v>4</v>
      </c>
      <c r="Z218" s="120">
        <v>4</v>
      </c>
      <c r="AA218" s="120">
        <v>4</v>
      </c>
      <c r="AB218" s="120">
        <v>4</v>
      </c>
      <c r="AC218" s="120">
        <v>4</v>
      </c>
      <c r="AD218" s="128" t="s">
        <v>10</v>
      </c>
      <c r="AE218" s="128" t="s">
        <v>10</v>
      </c>
      <c r="AF218" s="128"/>
      <c r="AG218" s="129">
        <f>AS218</f>
        <v>20</v>
      </c>
      <c r="AJ218" s="56"/>
      <c r="AK218" s="56">
        <f>COUNTIF($B218:$AF218,3)</f>
        <v>0</v>
      </c>
      <c r="AL218" s="56">
        <f>COUNTIF($B218:$AF218,1)</f>
        <v>0</v>
      </c>
      <c r="AM218" s="56">
        <f>COUNTIF($B218:$AF218,2)</f>
        <v>0</v>
      </c>
      <c r="AN218" s="56">
        <f>COUNTIF($B218:$AF218,"DO")</f>
        <v>10</v>
      </c>
      <c r="AO218" s="56">
        <f>COUNTIF($B218:$AF218,"SS")</f>
        <v>0</v>
      </c>
      <c r="AP218" s="56">
        <f>COUNTIF($B218:$AF218,4)</f>
        <v>20</v>
      </c>
      <c r="AQ218" s="56">
        <f>COUNTIF($B218:$AF218,5)</f>
        <v>0</v>
      </c>
      <c r="AR218" s="10">
        <f t="shared" ref="AR218" si="59">SUM(AK218:AQ218)</f>
        <v>30</v>
      </c>
      <c r="AS218" s="82">
        <f t="shared" ref="AS218" si="60">AQ218+AP218+AO218+AM218+AL218+AK218+((AH218+AI218)/2)</f>
        <v>20</v>
      </c>
    </row>
    <row r="219" spans="1:45">
      <c r="A219" s="151"/>
      <c r="B219" s="11"/>
      <c r="C219" s="12"/>
      <c r="D219" s="12"/>
      <c r="E219" s="12"/>
      <c r="F219" s="11"/>
      <c r="G219" s="12"/>
      <c r="H219" s="12"/>
      <c r="I219" s="12"/>
      <c r="J219" s="11"/>
      <c r="K219" s="12"/>
      <c r="L219" s="12"/>
      <c r="M219" s="12"/>
      <c r="N219" s="11"/>
      <c r="O219" s="12"/>
      <c r="P219" s="12"/>
      <c r="Q219" s="12"/>
      <c r="R219" s="11"/>
      <c r="S219" s="12"/>
      <c r="T219" s="12"/>
      <c r="U219" s="12"/>
      <c r="V219" s="11"/>
      <c r="W219" s="12"/>
      <c r="X219" s="12"/>
      <c r="Y219" s="12"/>
      <c r="Z219" s="11"/>
      <c r="AA219" s="12"/>
      <c r="AB219" s="12"/>
      <c r="AC219" s="12"/>
      <c r="AD219" s="12"/>
      <c r="AE219" s="12"/>
      <c r="AF219" s="12"/>
      <c r="AG219" s="17"/>
      <c r="AJ219" s="56"/>
      <c r="AK219" s="56"/>
      <c r="AL219" s="56"/>
      <c r="AM219" s="56"/>
      <c r="AN219" s="56"/>
      <c r="AO219" s="56"/>
      <c r="AP219" s="56"/>
      <c r="AQ219" s="56"/>
      <c r="AR219" s="10"/>
      <c r="AS219" s="82"/>
    </row>
    <row r="220" spans="1:45">
      <c r="A220" s="150" t="s">
        <v>73</v>
      </c>
      <c r="B220" s="4" t="s">
        <v>10</v>
      </c>
      <c r="C220" s="4" t="s">
        <v>10</v>
      </c>
      <c r="D220" s="4" t="s">
        <v>11</v>
      </c>
      <c r="E220" s="4" t="s">
        <v>11</v>
      </c>
      <c r="F220" s="4" t="s">
        <v>11</v>
      </c>
      <c r="G220" s="4" t="s">
        <v>11</v>
      </c>
      <c r="H220" s="4" t="s">
        <v>11</v>
      </c>
      <c r="I220" s="12">
        <v>3</v>
      </c>
      <c r="J220" s="12">
        <v>1</v>
      </c>
      <c r="K220" s="12" t="s">
        <v>11</v>
      </c>
      <c r="L220" s="12" t="s">
        <v>11</v>
      </c>
      <c r="M220" s="12" t="s">
        <v>11</v>
      </c>
      <c r="N220" s="12" t="s">
        <v>11</v>
      </c>
      <c r="O220" s="12" t="s">
        <v>11</v>
      </c>
      <c r="P220" s="12" t="s">
        <v>10</v>
      </c>
      <c r="Q220" s="12" t="s">
        <v>10</v>
      </c>
      <c r="R220" s="12" t="s">
        <v>11</v>
      </c>
      <c r="S220" s="12" t="s">
        <v>11</v>
      </c>
      <c r="T220" s="12" t="s">
        <v>11</v>
      </c>
      <c r="U220" s="12" t="s">
        <v>11</v>
      </c>
      <c r="V220" s="12" t="s">
        <v>11</v>
      </c>
      <c r="W220" s="12">
        <v>3</v>
      </c>
      <c r="X220" s="12">
        <v>1</v>
      </c>
      <c r="Y220" s="12" t="s">
        <v>11</v>
      </c>
      <c r="Z220" s="12" t="s">
        <v>11</v>
      </c>
      <c r="AA220" s="12" t="s">
        <v>11</v>
      </c>
      <c r="AB220" s="12" t="s">
        <v>11</v>
      </c>
      <c r="AC220" s="12" t="s">
        <v>11</v>
      </c>
      <c r="AD220" s="12" t="s">
        <v>10</v>
      </c>
      <c r="AE220" s="12" t="s">
        <v>10</v>
      </c>
      <c r="AF220" s="12"/>
      <c r="AG220" s="17">
        <f>AS220</f>
        <v>24</v>
      </c>
      <c r="AJ220" s="56"/>
      <c r="AK220" s="56">
        <f>COUNTIF($B220:$AF220,3)</f>
        <v>2</v>
      </c>
      <c r="AL220" s="56">
        <f>COUNTIF($B220:$AF220,1)</f>
        <v>2</v>
      </c>
      <c r="AM220" s="56">
        <f>COUNTIF($B220:$AF220,2)</f>
        <v>0</v>
      </c>
      <c r="AN220" s="56">
        <f>COUNTIF($B220:$AF220,"DO")</f>
        <v>6</v>
      </c>
      <c r="AO220" s="56">
        <f>COUNTIF($B220:$AF220,"R")</f>
        <v>20</v>
      </c>
      <c r="AP220" s="56">
        <f>COUNTIF($B220:$AF220,4)</f>
        <v>0</v>
      </c>
      <c r="AQ220" s="56">
        <f>COUNTIF($B220:$AF220,5)</f>
        <v>0</v>
      </c>
      <c r="AR220" s="10">
        <f t="shared" ref="AR220" si="61">SUM(AK220:AQ220)</f>
        <v>30</v>
      </c>
      <c r="AS220" s="82">
        <f t="shared" ref="AS220" si="62">AQ220+AP220+AO220+AM220+AL220+AK220+((AH220+AI220)/2)</f>
        <v>24</v>
      </c>
    </row>
    <row r="221" spans="1:45">
      <c r="A221" s="151"/>
      <c r="B221" s="11"/>
      <c r="C221" s="12"/>
      <c r="D221" s="12"/>
      <c r="E221" s="12"/>
      <c r="F221" s="11"/>
      <c r="G221" s="12"/>
      <c r="H221" s="12"/>
      <c r="I221" s="12"/>
      <c r="J221" s="11"/>
      <c r="K221" s="12"/>
      <c r="L221" s="12"/>
      <c r="M221" s="12"/>
      <c r="N221" s="11"/>
      <c r="O221" s="12"/>
      <c r="P221" s="12"/>
      <c r="Q221" s="12"/>
      <c r="R221" s="11"/>
      <c r="S221" s="12"/>
      <c r="T221" s="12"/>
      <c r="U221" s="12"/>
      <c r="V221" s="11"/>
      <c r="W221" s="12"/>
      <c r="X221" s="12"/>
      <c r="Y221" s="12"/>
      <c r="Z221" s="11"/>
      <c r="AA221" s="12"/>
      <c r="AB221" s="12"/>
      <c r="AC221" s="12"/>
      <c r="AD221" s="12"/>
      <c r="AE221" s="12"/>
      <c r="AF221" s="12"/>
      <c r="AG221" s="17"/>
      <c r="AJ221" s="56"/>
      <c r="AK221" s="56"/>
      <c r="AL221" s="56"/>
      <c r="AM221" s="56"/>
      <c r="AN221" s="56"/>
      <c r="AO221" s="56"/>
      <c r="AP221" s="56"/>
      <c r="AQ221" s="56"/>
      <c r="AR221" s="10"/>
      <c r="AS221" s="10"/>
    </row>
    <row r="222" spans="1:45">
      <c r="A222" s="150" t="s">
        <v>98</v>
      </c>
      <c r="B222" s="124">
        <v>1</v>
      </c>
      <c r="C222" s="125">
        <v>2</v>
      </c>
      <c r="D222" s="126" t="s">
        <v>10</v>
      </c>
      <c r="E222" s="115" t="s">
        <v>11</v>
      </c>
      <c r="F222" s="9">
        <v>3</v>
      </c>
      <c r="G222" s="115">
        <v>1</v>
      </c>
      <c r="H222" s="115">
        <v>2</v>
      </c>
      <c r="I222" s="115" t="s">
        <v>10</v>
      </c>
      <c r="J222" s="9" t="s">
        <v>10</v>
      </c>
      <c r="K222" s="115">
        <v>3</v>
      </c>
      <c r="L222" s="9">
        <v>1</v>
      </c>
      <c r="M222" s="115">
        <v>2</v>
      </c>
      <c r="N222" s="9" t="s">
        <v>10</v>
      </c>
      <c r="O222" s="115" t="s">
        <v>11</v>
      </c>
      <c r="P222" s="9">
        <v>3</v>
      </c>
      <c r="Q222" s="115">
        <v>1</v>
      </c>
      <c r="R222" s="9">
        <v>2</v>
      </c>
      <c r="S222" s="115" t="s">
        <v>10</v>
      </c>
      <c r="T222" s="9" t="s">
        <v>11</v>
      </c>
      <c r="U222" s="115">
        <v>3</v>
      </c>
      <c r="V222" s="9">
        <v>1</v>
      </c>
      <c r="W222" s="115">
        <v>2</v>
      </c>
      <c r="X222" s="9" t="s">
        <v>10</v>
      </c>
      <c r="Y222" s="115" t="s">
        <v>11</v>
      </c>
      <c r="Z222" s="9">
        <v>3</v>
      </c>
      <c r="AA222" s="115">
        <v>1</v>
      </c>
      <c r="AB222" s="9">
        <v>2</v>
      </c>
      <c r="AC222" s="115" t="s">
        <v>10</v>
      </c>
      <c r="AD222" s="9" t="s">
        <v>10</v>
      </c>
      <c r="AE222" s="115">
        <v>3</v>
      </c>
      <c r="AF222" s="115"/>
      <c r="AG222" s="17">
        <f>AS222</f>
        <v>22</v>
      </c>
      <c r="AH222">
        <f>COUNTIF($B222:$AF222,4)</f>
        <v>0</v>
      </c>
      <c r="AI222">
        <f>COUNTIF($B222:$AF222,5)</f>
        <v>0</v>
      </c>
      <c r="AK222" s="56">
        <f>COUNTIF($B222:$AF222,3)</f>
        <v>6</v>
      </c>
      <c r="AL222" s="56">
        <f>COUNTIF($B222:$AF222,1)</f>
        <v>6</v>
      </c>
      <c r="AM222" s="56">
        <f>COUNTIF($B222:$AF222,2)</f>
        <v>6</v>
      </c>
      <c r="AN222" s="56">
        <f>COUNTIF($B222:$AF222,"DO")</f>
        <v>8</v>
      </c>
      <c r="AO222" s="56">
        <f>COUNTIF($B222:$AF222,"R")</f>
        <v>4</v>
      </c>
      <c r="AP222" s="56">
        <f>COUNTIF($B222:$AF222,4)</f>
        <v>0</v>
      </c>
      <c r="AQ222" s="56">
        <f>COUNTIF($B222:$AF222,5)</f>
        <v>0</v>
      </c>
      <c r="AR222" s="10">
        <f>SUM(AK222:AO222)</f>
        <v>30</v>
      </c>
      <c r="AS222" s="10">
        <f>AQ222+AP222+AO222+AM222+AL222+AK222</f>
        <v>22</v>
      </c>
    </row>
    <row r="223" spans="1:45">
      <c r="A223" s="151"/>
      <c r="B223" s="4"/>
      <c r="C223" s="12"/>
      <c r="D223" s="12"/>
      <c r="E223" s="12"/>
      <c r="F223" s="12"/>
      <c r="G223" s="12"/>
      <c r="H223" s="12"/>
      <c r="I223" s="12"/>
      <c r="J223" s="12"/>
      <c r="K223" s="12"/>
      <c r="L223" s="12"/>
      <c r="M223" s="12"/>
      <c r="N223" s="4"/>
      <c r="O223" s="12"/>
      <c r="P223" s="12"/>
      <c r="Q223" s="12"/>
      <c r="R223" s="12"/>
      <c r="S223" s="12"/>
      <c r="T223" s="4"/>
      <c r="U223" s="12"/>
      <c r="V223" s="12"/>
      <c r="W223" s="12"/>
      <c r="X223" s="12"/>
      <c r="Y223" s="12"/>
      <c r="Z223" s="4"/>
      <c r="AA223" s="12"/>
      <c r="AB223" s="12"/>
      <c r="AC223" s="12"/>
      <c r="AD223" s="34"/>
      <c r="AE223" s="12"/>
      <c r="AF223" s="12"/>
      <c r="AG223" s="17"/>
      <c r="AK223" s="56"/>
      <c r="AL223" s="56"/>
      <c r="AM223" s="56"/>
      <c r="AN223" s="56"/>
      <c r="AO223" s="56"/>
      <c r="AP223" s="56"/>
      <c r="AQ223" s="56"/>
      <c r="AR223" s="10"/>
      <c r="AS223" s="10"/>
    </row>
    <row r="224" spans="1:45">
      <c r="A224" s="150" t="s">
        <v>99</v>
      </c>
      <c r="B224" s="115">
        <v>3</v>
      </c>
      <c r="C224" s="115">
        <v>1</v>
      </c>
      <c r="D224" s="115">
        <v>2</v>
      </c>
      <c r="E224" s="115" t="s">
        <v>10</v>
      </c>
      <c r="F224" s="9" t="s">
        <v>11</v>
      </c>
      <c r="G224" s="115">
        <v>3</v>
      </c>
      <c r="H224" s="9">
        <v>1</v>
      </c>
      <c r="I224" s="115">
        <v>2</v>
      </c>
      <c r="J224" s="9" t="s">
        <v>10</v>
      </c>
      <c r="K224" s="115" t="s">
        <v>11</v>
      </c>
      <c r="L224" s="9">
        <v>3</v>
      </c>
      <c r="M224" s="115">
        <v>1</v>
      </c>
      <c r="N224" s="9">
        <v>2</v>
      </c>
      <c r="O224" s="115" t="s">
        <v>10</v>
      </c>
      <c r="P224" s="115" t="s">
        <v>10</v>
      </c>
      <c r="Q224" s="124">
        <v>3</v>
      </c>
      <c r="R224" s="125">
        <v>1</v>
      </c>
      <c r="S224" s="125">
        <v>2</v>
      </c>
      <c r="T224" s="9" t="s">
        <v>10</v>
      </c>
      <c r="U224" s="115" t="s">
        <v>11</v>
      </c>
      <c r="V224" s="9">
        <v>3</v>
      </c>
      <c r="W224" s="115">
        <v>1</v>
      </c>
      <c r="X224" s="9">
        <v>2</v>
      </c>
      <c r="Y224" s="115" t="s">
        <v>10</v>
      </c>
      <c r="Z224" s="9" t="s">
        <v>11</v>
      </c>
      <c r="AA224" s="115">
        <v>3</v>
      </c>
      <c r="AB224" s="9">
        <v>1</v>
      </c>
      <c r="AC224" s="115">
        <v>2</v>
      </c>
      <c r="AD224" s="9" t="s">
        <v>10</v>
      </c>
      <c r="AE224" s="115" t="s">
        <v>10</v>
      </c>
      <c r="AF224" s="9"/>
      <c r="AG224" s="17">
        <f>AS224</f>
        <v>22</v>
      </c>
      <c r="AH224">
        <f t="shared" ref="AH224:AH228" si="63">COUNTIF($B224:$AF224,4)</f>
        <v>0</v>
      </c>
      <c r="AI224">
        <f t="shared" ref="AI224:AI228" si="64">COUNTIF($B224:$AF224,5)</f>
        <v>0</v>
      </c>
      <c r="AK224" s="56">
        <f>COUNTIF($B224:$AF224,3)</f>
        <v>6</v>
      </c>
      <c r="AL224" s="56">
        <f>COUNTIF($B224:$AF224,1)</f>
        <v>6</v>
      </c>
      <c r="AM224" s="56">
        <f>COUNTIF($B224:$AF224,2)</f>
        <v>6</v>
      </c>
      <c r="AN224" s="56">
        <f>COUNTIF($B224:$AF224,"DO")</f>
        <v>8</v>
      </c>
      <c r="AO224" s="56">
        <f>COUNTIF($B224:$AF224,"R")</f>
        <v>4</v>
      </c>
      <c r="AP224" s="56">
        <f>COUNTIF($B224:$AF224,4)</f>
        <v>0</v>
      </c>
      <c r="AQ224" s="56">
        <f>COUNTIF($B224:$AF224,5)</f>
        <v>0</v>
      </c>
      <c r="AR224" s="10">
        <f t="shared" ref="AR224" si="65">SUM(AK224:AQ224)</f>
        <v>30</v>
      </c>
      <c r="AS224" s="82">
        <f>AQ224+AP224+AO224+AM224+AL224+AK224+((AH224+AI224)/2)</f>
        <v>22</v>
      </c>
    </row>
    <row r="225" spans="1:45">
      <c r="A225" s="151"/>
      <c r="B225" s="115"/>
      <c r="C225" s="115"/>
      <c r="D225" s="115"/>
      <c r="E225" s="115"/>
      <c r="F225" s="9"/>
      <c r="G225" s="115"/>
      <c r="H225" s="98"/>
      <c r="I225" s="12"/>
      <c r="J225" s="101"/>
      <c r="K225" s="12"/>
      <c r="L225" s="12"/>
      <c r="M225" s="12"/>
      <c r="N225" s="4"/>
      <c r="O225" s="12"/>
      <c r="P225" s="12"/>
      <c r="Q225" s="12"/>
      <c r="R225" s="12"/>
      <c r="S225" s="12"/>
      <c r="T225" s="4"/>
      <c r="U225" s="12"/>
      <c r="V225" s="12"/>
      <c r="W225" s="12"/>
      <c r="X225" s="12"/>
      <c r="Y225" s="12"/>
      <c r="Z225" s="4"/>
      <c r="AA225" s="12"/>
      <c r="AB225" s="12"/>
      <c r="AC225" s="12"/>
      <c r="AD225" s="34"/>
      <c r="AE225" s="12"/>
      <c r="AF225" s="12"/>
      <c r="AG225" s="17"/>
      <c r="AK225" s="56"/>
      <c r="AL225" s="56"/>
      <c r="AM225" s="56"/>
      <c r="AN225" s="56"/>
      <c r="AO225" s="56"/>
      <c r="AP225" s="56"/>
      <c r="AQ225" s="56"/>
      <c r="AR225" s="10"/>
      <c r="AS225" s="82"/>
    </row>
    <row r="226" spans="1:45">
      <c r="A226" s="150" t="s">
        <v>97</v>
      </c>
      <c r="B226" s="115" t="s">
        <v>10</v>
      </c>
      <c r="C226" s="115">
        <v>3</v>
      </c>
      <c r="D226" s="115">
        <v>1</v>
      </c>
      <c r="E226" s="115">
        <v>2</v>
      </c>
      <c r="F226" s="115" t="s">
        <v>10</v>
      </c>
      <c r="G226" s="115" t="s">
        <v>11</v>
      </c>
      <c r="H226" s="115">
        <v>3</v>
      </c>
      <c r="I226" s="115">
        <v>1</v>
      </c>
      <c r="J226" s="115">
        <v>2</v>
      </c>
      <c r="K226" s="115" t="s">
        <v>10</v>
      </c>
      <c r="L226" s="9" t="s">
        <v>11</v>
      </c>
      <c r="M226" s="115">
        <v>3</v>
      </c>
      <c r="N226" s="124">
        <v>1</v>
      </c>
      <c r="O226" s="125">
        <v>2</v>
      </c>
      <c r="P226" s="126" t="s">
        <v>10</v>
      </c>
      <c r="Q226" s="115" t="s">
        <v>10</v>
      </c>
      <c r="R226" s="9">
        <v>3</v>
      </c>
      <c r="S226" s="115">
        <v>1</v>
      </c>
      <c r="T226" s="115">
        <v>2</v>
      </c>
      <c r="U226" s="115" t="s">
        <v>10</v>
      </c>
      <c r="V226" s="115" t="s">
        <v>11</v>
      </c>
      <c r="W226" s="115">
        <v>3</v>
      </c>
      <c r="X226" s="9">
        <v>1</v>
      </c>
      <c r="Y226" s="115">
        <v>2</v>
      </c>
      <c r="Z226" s="115" t="s">
        <v>10</v>
      </c>
      <c r="AA226" s="115" t="s">
        <v>11</v>
      </c>
      <c r="AB226" s="115">
        <v>3</v>
      </c>
      <c r="AC226" s="115">
        <v>1</v>
      </c>
      <c r="AD226" s="9">
        <v>2</v>
      </c>
      <c r="AE226" s="115" t="s">
        <v>10</v>
      </c>
      <c r="AF226" s="9"/>
      <c r="AG226" s="17">
        <f>AS226</f>
        <v>22</v>
      </c>
      <c r="AH226">
        <f t="shared" si="63"/>
        <v>0</v>
      </c>
      <c r="AI226">
        <f t="shared" si="64"/>
        <v>0</v>
      </c>
      <c r="AK226" s="56">
        <f>COUNTIF($B226:$AF226,3)</f>
        <v>6</v>
      </c>
      <c r="AL226" s="56">
        <f>COUNTIF($B226:$AF226,1)</f>
        <v>6</v>
      </c>
      <c r="AM226" s="56">
        <f>COUNTIF($B226:$AF226,2)</f>
        <v>6</v>
      </c>
      <c r="AN226" s="56">
        <f>COUNTIF($B226:$AF226,"DO")</f>
        <v>8</v>
      </c>
      <c r="AO226" s="56">
        <f>COUNTIF($B226:$AF226,"R")</f>
        <v>4</v>
      </c>
      <c r="AP226" s="56">
        <f>COUNTIF($B226:$AF226,4)</f>
        <v>0</v>
      </c>
      <c r="AQ226" s="56">
        <f>COUNTIF($B226:$AF226,5)</f>
        <v>0</v>
      </c>
      <c r="AR226" s="10">
        <f t="shared" ref="AR226" si="66">SUM(AK226:AQ226)</f>
        <v>30</v>
      </c>
      <c r="AS226" s="82">
        <f t="shared" ref="AS226" si="67">AQ226+AP226+AO226+AM226+AL226+AK226+((AH226+AI226)/2)</f>
        <v>22</v>
      </c>
    </row>
    <row r="227" spans="1:45">
      <c r="A227" s="151"/>
      <c r="B227" s="4"/>
      <c r="C227" s="35"/>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05"/>
      <c r="AE227" s="12"/>
      <c r="AF227" s="101"/>
      <c r="AG227" s="17"/>
      <c r="AJ227" s="56"/>
      <c r="AK227" s="56"/>
      <c r="AL227" s="56"/>
      <c r="AM227" s="56"/>
      <c r="AN227" s="56"/>
      <c r="AO227" s="56" t="s">
        <v>76</v>
      </c>
      <c r="AP227" s="56"/>
      <c r="AQ227" s="56"/>
      <c r="AR227" s="10"/>
      <c r="AS227" s="82"/>
    </row>
    <row r="228" spans="1:45">
      <c r="A228" s="150" t="s">
        <v>14</v>
      </c>
      <c r="B228" s="115" t="s">
        <v>10</v>
      </c>
      <c r="C228" s="115" t="s">
        <v>10</v>
      </c>
      <c r="D228" s="115">
        <v>3</v>
      </c>
      <c r="E228" s="115">
        <v>1</v>
      </c>
      <c r="F228" s="115">
        <v>2</v>
      </c>
      <c r="G228" s="115" t="s">
        <v>10</v>
      </c>
      <c r="H228" s="115" t="s">
        <v>11</v>
      </c>
      <c r="I228" s="115">
        <v>3</v>
      </c>
      <c r="J228" s="115">
        <v>1</v>
      </c>
      <c r="K228" s="115">
        <v>2</v>
      </c>
      <c r="L228" s="9" t="s">
        <v>10</v>
      </c>
      <c r="M228" s="115" t="s">
        <v>11</v>
      </c>
      <c r="N228" s="115">
        <v>3</v>
      </c>
      <c r="O228" s="115">
        <v>1</v>
      </c>
      <c r="P228" s="115">
        <v>2</v>
      </c>
      <c r="Q228" s="115" t="s">
        <v>10</v>
      </c>
      <c r="R228" s="9" t="s">
        <v>11</v>
      </c>
      <c r="S228" s="115">
        <v>3</v>
      </c>
      <c r="T228" s="115">
        <v>1</v>
      </c>
      <c r="U228" s="115">
        <v>2</v>
      </c>
      <c r="V228" s="115" t="s">
        <v>10</v>
      </c>
      <c r="W228" s="115" t="s">
        <v>10</v>
      </c>
      <c r="X228" s="124">
        <v>3</v>
      </c>
      <c r="Y228" s="125">
        <v>1</v>
      </c>
      <c r="Z228" s="125">
        <v>2</v>
      </c>
      <c r="AA228" s="115" t="s">
        <v>10</v>
      </c>
      <c r="AB228" s="115" t="s">
        <v>11</v>
      </c>
      <c r="AC228" s="115">
        <v>3</v>
      </c>
      <c r="AD228" s="9">
        <v>1</v>
      </c>
      <c r="AE228" s="115">
        <v>2</v>
      </c>
      <c r="AF228" s="9"/>
      <c r="AG228" s="17">
        <f>AS228</f>
        <v>22</v>
      </c>
      <c r="AH228">
        <f t="shared" si="63"/>
        <v>0</v>
      </c>
      <c r="AI228">
        <f t="shared" si="64"/>
        <v>0</v>
      </c>
      <c r="AJ228" s="56"/>
      <c r="AK228" s="56">
        <f>COUNTIF($B228:$AF228,3)</f>
        <v>6</v>
      </c>
      <c r="AL228" s="56">
        <f>COUNTIF($B228:$AF228,1)</f>
        <v>6</v>
      </c>
      <c r="AM228" s="56">
        <f>COUNTIF($B228:$AF228,2)</f>
        <v>6</v>
      </c>
      <c r="AN228" s="56">
        <f>COUNTIF($B228:$AF228,"DO")</f>
        <v>8</v>
      </c>
      <c r="AO228" s="56">
        <f>COUNTIF($B228:$AF228,"R")</f>
        <v>4</v>
      </c>
      <c r="AP228" s="56">
        <f>COUNTIF($B228:$AF228,4)</f>
        <v>0</v>
      </c>
      <c r="AQ228" s="56">
        <f>COUNTIF($B228:$AF228,5)</f>
        <v>0</v>
      </c>
      <c r="AR228" s="10">
        <f t="shared" ref="AR228" si="68">SUM(AK228:AQ228)</f>
        <v>30</v>
      </c>
      <c r="AS228" s="82">
        <f t="shared" ref="AS228" si="69">AQ228+AP228+AO228+AM228+AL228+AK228+((AH228+AI228)/2)</f>
        <v>22</v>
      </c>
    </row>
    <row r="229" spans="1:45">
      <c r="A229" s="151"/>
      <c r="B229" s="4"/>
      <c r="C229" s="12"/>
      <c r="D229" s="12"/>
      <c r="E229" s="12"/>
      <c r="F229" s="12"/>
      <c r="G229" s="4"/>
      <c r="H229" s="12"/>
      <c r="I229" s="12"/>
      <c r="J229" s="12"/>
      <c r="K229" s="12"/>
      <c r="L229" s="12"/>
      <c r="M229" s="4"/>
      <c r="N229" s="12"/>
      <c r="O229" s="12"/>
      <c r="P229" s="12"/>
      <c r="Q229" s="12"/>
      <c r="R229" s="12"/>
      <c r="S229" s="4"/>
      <c r="T229" s="12"/>
      <c r="U229" s="12"/>
      <c r="V229" s="12"/>
      <c r="W229" s="12"/>
      <c r="X229" s="12"/>
      <c r="Y229" s="4"/>
      <c r="Z229" s="12"/>
      <c r="AA229" s="12"/>
      <c r="AB229" s="12"/>
      <c r="AC229" s="14"/>
      <c r="AD229" s="12"/>
      <c r="AE229" s="34"/>
      <c r="AF229" s="12"/>
      <c r="AG229" s="17"/>
      <c r="AJ229" s="56"/>
      <c r="AK229" s="56"/>
      <c r="AL229" s="56"/>
      <c r="AM229" s="56"/>
      <c r="AN229" s="56"/>
      <c r="AO229" s="56"/>
      <c r="AP229" s="56"/>
      <c r="AQ229" s="56"/>
      <c r="AR229" s="10"/>
      <c r="AS229" s="82"/>
    </row>
    <row r="230" spans="1:45">
      <c r="A230" s="150" t="s">
        <v>15</v>
      </c>
      <c r="B230" s="115">
        <v>2</v>
      </c>
      <c r="C230" s="115" t="s">
        <v>10</v>
      </c>
      <c r="D230" s="115" t="s">
        <v>11</v>
      </c>
      <c r="E230" s="115">
        <v>3</v>
      </c>
      <c r="F230" s="115">
        <v>1</v>
      </c>
      <c r="G230" s="115">
        <v>2</v>
      </c>
      <c r="H230" s="115" t="s">
        <v>10</v>
      </c>
      <c r="I230" s="115" t="s">
        <v>10</v>
      </c>
      <c r="J230" s="115">
        <v>3</v>
      </c>
      <c r="K230" s="9">
        <v>1</v>
      </c>
      <c r="L230" s="115">
        <v>2</v>
      </c>
      <c r="M230" s="9" t="s">
        <v>10</v>
      </c>
      <c r="N230" s="9" t="s">
        <v>11</v>
      </c>
      <c r="O230" s="9">
        <v>3</v>
      </c>
      <c r="P230" s="9">
        <v>1</v>
      </c>
      <c r="Q230" s="115">
        <v>2</v>
      </c>
      <c r="R230" s="9" t="s">
        <v>10</v>
      </c>
      <c r="S230" s="115" t="s">
        <v>11</v>
      </c>
      <c r="T230" s="9">
        <v>3</v>
      </c>
      <c r="U230" s="124">
        <v>1</v>
      </c>
      <c r="V230" s="125">
        <v>2</v>
      </c>
      <c r="W230" s="126" t="s">
        <v>10</v>
      </c>
      <c r="X230" s="9" t="s">
        <v>10</v>
      </c>
      <c r="Y230" s="115">
        <v>3</v>
      </c>
      <c r="Z230" s="9">
        <v>1</v>
      </c>
      <c r="AA230" s="115">
        <v>2</v>
      </c>
      <c r="AB230" s="9" t="s">
        <v>10</v>
      </c>
      <c r="AC230" s="115" t="s">
        <v>11</v>
      </c>
      <c r="AD230" s="9">
        <v>3</v>
      </c>
      <c r="AE230" s="115">
        <v>1</v>
      </c>
      <c r="AF230" s="115"/>
      <c r="AG230" s="17">
        <f>AS230</f>
        <v>22</v>
      </c>
      <c r="AH230">
        <f>COUNTIF($B230:$AF230,4)</f>
        <v>0</v>
      </c>
      <c r="AI230">
        <f>COUNTIF($B230:$AF230,5)</f>
        <v>0</v>
      </c>
      <c r="AK230" s="56">
        <f>COUNTIF($B230:$AF230,3)</f>
        <v>6</v>
      </c>
      <c r="AL230" s="56">
        <f>COUNTIF($B230:$AF230,1)</f>
        <v>6</v>
      </c>
      <c r="AM230" s="56">
        <f>COUNTIF($B230:$AF230,2)</f>
        <v>6</v>
      </c>
      <c r="AN230" s="56">
        <f>COUNTIF($B230:$AF230,"DO")</f>
        <v>8</v>
      </c>
      <c r="AO230" s="56">
        <f>COUNTIF($B230:$AF230,"R")</f>
        <v>4</v>
      </c>
      <c r="AP230" s="56">
        <f>COUNTIF($B230:$AF230,4)</f>
        <v>0</v>
      </c>
      <c r="AQ230" s="56">
        <f>COUNTIF($B230:$AF230,5)</f>
        <v>0</v>
      </c>
      <c r="AR230" s="10">
        <f t="shared" ref="AR230" si="70">SUM(AK230:AQ230)</f>
        <v>30</v>
      </c>
      <c r="AS230" s="82">
        <f t="shared" ref="AS230" si="71">AQ230+AP230+AO230+AM230+AL230+AK230+((AH230+AI230)/2)</f>
        <v>22</v>
      </c>
    </row>
    <row r="231" spans="1:45">
      <c r="A231" s="151"/>
      <c r="B231" s="4"/>
      <c r="C231" s="4"/>
      <c r="D231" s="4"/>
      <c r="E231" s="12"/>
      <c r="F231" s="12"/>
      <c r="G231" s="4"/>
      <c r="H231" s="12"/>
      <c r="I231" s="115"/>
      <c r="J231" s="12"/>
      <c r="K231" s="106"/>
      <c r="L231" s="12"/>
      <c r="M231" s="4"/>
      <c r="N231" s="12"/>
      <c r="O231" s="4"/>
      <c r="P231" s="12"/>
      <c r="Q231" s="12"/>
      <c r="R231" s="12"/>
      <c r="S231" s="4"/>
      <c r="T231" s="12"/>
      <c r="U231" s="4"/>
      <c r="V231" s="12"/>
      <c r="W231" s="12"/>
      <c r="X231" s="12"/>
      <c r="Y231" s="4"/>
      <c r="Z231" s="12"/>
      <c r="AA231" s="4"/>
      <c r="AB231" s="12"/>
      <c r="AC231" s="12"/>
      <c r="AD231" s="12"/>
      <c r="AE231" s="12"/>
      <c r="AF231" s="12"/>
      <c r="AG231" s="17"/>
      <c r="AK231" s="56"/>
      <c r="AL231" s="56"/>
      <c r="AM231" s="56"/>
      <c r="AN231" s="56"/>
      <c r="AO231" s="56"/>
      <c r="AP231" s="56"/>
      <c r="AQ231" s="56"/>
      <c r="AR231" s="10"/>
      <c r="AS231" s="82"/>
    </row>
    <row r="232" spans="1:45">
      <c r="A232" s="150" t="s">
        <v>16</v>
      </c>
      <c r="B232" s="9" t="s">
        <v>10</v>
      </c>
      <c r="C232" s="126" t="s">
        <v>10</v>
      </c>
      <c r="D232" s="126" t="s">
        <v>11</v>
      </c>
      <c r="E232" s="126" t="s">
        <v>11</v>
      </c>
      <c r="F232" s="126" t="s">
        <v>11</v>
      </c>
      <c r="G232" s="126" t="s">
        <v>11</v>
      </c>
      <c r="H232" s="126" t="s">
        <v>11</v>
      </c>
      <c r="I232" s="115" t="s">
        <v>10</v>
      </c>
      <c r="J232" s="115" t="s">
        <v>10</v>
      </c>
      <c r="K232" s="115" t="s">
        <v>11</v>
      </c>
      <c r="L232" s="115" t="s">
        <v>11</v>
      </c>
      <c r="M232" s="115" t="s">
        <v>11</v>
      </c>
      <c r="N232" s="115" t="s">
        <v>11</v>
      </c>
      <c r="O232" s="115" t="s">
        <v>11</v>
      </c>
      <c r="P232" s="115" t="s">
        <v>10</v>
      </c>
      <c r="Q232" s="115" t="s">
        <v>10</v>
      </c>
      <c r="R232" s="115" t="s">
        <v>11</v>
      </c>
      <c r="S232" s="115" t="s">
        <v>11</v>
      </c>
      <c r="T232" s="115" t="s">
        <v>11</v>
      </c>
      <c r="U232" s="115" t="s">
        <v>11</v>
      </c>
      <c r="V232" s="115" t="s">
        <v>11</v>
      </c>
      <c r="W232" s="115" t="s">
        <v>10</v>
      </c>
      <c r="X232" s="115" t="s">
        <v>10</v>
      </c>
      <c r="Y232" s="115" t="s">
        <v>11</v>
      </c>
      <c r="Z232" s="115" t="s">
        <v>11</v>
      </c>
      <c r="AA232" s="115" t="s">
        <v>11</v>
      </c>
      <c r="AB232" s="115" t="s">
        <v>11</v>
      </c>
      <c r="AC232" s="115" t="s">
        <v>11</v>
      </c>
      <c r="AD232" s="115" t="s">
        <v>10</v>
      </c>
      <c r="AE232" s="115" t="s">
        <v>10</v>
      </c>
      <c r="AF232" s="115"/>
      <c r="AG232" s="17">
        <f>AS232</f>
        <v>20</v>
      </c>
      <c r="AH232">
        <f t="shared" ref="AH232" si="72">COUNTIF($B232:$AF232,4)</f>
        <v>0</v>
      </c>
      <c r="AI232">
        <f t="shared" ref="AI232:AI236" si="73">COUNTIF($B232:$AF232,5)</f>
        <v>0</v>
      </c>
      <c r="AK232" s="56">
        <f>COUNTIF($B232:$AF232,3)</f>
        <v>0</v>
      </c>
      <c r="AL232" s="56">
        <f>COUNTIF($B232:$AF232,1)</f>
        <v>0</v>
      </c>
      <c r="AM232" s="56">
        <f>COUNTIF($B232:$AF232,2)</f>
        <v>0</v>
      </c>
      <c r="AN232" s="56">
        <f>COUNTIF($B232:$AF232,"DO")</f>
        <v>10</v>
      </c>
      <c r="AO232" s="56">
        <f>COUNTIF($B232:$AF232,"R")</f>
        <v>20</v>
      </c>
      <c r="AP232" s="56">
        <f>COUNTIF($B232:$AF232,4)</f>
        <v>0</v>
      </c>
      <c r="AQ232" s="56">
        <f>COUNTIF($B232:$AF232,5)</f>
        <v>0</v>
      </c>
      <c r="AR232" s="10">
        <f t="shared" ref="AR232" si="74">SUM(AK232:AQ232)</f>
        <v>30</v>
      </c>
      <c r="AS232" s="82">
        <f t="shared" ref="AS232" si="75">AQ232+AP232+AO232+AM232+AL232+AK232+((AH232+AI232)/2)</f>
        <v>20</v>
      </c>
    </row>
    <row r="233" spans="1:45">
      <c r="A233" s="151"/>
      <c r="B233" s="29"/>
      <c r="C233" s="29"/>
      <c r="D233" s="29"/>
      <c r="E233" s="29"/>
      <c r="F233" s="30"/>
      <c r="G233" s="29"/>
      <c r="H233" s="99"/>
      <c r="I233" s="94"/>
      <c r="J233" s="94"/>
      <c r="K233" s="94"/>
      <c r="L233" s="94"/>
      <c r="M233" s="94"/>
      <c r="N233" s="94"/>
      <c r="O233" s="94"/>
      <c r="P233" s="94"/>
      <c r="Q233" s="94"/>
      <c r="R233" s="94"/>
      <c r="S233" s="94"/>
      <c r="T233" s="94"/>
      <c r="U233" s="94"/>
      <c r="V233" s="94"/>
      <c r="W233" s="94"/>
      <c r="X233" s="12"/>
      <c r="Y233" s="4"/>
      <c r="Z233" s="12"/>
      <c r="AA233" s="4"/>
      <c r="AB233" s="12"/>
      <c r="AC233" s="12"/>
      <c r="AD233" s="12"/>
      <c r="AE233" s="12"/>
      <c r="AF233" s="12"/>
      <c r="AG233" s="71"/>
      <c r="AK233" s="56"/>
      <c r="AL233" s="56"/>
      <c r="AM233" s="56"/>
      <c r="AN233" s="56"/>
      <c r="AO233" s="56"/>
      <c r="AP233" s="56"/>
      <c r="AQ233" s="56"/>
      <c r="AR233" s="10"/>
      <c r="AS233" s="82"/>
    </row>
    <row r="234" spans="1:45">
      <c r="A234" s="3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I234">
        <f t="shared" si="73"/>
        <v>0</v>
      </c>
      <c r="AK234" s="56">
        <f>COUNTIF($B234:$AF234,3)</f>
        <v>0</v>
      </c>
      <c r="AL234" s="56">
        <f>COUNTIF($B234:$AF234,1)</f>
        <v>0</v>
      </c>
      <c r="AM234" s="56">
        <f>COUNTIF($B234:$AF234,2)</f>
        <v>0</v>
      </c>
      <c r="AN234" s="56">
        <f>COUNTIF($B234:$AF234,"DO")</f>
        <v>0</v>
      </c>
      <c r="AO234" s="56">
        <f>COUNTIF($B234:$AF234,"R")</f>
        <v>0</v>
      </c>
      <c r="AP234" s="56">
        <f>COUNTIF($B234:$AF234,4)</f>
        <v>0</v>
      </c>
      <c r="AQ234" s="56">
        <f>COUNTIF($B234:$AF234,5)</f>
        <v>0</v>
      </c>
      <c r="AR234" s="10">
        <f t="shared" ref="AR234" si="76">SUM(AK234:AQ234)</f>
        <v>0</v>
      </c>
      <c r="AS234" s="82">
        <f t="shared" ref="AS234" si="77">AQ234+AP234+AO234+AM234+AL234+AK234+((AH234+AI234)/2)</f>
        <v>0</v>
      </c>
    </row>
    <row r="235" spans="1:45">
      <c r="A235" s="20" t="s">
        <v>18</v>
      </c>
      <c r="B235" s="21"/>
      <c r="C235" s="21"/>
      <c r="D235" s="4">
        <v>1</v>
      </c>
      <c r="E235" s="22" t="s">
        <v>17</v>
      </c>
      <c r="F235" s="144" t="s">
        <v>19</v>
      </c>
      <c r="G235" s="144"/>
      <c r="H235" s="21" t="s">
        <v>17</v>
      </c>
      <c r="I235" s="145" t="s">
        <v>20</v>
      </c>
      <c r="J235" s="145"/>
      <c r="K235" s="22"/>
      <c r="L235" s="22"/>
      <c r="M235" s="21" t="s">
        <v>11</v>
      </c>
      <c r="N235" s="21" t="s">
        <v>17</v>
      </c>
      <c r="O235" s="145" t="s">
        <v>20</v>
      </c>
      <c r="P235" s="145"/>
      <c r="Q235" s="22" t="s">
        <v>17</v>
      </c>
      <c r="R235" s="144" t="s">
        <v>21</v>
      </c>
      <c r="S235" s="144"/>
      <c r="T235" s="113"/>
      <c r="U235" s="110"/>
      <c r="V235" s="113"/>
      <c r="W235" s="113"/>
      <c r="X235" s="113"/>
      <c r="Y235" s="113"/>
      <c r="Z235" s="113"/>
      <c r="AA235" s="113"/>
      <c r="AB235" s="113"/>
      <c r="AD235" s="22"/>
      <c r="AE235" s="22"/>
      <c r="AF235" s="22"/>
      <c r="AK235" s="56"/>
      <c r="AL235" s="56"/>
      <c r="AM235" s="56"/>
      <c r="AN235" s="56"/>
      <c r="AO235" s="56"/>
      <c r="AP235" s="56"/>
      <c r="AQ235" s="56"/>
      <c r="AR235" s="10"/>
      <c r="AS235" s="82"/>
    </row>
    <row r="236" spans="1:45">
      <c r="A236" s="20"/>
      <c r="B236" s="21"/>
      <c r="C236" s="21"/>
      <c r="D236" s="4">
        <v>2</v>
      </c>
      <c r="E236" s="22" t="s">
        <v>17</v>
      </c>
      <c r="F236" s="144" t="s">
        <v>20</v>
      </c>
      <c r="G236" s="144"/>
      <c r="H236" s="21" t="s">
        <v>17</v>
      </c>
      <c r="I236" s="145" t="s">
        <v>22</v>
      </c>
      <c r="J236" s="145"/>
      <c r="K236" s="22"/>
      <c r="L236" s="22"/>
      <c r="M236" s="21" t="s">
        <v>10</v>
      </c>
      <c r="N236" s="21" t="s">
        <v>17</v>
      </c>
      <c r="O236" s="145" t="s">
        <v>23</v>
      </c>
      <c r="P236" s="145"/>
      <c r="Q236" s="22"/>
      <c r="R236" s="22"/>
      <c r="S236" s="21"/>
      <c r="T236" s="21"/>
      <c r="U236" s="21"/>
      <c r="V236" s="21"/>
      <c r="W236" s="22"/>
      <c r="X236" s="47"/>
      <c r="Y236" s="21"/>
      <c r="Z236" s="21"/>
      <c r="AA236" s="49"/>
      <c r="AB236" s="21"/>
      <c r="AC236" s="22"/>
      <c r="AD236" s="22"/>
      <c r="AE236" s="22"/>
      <c r="AF236" s="22"/>
      <c r="AI236">
        <f t="shared" si="73"/>
        <v>0</v>
      </c>
      <c r="AK236" s="56">
        <f>COUNTIF($B236:$AF236,3)</f>
        <v>0</v>
      </c>
      <c r="AL236" s="56">
        <f>COUNTIF($B236:$AF236,1)</f>
        <v>0</v>
      </c>
      <c r="AM236" s="56">
        <f>COUNTIF($B236:$AF236,2)</f>
        <v>1</v>
      </c>
      <c r="AN236" s="56">
        <f>COUNTIF($B236:$AF236,"DO")</f>
        <v>1</v>
      </c>
      <c r="AO236" s="56">
        <f>COUNTIF($B236:$AF236,"R")</f>
        <v>0</v>
      </c>
      <c r="AP236" s="56">
        <f>COUNTIF($B236:$AF236,4)</f>
        <v>0</v>
      </c>
      <c r="AQ236" s="56">
        <f>COUNTIF($B236:$AF236,5)</f>
        <v>0</v>
      </c>
      <c r="AR236" s="10">
        <f t="shared" ref="AR236" si="78">SUM(AK236:AQ236)</f>
        <v>2</v>
      </c>
      <c r="AS236" s="82">
        <f t="shared" ref="AS236" si="79">AQ236+AP236+AO236+AM236+AL236+AK236+((AH236+AI236)/2)</f>
        <v>1</v>
      </c>
    </row>
    <row r="237" spans="1:45">
      <c r="A237" s="20"/>
      <c r="B237" s="21"/>
      <c r="C237" s="21"/>
      <c r="D237" s="4">
        <v>3</v>
      </c>
      <c r="E237" s="22" t="s">
        <v>17</v>
      </c>
      <c r="F237" s="144" t="s">
        <v>22</v>
      </c>
      <c r="G237" s="144"/>
      <c r="H237" s="21" t="s">
        <v>17</v>
      </c>
      <c r="I237" s="145" t="s">
        <v>24</v>
      </c>
      <c r="J237" s="145"/>
      <c r="K237" s="22"/>
      <c r="L237" s="22"/>
      <c r="M237" s="108" t="s">
        <v>11</v>
      </c>
      <c r="N237" s="22" t="s">
        <v>17</v>
      </c>
      <c r="O237" s="144" t="s">
        <v>20</v>
      </c>
      <c r="P237" s="144"/>
      <c r="Q237" s="22" t="s">
        <v>17</v>
      </c>
      <c r="R237" s="145" t="s">
        <v>22</v>
      </c>
      <c r="S237" s="145"/>
      <c r="T237" s="21"/>
      <c r="U237" s="21"/>
      <c r="V237" s="21"/>
      <c r="W237" s="22"/>
      <c r="X237" s="48"/>
      <c r="Y237" s="21"/>
      <c r="Z237" s="21"/>
      <c r="AA237" s="49"/>
      <c r="AB237" s="21"/>
      <c r="AC237" s="22"/>
      <c r="AD237" s="22"/>
      <c r="AE237" s="22"/>
      <c r="AF237" s="22"/>
      <c r="AK237" s="56"/>
      <c r="AL237" s="56"/>
      <c r="AM237" s="56"/>
      <c r="AN237" s="56"/>
      <c r="AO237" s="56"/>
      <c r="AP237" s="56"/>
      <c r="AQ237" s="56"/>
      <c r="AR237" s="10"/>
      <c r="AS237" s="82"/>
    </row>
    <row r="238" spans="1:45">
      <c r="A238" s="20"/>
      <c r="B238" s="21"/>
      <c r="C238" s="21"/>
      <c r="D238" s="119">
        <v>4</v>
      </c>
      <c r="E238" s="22"/>
      <c r="F238" s="144" t="s">
        <v>95</v>
      </c>
      <c r="G238" s="144"/>
      <c r="H238" s="110" t="s">
        <v>17</v>
      </c>
      <c r="I238" s="145" t="s">
        <v>96</v>
      </c>
      <c r="J238" s="145"/>
      <c r="K238" s="22"/>
      <c r="L238" s="22"/>
      <c r="M238" s="21"/>
      <c r="N238" s="21"/>
      <c r="O238" s="21"/>
      <c r="P238" s="21"/>
      <c r="Q238" s="22"/>
      <c r="R238" s="22"/>
      <c r="S238" s="21"/>
      <c r="T238" s="21"/>
      <c r="U238" s="21"/>
      <c r="V238" s="21"/>
      <c r="W238" s="22"/>
      <c r="X238" s="47"/>
      <c r="Y238" s="21"/>
      <c r="Z238" s="21"/>
      <c r="AA238" s="50"/>
      <c r="AB238" s="21"/>
      <c r="AC238" s="22"/>
      <c r="AD238" s="22"/>
      <c r="AE238" s="22"/>
      <c r="AF238" s="22"/>
    </row>
    <row r="239" spans="1:45">
      <c r="A239" s="111"/>
      <c r="B239" s="110"/>
      <c r="C239" s="109"/>
      <c r="D239" s="109"/>
      <c r="E239" s="110"/>
      <c r="F239" s="110"/>
      <c r="G239" s="109"/>
      <c r="H239" s="110"/>
      <c r="I239" s="110"/>
      <c r="J239" s="110"/>
      <c r="K239" s="109"/>
      <c r="L239" s="109"/>
      <c r="M239" s="110"/>
      <c r="N239" s="110"/>
      <c r="O239" s="110"/>
      <c r="P239" s="110"/>
      <c r="Q239" s="109"/>
      <c r="R239" s="109"/>
      <c r="S239" s="110"/>
      <c r="T239" s="110"/>
      <c r="U239" s="110"/>
      <c r="V239" s="110"/>
      <c r="W239" s="109"/>
      <c r="X239" s="47"/>
      <c r="Y239" s="110"/>
      <c r="Z239" s="110"/>
      <c r="AA239" s="50"/>
      <c r="AB239" s="110"/>
      <c r="AC239" s="109"/>
      <c r="AD239" s="109"/>
      <c r="AE239" s="109"/>
      <c r="AF239" s="109"/>
    </row>
    <row r="240" spans="1:45">
      <c r="A240" s="20" t="s">
        <v>25</v>
      </c>
      <c r="B240" s="21"/>
      <c r="C240" s="21"/>
      <c r="D240" s="21"/>
      <c r="E240" s="22"/>
      <c r="F240" s="22"/>
      <c r="G240" s="22"/>
      <c r="H240" s="85" t="s">
        <v>26</v>
      </c>
      <c r="I240" s="20"/>
      <c r="J240" s="21"/>
      <c r="M240" s="22"/>
      <c r="N240" s="22"/>
      <c r="O240" s="22"/>
      <c r="P240" s="21"/>
      <c r="Q240" s="22"/>
      <c r="R240" s="22"/>
      <c r="S240" s="21"/>
      <c r="T240" s="24"/>
      <c r="U240" s="24"/>
      <c r="V240" s="24"/>
      <c r="W240" s="24"/>
      <c r="X240" s="24"/>
      <c r="Y240" s="85" t="s">
        <v>27</v>
      </c>
      <c r="Z240" s="21"/>
      <c r="AA240" s="21"/>
      <c r="AB240" s="21"/>
      <c r="AC240" s="22"/>
      <c r="AD240" s="22"/>
      <c r="AE240" s="22"/>
      <c r="AF240" s="22"/>
    </row>
    <row r="241" spans="1:45">
      <c r="L241" s="25"/>
      <c r="M241" s="25"/>
      <c r="N241" s="25"/>
      <c r="O241" s="25"/>
      <c r="P241" s="25"/>
      <c r="Q241" s="25"/>
      <c r="X241" s="25"/>
      <c r="Y241" s="25"/>
      <c r="Z241" s="25"/>
      <c r="AA241" s="25"/>
      <c r="AB241" s="25"/>
      <c r="AC241" s="25"/>
    </row>
    <row r="242" spans="1:45">
      <c r="B242" s="146" t="s">
        <v>46</v>
      </c>
      <c r="C242" s="146"/>
      <c r="D242" s="146"/>
      <c r="E242" s="146"/>
      <c r="F242" s="146"/>
      <c r="H242" s="25"/>
      <c r="J242" s="146" t="s">
        <v>28</v>
      </c>
      <c r="K242" s="146"/>
      <c r="L242" s="146"/>
      <c r="M242" s="146"/>
      <c r="O242" s="146" t="s">
        <v>37</v>
      </c>
      <c r="P242" s="146"/>
      <c r="Q242" s="146"/>
      <c r="R242" s="146"/>
      <c r="T242" s="146" t="s">
        <v>80</v>
      </c>
      <c r="U242" s="146"/>
      <c r="V242" s="146"/>
      <c r="W242" s="146"/>
      <c r="X242" s="146"/>
      <c r="AA242" s="146" t="s">
        <v>35</v>
      </c>
      <c r="AB242" s="146"/>
      <c r="AC242" s="146"/>
      <c r="AD242" s="146"/>
      <c r="AE242" s="146"/>
      <c r="AF242" s="146"/>
    </row>
    <row r="243" spans="1:45">
      <c r="B243" s="148" t="s">
        <v>81</v>
      </c>
      <c r="C243" s="148"/>
      <c r="D243" s="148"/>
      <c r="E243" s="148"/>
      <c r="F243" s="148"/>
      <c r="J243" s="147" t="s">
        <v>83</v>
      </c>
      <c r="K243" s="147"/>
      <c r="L243" s="147"/>
      <c r="M243" s="147"/>
      <c r="O243" s="148" t="s">
        <v>83</v>
      </c>
      <c r="P243" s="148"/>
      <c r="Q243" s="148"/>
      <c r="R243" s="148"/>
      <c r="T243" s="165" t="s">
        <v>84</v>
      </c>
      <c r="U243" s="165"/>
      <c r="V243" s="165"/>
      <c r="W243" s="165"/>
      <c r="X243" s="165"/>
      <c r="AA243" s="148" t="s">
        <v>47</v>
      </c>
      <c r="AB243" s="148"/>
      <c r="AC243" s="148"/>
      <c r="AD243" s="148"/>
      <c r="AE243" s="148"/>
      <c r="AF243" s="148"/>
    </row>
    <row r="244" spans="1:45">
      <c r="B244" s="54"/>
      <c r="C244" s="54"/>
      <c r="D244" s="54"/>
      <c r="E244" s="54"/>
      <c r="F244" s="54"/>
      <c r="G244" s="54"/>
      <c r="N244" s="54"/>
      <c r="O244" s="54"/>
      <c r="P244" s="54"/>
      <c r="Q244" s="54"/>
      <c r="R244" s="54"/>
      <c r="S244" s="54"/>
      <c r="T244" s="54"/>
      <c r="AA244" s="54"/>
      <c r="AB244" s="54"/>
      <c r="AC244" s="54"/>
      <c r="AD244" s="54"/>
      <c r="AE244" s="54"/>
      <c r="AF244" s="54"/>
    </row>
    <row r="245" spans="1:45">
      <c r="B245" s="130"/>
      <c r="C245" s="130"/>
      <c r="D245" s="130"/>
      <c r="E245" s="130"/>
      <c r="F245" s="130"/>
      <c r="G245" s="130"/>
      <c r="N245" s="130"/>
      <c r="O245" s="130"/>
      <c r="P245" s="130"/>
      <c r="Q245" s="130"/>
      <c r="R245" s="130"/>
      <c r="S245" s="130"/>
      <c r="T245" s="130"/>
      <c r="AA245" s="130"/>
      <c r="AB245" s="130"/>
      <c r="AC245" s="130"/>
      <c r="AD245" s="130"/>
      <c r="AE245" s="130"/>
      <c r="AF245" s="130"/>
    </row>
    <row r="246" spans="1:45">
      <c r="B246" s="130"/>
      <c r="C246" s="130"/>
      <c r="D246" s="130"/>
      <c r="E246" s="130"/>
      <c r="F246" s="130"/>
      <c r="G246" s="130"/>
      <c r="N246" s="130"/>
      <c r="O246" s="130"/>
      <c r="P246" s="130"/>
      <c r="Q246" s="130"/>
      <c r="R246" s="130"/>
      <c r="S246" s="130"/>
      <c r="T246" s="130"/>
      <c r="AA246" s="130"/>
      <c r="AB246" s="130"/>
      <c r="AC246" s="130"/>
      <c r="AD246" s="130"/>
      <c r="AE246" s="130"/>
      <c r="AF246" s="130"/>
    </row>
    <row r="247" spans="1:45">
      <c r="B247" s="130"/>
      <c r="C247" s="130"/>
      <c r="D247" s="130"/>
      <c r="E247" s="130"/>
      <c r="F247" s="130"/>
      <c r="G247" s="130"/>
      <c r="N247" s="130"/>
      <c r="O247" s="130"/>
      <c r="P247" s="130"/>
      <c r="Q247" s="130"/>
      <c r="R247" s="130"/>
      <c r="S247" s="130"/>
      <c r="T247" s="130"/>
      <c r="AA247" s="130"/>
      <c r="AB247" s="130"/>
      <c r="AC247" s="130"/>
      <c r="AD247" s="130"/>
      <c r="AE247" s="130"/>
      <c r="AF247" s="130"/>
    </row>
    <row r="248" spans="1:45" ht="18.75">
      <c r="A248" s="149" t="s">
        <v>79</v>
      </c>
      <c r="B248" s="149"/>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c r="AA248" s="149"/>
      <c r="AB248" s="149"/>
      <c r="AC248" s="149"/>
      <c r="AD248" s="149"/>
      <c r="AE248" s="149"/>
      <c r="AF248" s="149"/>
      <c r="AG248" s="149"/>
    </row>
    <row r="249" spans="1:45" ht="18.75">
      <c r="A249" s="149" t="s">
        <v>90</v>
      </c>
      <c r="B249" s="149"/>
      <c r="C249" s="149"/>
      <c r="D249" s="149"/>
      <c r="E249" s="149"/>
      <c r="F249" s="149"/>
      <c r="G249" s="149"/>
      <c r="H249" s="149"/>
      <c r="I249" s="149"/>
      <c r="J249" s="149"/>
      <c r="K249" s="149"/>
      <c r="L249" s="149"/>
      <c r="M249" s="149"/>
      <c r="N249" s="149"/>
      <c r="O249" s="149"/>
      <c r="P249" s="149"/>
      <c r="Q249" s="149"/>
      <c r="R249" s="149"/>
      <c r="S249" s="149"/>
      <c r="T249" s="149"/>
      <c r="U249" s="149"/>
      <c r="V249" s="149"/>
      <c r="W249" s="149"/>
      <c r="X249" s="149"/>
      <c r="Y249" s="149"/>
      <c r="Z249" s="149"/>
      <c r="AA249" s="149"/>
      <c r="AB249" s="149"/>
      <c r="AC249" s="149"/>
      <c r="AD249" s="149"/>
      <c r="AE249" s="149"/>
      <c r="AF249" s="149"/>
      <c r="AG249" s="149"/>
    </row>
    <row r="250" spans="1:45">
      <c r="A250" s="133" t="s">
        <v>1</v>
      </c>
      <c r="B250" s="127" t="s">
        <v>6</v>
      </c>
      <c r="C250" s="2" t="s">
        <v>7</v>
      </c>
      <c r="D250" s="2" t="s">
        <v>8</v>
      </c>
      <c r="E250" s="2" t="s">
        <v>2</v>
      </c>
      <c r="F250" s="2" t="s">
        <v>3</v>
      </c>
      <c r="G250" s="2" t="s">
        <v>4</v>
      </c>
      <c r="H250" s="127" t="s">
        <v>5</v>
      </c>
      <c r="I250" s="127" t="s">
        <v>6</v>
      </c>
      <c r="J250" s="2" t="s">
        <v>7</v>
      </c>
      <c r="K250" s="2" t="s">
        <v>8</v>
      </c>
      <c r="L250" s="2" t="s">
        <v>2</v>
      </c>
      <c r="M250" s="2" t="s">
        <v>3</v>
      </c>
      <c r="N250" s="2" t="s">
        <v>4</v>
      </c>
      <c r="O250" s="127" t="s">
        <v>5</v>
      </c>
      <c r="P250" s="127" t="s">
        <v>6</v>
      </c>
      <c r="Q250" s="2" t="s">
        <v>7</v>
      </c>
      <c r="R250" s="2" t="s">
        <v>8</v>
      </c>
      <c r="S250" s="2" t="s">
        <v>2</v>
      </c>
      <c r="T250" s="2" t="s">
        <v>3</v>
      </c>
      <c r="U250" s="2" t="s">
        <v>4</v>
      </c>
      <c r="V250" s="127" t="s">
        <v>5</v>
      </c>
      <c r="W250" s="127" t="s">
        <v>6</v>
      </c>
      <c r="X250" s="2" t="s">
        <v>7</v>
      </c>
      <c r="Y250" s="2" t="s">
        <v>8</v>
      </c>
      <c r="Z250" s="2" t="s">
        <v>2</v>
      </c>
      <c r="AA250" s="2" t="s">
        <v>3</v>
      </c>
      <c r="AB250" s="2" t="s">
        <v>4</v>
      </c>
      <c r="AC250" s="127" t="s">
        <v>5</v>
      </c>
      <c r="AD250" s="127" t="s">
        <v>6</v>
      </c>
      <c r="AE250" s="2" t="s">
        <v>7</v>
      </c>
      <c r="AF250" s="2"/>
      <c r="AG250" s="26"/>
    </row>
    <row r="251" spans="1:45">
      <c r="A251" s="134" t="s">
        <v>9</v>
      </c>
      <c r="B251" s="15">
        <v>1</v>
      </c>
      <c r="C251" s="4">
        <v>2</v>
      </c>
      <c r="D251" s="4">
        <v>3</v>
      </c>
      <c r="E251" s="8">
        <v>4</v>
      </c>
      <c r="F251" s="8">
        <v>5</v>
      </c>
      <c r="G251" s="4">
        <v>6</v>
      </c>
      <c r="H251" s="4">
        <v>7</v>
      </c>
      <c r="I251" s="4">
        <v>8</v>
      </c>
      <c r="J251" s="114">
        <v>9</v>
      </c>
      <c r="K251" s="4">
        <v>10</v>
      </c>
      <c r="L251" s="4">
        <v>11</v>
      </c>
      <c r="M251" s="4">
        <v>12</v>
      </c>
      <c r="N251" s="4">
        <v>13</v>
      </c>
      <c r="O251" s="4">
        <v>14</v>
      </c>
      <c r="P251" s="4">
        <v>15</v>
      </c>
      <c r="Q251" s="4">
        <v>16</v>
      </c>
      <c r="R251" s="4">
        <v>17</v>
      </c>
      <c r="S251" s="4">
        <v>18</v>
      </c>
      <c r="T251" s="4">
        <v>19</v>
      </c>
      <c r="U251" s="4">
        <v>20</v>
      </c>
      <c r="V251" s="4">
        <v>21</v>
      </c>
      <c r="W251" s="4">
        <v>22</v>
      </c>
      <c r="X251" s="4">
        <v>23</v>
      </c>
      <c r="Y251" s="4">
        <v>24</v>
      </c>
      <c r="Z251" s="4">
        <v>25</v>
      </c>
      <c r="AA251" s="4">
        <v>26</v>
      </c>
      <c r="AB251" s="4">
        <v>27</v>
      </c>
      <c r="AC251" s="4">
        <v>28</v>
      </c>
      <c r="AD251" s="4">
        <v>29</v>
      </c>
      <c r="AE251" s="4">
        <v>30</v>
      </c>
      <c r="AF251" s="4"/>
      <c r="AG251" s="27"/>
      <c r="AJ251" s="56"/>
      <c r="AK251" s="56">
        <v>3</v>
      </c>
      <c r="AL251" s="56">
        <v>1</v>
      </c>
      <c r="AM251" s="56">
        <v>2</v>
      </c>
      <c r="AN251" s="56" t="s">
        <v>10</v>
      </c>
      <c r="AO251" s="56" t="s">
        <v>11</v>
      </c>
      <c r="AP251" s="56">
        <v>4</v>
      </c>
      <c r="AQ251" s="56">
        <v>5</v>
      </c>
    </row>
    <row r="252" spans="1:45">
      <c r="A252" s="150" t="s">
        <v>71</v>
      </c>
      <c r="B252" s="4" t="s">
        <v>10</v>
      </c>
      <c r="C252" s="4" t="s">
        <v>11</v>
      </c>
      <c r="D252" s="4" t="s">
        <v>11</v>
      </c>
      <c r="E252" s="4" t="s">
        <v>11</v>
      </c>
      <c r="F252" s="4" t="s">
        <v>11</v>
      </c>
      <c r="G252" s="4" t="s">
        <v>11</v>
      </c>
      <c r="H252" s="12">
        <v>3</v>
      </c>
      <c r="I252" s="12">
        <v>1</v>
      </c>
      <c r="J252" s="4" t="s">
        <v>11</v>
      </c>
      <c r="K252" s="4" t="s">
        <v>11</v>
      </c>
      <c r="L252" s="4" t="s">
        <v>11</v>
      </c>
      <c r="M252" s="4" t="s">
        <v>11</v>
      </c>
      <c r="N252" s="4" t="s">
        <v>11</v>
      </c>
      <c r="O252" s="12" t="s">
        <v>10</v>
      </c>
      <c r="P252" s="12" t="s">
        <v>10</v>
      </c>
      <c r="Q252" s="12" t="s">
        <v>11</v>
      </c>
      <c r="R252" s="12" t="s">
        <v>11</v>
      </c>
      <c r="S252" s="12" t="s">
        <v>11</v>
      </c>
      <c r="T252" s="12" t="s">
        <v>11</v>
      </c>
      <c r="U252" s="12" t="s">
        <v>11</v>
      </c>
      <c r="V252" s="12">
        <v>3</v>
      </c>
      <c r="W252" s="12">
        <v>1</v>
      </c>
      <c r="X252" s="12" t="s">
        <v>11</v>
      </c>
      <c r="Y252" s="12" t="s">
        <v>11</v>
      </c>
      <c r="Z252" s="12" t="s">
        <v>11</v>
      </c>
      <c r="AA252" s="12" t="s">
        <v>11</v>
      </c>
      <c r="AB252" s="12" t="s">
        <v>11</v>
      </c>
      <c r="AC252" s="12" t="s">
        <v>10</v>
      </c>
      <c r="AD252" s="12" t="s">
        <v>10</v>
      </c>
      <c r="AE252" s="12" t="s">
        <v>11</v>
      </c>
      <c r="AF252" s="12"/>
      <c r="AG252" s="129">
        <f>AS252</f>
        <v>25</v>
      </c>
      <c r="AJ252" s="56"/>
      <c r="AK252" s="56">
        <f>COUNTIF($B252:$AF252,3)</f>
        <v>2</v>
      </c>
      <c r="AL252" s="56">
        <f>COUNTIF($B252:$AF252,1)</f>
        <v>2</v>
      </c>
      <c r="AM252" s="56">
        <f>COUNTIF($B252:$AF252,2)</f>
        <v>0</v>
      </c>
      <c r="AN252" s="56">
        <f>COUNTIF($B252:$AF252,"DO")</f>
        <v>5</v>
      </c>
      <c r="AO252" s="56">
        <f>COUNTIF($B252:$AF252,"R")</f>
        <v>21</v>
      </c>
      <c r="AP252" s="56">
        <f>COUNTIF($B252:$AF252,4)</f>
        <v>0</v>
      </c>
      <c r="AQ252" s="56">
        <f>COUNTIF($B252:$AF252,5)</f>
        <v>0</v>
      </c>
      <c r="AR252" s="10">
        <f t="shared" ref="AR252" si="80">SUM(AK252:AQ252)</f>
        <v>30</v>
      </c>
      <c r="AS252" s="82">
        <f>AQ252+AP252+AO252+AM252+AL252+AK252+((AH252+AI252)/2)</f>
        <v>25</v>
      </c>
    </row>
    <row r="253" spans="1:45">
      <c r="A253" s="151"/>
      <c r="B253" s="4"/>
      <c r="C253" s="4"/>
      <c r="D253" s="4"/>
      <c r="E253" s="4"/>
      <c r="F253" s="4"/>
      <c r="G253" s="4"/>
      <c r="H253" s="4"/>
      <c r="I253" s="12"/>
      <c r="J253" s="12"/>
      <c r="K253" s="12"/>
      <c r="L253" s="12"/>
      <c r="M253" s="12"/>
      <c r="N253" s="12"/>
      <c r="O253" s="12"/>
      <c r="P253" s="4"/>
      <c r="Q253" s="4"/>
      <c r="R253" s="12"/>
      <c r="S253" s="12"/>
      <c r="T253" s="12"/>
      <c r="U253" s="12"/>
      <c r="V253" s="12"/>
      <c r="W253" s="12"/>
      <c r="X253" s="12"/>
      <c r="Y253" s="12"/>
      <c r="Z253" s="12"/>
      <c r="AA253" s="12"/>
      <c r="AB253" s="12"/>
      <c r="AC253" s="12"/>
      <c r="AD253" s="4"/>
      <c r="AE253" s="4"/>
      <c r="AF253" s="12"/>
      <c r="AG253" s="17"/>
      <c r="AJ253" s="56"/>
      <c r="AK253" s="56"/>
      <c r="AL253" s="56"/>
      <c r="AM253" s="56"/>
      <c r="AN253" s="56"/>
      <c r="AO253" s="56"/>
      <c r="AP253" s="56"/>
      <c r="AQ253" s="56"/>
      <c r="AR253" s="10"/>
      <c r="AS253" s="82"/>
    </row>
    <row r="254" spans="1:45">
      <c r="A254" s="150" t="s">
        <v>73</v>
      </c>
      <c r="B254" s="4">
        <v>1</v>
      </c>
      <c r="C254" s="4" t="s">
        <v>11</v>
      </c>
      <c r="D254" s="4" t="s">
        <v>11</v>
      </c>
      <c r="E254" s="4" t="s">
        <v>11</v>
      </c>
      <c r="F254" s="4" t="s">
        <v>11</v>
      </c>
      <c r="G254" s="4" t="s">
        <v>11</v>
      </c>
      <c r="H254" s="12" t="s">
        <v>10</v>
      </c>
      <c r="I254" s="12" t="s">
        <v>10</v>
      </c>
      <c r="J254" s="4" t="s">
        <v>11</v>
      </c>
      <c r="K254" s="4" t="s">
        <v>11</v>
      </c>
      <c r="L254" s="4" t="s">
        <v>11</v>
      </c>
      <c r="M254" s="4" t="s">
        <v>11</v>
      </c>
      <c r="N254" s="4" t="s">
        <v>11</v>
      </c>
      <c r="O254" s="12">
        <v>3</v>
      </c>
      <c r="P254" s="12">
        <v>1</v>
      </c>
      <c r="Q254" s="12" t="s">
        <v>11</v>
      </c>
      <c r="R254" s="12" t="s">
        <v>11</v>
      </c>
      <c r="S254" s="12" t="s">
        <v>11</v>
      </c>
      <c r="T254" s="12" t="s">
        <v>11</v>
      </c>
      <c r="U254" s="12" t="s">
        <v>11</v>
      </c>
      <c r="V254" s="12" t="s">
        <v>10</v>
      </c>
      <c r="W254" s="12" t="s">
        <v>10</v>
      </c>
      <c r="X254" s="12" t="s">
        <v>11</v>
      </c>
      <c r="Y254" s="12" t="s">
        <v>11</v>
      </c>
      <c r="Z254" s="12" t="s">
        <v>11</v>
      </c>
      <c r="AA254" s="12" t="s">
        <v>11</v>
      </c>
      <c r="AB254" s="12" t="s">
        <v>11</v>
      </c>
      <c r="AC254" s="12">
        <v>3</v>
      </c>
      <c r="AD254" s="12">
        <v>1</v>
      </c>
      <c r="AE254" s="12" t="s">
        <v>11</v>
      </c>
      <c r="AF254" s="12"/>
      <c r="AG254" s="129">
        <f>AS254</f>
        <v>26</v>
      </c>
      <c r="AJ254" s="56"/>
      <c r="AK254" s="56">
        <f>COUNTIF($B254:$AF254,3)</f>
        <v>2</v>
      </c>
      <c r="AL254" s="56">
        <f>COUNTIF($B254:$AF254,1)</f>
        <v>3</v>
      </c>
      <c r="AM254" s="56">
        <f>COUNTIF($B254:$AF254,2)</f>
        <v>0</v>
      </c>
      <c r="AN254" s="56">
        <f>COUNTIF($B254:$AF254,"DO")</f>
        <v>4</v>
      </c>
      <c r="AO254" s="56">
        <f>COUNTIF($B254:$AF254,"R")</f>
        <v>21</v>
      </c>
      <c r="AP254" s="56">
        <f>COUNTIF($B254:$AF254,4)</f>
        <v>0</v>
      </c>
      <c r="AQ254" s="56">
        <f>COUNTIF($B254:$AF254,5)</f>
        <v>0</v>
      </c>
      <c r="AR254" s="10">
        <f t="shared" ref="AR254" si="81">SUM(AK254:AQ254)</f>
        <v>30</v>
      </c>
      <c r="AS254" s="82">
        <f>AQ254+AP254+AO254+AM254+AL254+AK254+((AH254+AI254)/2)</f>
        <v>26</v>
      </c>
    </row>
    <row r="255" spans="1:45">
      <c r="A255" s="151"/>
      <c r="B255" s="11"/>
      <c r="C255" s="12"/>
      <c r="D255" s="12"/>
      <c r="E255" s="12"/>
      <c r="F255" s="11"/>
      <c r="G255" s="12"/>
      <c r="H255" s="12"/>
      <c r="I255" s="12"/>
      <c r="J255" s="11"/>
      <c r="K255" s="12"/>
      <c r="L255" s="12"/>
      <c r="M255" s="12"/>
      <c r="N255" s="11"/>
      <c r="O255" s="12"/>
      <c r="P255" s="12"/>
      <c r="Q255" s="12"/>
      <c r="R255" s="11"/>
      <c r="S255" s="12"/>
      <c r="T255" s="12"/>
      <c r="U255" s="12"/>
      <c r="V255" s="11"/>
      <c r="W255" s="12"/>
      <c r="X255" s="12"/>
      <c r="Y255" s="12"/>
      <c r="Z255" s="11"/>
      <c r="AA255" s="12"/>
      <c r="AB255" s="12"/>
      <c r="AC255" s="12"/>
      <c r="AD255" s="12"/>
      <c r="AE255" s="12"/>
      <c r="AF255" s="12"/>
      <c r="AG255" s="17"/>
      <c r="AJ255" s="56"/>
      <c r="AK255" s="56"/>
      <c r="AL255" s="56"/>
      <c r="AM255" s="56"/>
      <c r="AN255" s="56"/>
      <c r="AO255" s="56"/>
      <c r="AP255" s="56"/>
      <c r="AQ255" s="56"/>
      <c r="AR255" s="10"/>
      <c r="AS255" s="82"/>
    </row>
    <row r="256" spans="1:45">
      <c r="A256" s="150" t="s">
        <v>72</v>
      </c>
      <c r="B256" s="128" t="s">
        <v>11</v>
      </c>
      <c r="C256" s="128" t="s">
        <v>11</v>
      </c>
      <c r="D256" s="128" t="s">
        <v>10</v>
      </c>
      <c r="E256" s="128" t="s">
        <v>10</v>
      </c>
      <c r="F256" s="128" t="s">
        <v>11</v>
      </c>
      <c r="G256" s="128" t="s">
        <v>11</v>
      </c>
      <c r="H256" s="128" t="s">
        <v>11</v>
      </c>
      <c r="I256" s="128" t="s">
        <v>11</v>
      </c>
      <c r="J256" s="128" t="s">
        <v>11</v>
      </c>
      <c r="K256" s="128" t="s">
        <v>10</v>
      </c>
      <c r="L256" s="128" t="s">
        <v>10</v>
      </c>
      <c r="M256" s="128" t="s">
        <v>11</v>
      </c>
      <c r="N256" s="128" t="s">
        <v>11</v>
      </c>
      <c r="O256" s="128" t="s">
        <v>11</v>
      </c>
      <c r="P256" s="128" t="s">
        <v>11</v>
      </c>
      <c r="Q256" s="128" t="s">
        <v>11</v>
      </c>
      <c r="R256" s="128" t="s">
        <v>10</v>
      </c>
      <c r="S256" s="128" t="s">
        <v>10</v>
      </c>
      <c r="T256" s="128" t="s">
        <v>11</v>
      </c>
      <c r="U256" s="128" t="s">
        <v>11</v>
      </c>
      <c r="V256" s="128" t="s">
        <v>11</v>
      </c>
      <c r="W256" s="128" t="s">
        <v>11</v>
      </c>
      <c r="X256" s="128" t="s">
        <v>11</v>
      </c>
      <c r="Y256" s="128" t="s">
        <v>10</v>
      </c>
      <c r="Z256" s="128" t="s">
        <v>10</v>
      </c>
      <c r="AA256" s="128" t="s">
        <v>11</v>
      </c>
      <c r="AB256" s="128" t="s">
        <v>11</v>
      </c>
      <c r="AC256" s="128" t="s">
        <v>11</v>
      </c>
      <c r="AD256" s="128" t="s">
        <v>11</v>
      </c>
      <c r="AE256" s="128" t="s">
        <v>11</v>
      </c>
      <c r="AF256" s="12"/>
      <c r="AG256" s="129">
        <f>AS256</f>
        <v>22</v>
      </c>
      <c r="AJ256" s="56"/>
      <c r="AK256" s="56">
        <f>COUNTIF($B256:$AF256,3)</f>
        <v>0</v>
      </c>
      <c r="AL256" s="56">
        <f>COUNTIF($B256:$AF256,1)</f>
        <v>0</v>
      </c>
      <c r="AM256" s="56">
        <f>COUNTIF($B256:$AF256,2)</f>
        <v>0</v>
      </c>
      <c r="AN256" s="56">
        <f>COUNTIF($B256:$AF256,"DO")</f>
        <v>8</v>
      </c>
      <c r="AO256" s="56">
        <f>COUNTIF($B256:$AF256,"R")</f>
        <v>22</v>
      </c>
      <c r="AP256" s="56">
        <f>COUNTIF($B256:$AF256,4)</f>
        <v>0</v>
      </c>
      <c r="AQ256" s="56">
        <f>COUNTIF($B256:$AF256,5)</f>
        <v>0</v>
      </c>
      <c r="AR256" s="10">
        <f>SUM(AK256:AQ256)</f>
        <v>30</v>
      </c>
      <c r="AS256" s="82">
        <f t="shared" ref="AS256" si="82">AQ256+AP256+AO256+AM256+AL256+AK256+((AH256+AI256)/2)</f>
        <v>22</v>
      </c>
    </row>
    <row r="257" spans="1:45">
      <c r="A257" s="151"/>
      <c r="B257" s="115"/>
      <c r="C257" s="115"/>
      <c r="D257" s="115"/>
      <c r="E257" s="115"/>
      <c r="F257" s="9"/>
      <c r="G257" s="115"/>
      <c r="H257" s="98"/>
      <c r="I257" s="12"/>
      <c r="J257" s="101"/>
      <c r="K257" s="12"/>
      <c r="L257" s="12"/>
      <c r="M257" s="12"/>
      <c r="N257" s="4"/>
      <c r="O257" s="12"/>
      <c r="P257" s="12"/>
      <c r="Q257" s="12"/>
      <c r="R257" s="12"/>
      <c r="S257" s="12"/>
      <c r="T257" s="4"/>
      <c r="U257" s="12"/>
      <c r="V257" s="12"/>
      <c r="W257" s="12"/>
      <c r="X257" s="12"/>
      <c r="Y257" s="12"/>
      <c r="Z257" s="4"/>
      <c r="AA257" s="12"/>
      <c r="AB257" s="12"/>
      <c r="AC257" s="12"/>
      <c r="AD257" s="34"/>
      <c r="AE257" s="12"/>
      <c r="AF257" s="12"/>
      <c r="AG257" s="17"/>
      <c r="AJ257" s="56"/>
      <c r="AK257" s="56"/>
      <c r="AL257" s="56"/>
      <c r="AM257" s="56"/>
      <c r="AN257" s="56"/>
      <c r="AO257" s="56"/>
      <c r="AP257" s="56"/>
      <c r="AQ257" s="56"/>
      <c r="AR257" s="10"/>
      <c r="AS257" s="10"/>
    </row>
    <row r="258" spans="1:45">
      <c r="A258" s="150" t="s">
        <v>98</v>
      </c>
      <c r="B258" s="9" t="s">
        <v>10</v>
      </c>
      <c r="C258" s="126">
        <v>3</v>
      </c>
      <c r="D258" s="126">
        <v>1</v>
      </c>
      <c r="E258" s="126"/>
      <c r="F258" s="9"/>
      <c r="G258" s="126"/>
      <c r="H258" s="126"/>
      <c r="I258" s="126"/>
      <c r="J258" s="9"/>
      <c r="K258" s="126"/>
      <c r="L258" s="9"/>
      <c r="M258" s="126"/>
      <c r="N258" s="9"/>
      <c r="O258" s="126"/>
      <c r="P258" s="9"/>
      <c r="Q258" s="115"/>
      <c r="R258" s="9"/>
      <c r="S258" s="115"/>
      <c r="T258" s="9"/>
      <c r="U258" s="115"/>
      <c r="V258" s="9"/>
      <c r="W258" s="115"/>
      <c r="X258" s="9"/>
      <c r="Y258" s="115"/>
      <c r="Z258" s="9"/>
      <c r="AA258" s="115"/>
      <c r="AB258" s="9"/>
      <c r="AC258" s="115"/>
      <c r="AD258" s="9"/>
      <c r="AE258" s="115"/>
      <c r="AF258" s="115"/>
      <c r="AG258" s="17">
        <f>AS258</f>
        <v>2</v>
      </c>
      <c r="AH258">
        <f>COUNTIF($B258:$AF258,4)</f>
        <v>0</v>
      </c>
      <c r="AI258">
        <f>COUNTIF($B258:$AF258,5)</f>
        <v>0</v>
      </c>
      <c r="AK258" s="56">
        <f>COUNTIF($B258:$AF258,3)</f>
        <v>1</v>
      </c>
      <c r="AL258" s="56">
        <f>COUNTIF($B258:$AF258,1)</f>
        <v>1</v>
      </c>
      <c r="AM258" s="56">
        <f>COUNTIF($B258:$AF258,2)</f>
        <v>0</v>
      </c>
      <c r="AN258" s="56">
        <f>COUNTIF($B258:$AF258,"DO")</f>
        <v>1</v>
      </c>
      <c r="AO258" s="56">
        <f>COUNTIF($B258:$AF258,"R")</f>
        <v>0</v>
      </c>
      <c r="AP258" s="56">
        <f>COUNTIF($B258:$AF258,4)</f>
        <v>0</v>
      </c>
      <c r="AQ258" s="56">
        <f>COUNTIF($B258:$AF258,5)</f>
        <v>0</v>
      </c>
      <c r="AR258" s="10">
        <f>SUM(AK258:AO258)</f>
        <v>3</v>
      </c>
      <c r="AS258" s="82">
        <f>AQ258+AP258+AO258+AM258+AL258+AK258</f>
        <v>2</v>
      </c>
    </row>
    <row r="259" spans="1:45">
      <c r="A259" s="151"/>
      <c r="B259" s="15"/>
      <c r="C259" s="14"/>
      <c r="D259" s="14"/>
      <c r="E259" s="14"/>
      <c r="F259" s="14"/>
      <c r="G259" s="14"/>
      <c r="H259" s="14"/>
      <c r="I259" s="14"/>
      <c r="J259" s="14"/>
      <c r="K259" s="14"/>
      <c r="L259" s="14"/>
      <c r="M259" s="14"/>
      <c r="N259" s="15"/>
      <c r="O259" s="14"/>
      <c r="P259" s="14"/>
      <c r="Q259" s="12"/>
      <c r="R259" s="12"/>
      <c r="S259" s="12"/>
      <c r="T259" s="4"/>
      <c r="U259" s="12"/>
      <c r="V259" s="12"/>
      <c r="W259" s="12"/>
      <c r="X259" s="12"/>
      <c r="Y259" s="12"/>
      <c r="Z259" s="4"/>
      <c r="AA259" s="12"/>
      <c r="AB259" s="12"/>
      <c r="AC259" s="12"/>
      <c r="AD259" s="34"/>
      <c r="AE259" s="12"/>
      <c r="AF259" s="12"/>
      <c r="AG259" s="17"/>
      <c r="AK259" s="56"/>
      <c r="AL259" s="56"/>
      <c r="AM259" s="56"/>
      <c r="AN259" s="56"/>
      <c r="AO259" s="56"/>
      <c r="AP259" s="56"/>
      <c r="AQ259" s="56"/>
      <c r="AR259" s="10"/>
      <c r="AS259" s="10"/>
    </row>
    <row r="260" spans="1:45">
      <c r="A260" s="150" t="s">
        <v>99</v>
      </c>
      <c r="B260" s="126">
        <v>3</v>
      </c>
      <c r="C260" s="126">
        <v>1</v>
      </c>
      <c r="D260" s="126">
        <v>2</v>
      </c>
      <c r="E260" s="126" t="s">
        <v>10</v>
      </c>
      <c r="F260" s="9"/>
      <c r="G260" s="126"/>
      <c r="H260" s="9"/>
      <c r="I260" s="126"/>
      <c r="J260" s="9"/>
      <c r="K260" s="126"/>
      <c r="L260" s="9"/>
      <c r="M260" s="126"/>
      <c r="N260" s="9"/>
      <c r="O260" s="126"/>
      <c r="P260" s="126"/>
      <c r="Q260" s="124"/>
      <c r="R260" s="125"/>
      <c r="S260" s="126"/>
      <c r="T260" s="9"/>
      <c r="U260" s="115"/>
      <c r="V260" s="9"/>
      <c r="W260" s="115"/>
      <c r="X260" s="9"/>
      <c r="Y260" s="115"/>
      <c r="Z260" s="9"/>
      <c r="AA260" s="115"/>
      <c r="AB260" s="9"/>
      <c r="AC260" s="115"/>
      <c r="AD260" s="9"/>
      <c r="AE260" s="115"/>
      <c r="AF260" s="9"/>
      <c r="AG260" s="17">
        <f>AS260</f>
        <v>3</v>
      </c>
      <c r="AH260">
        <f t="shared" ref="AH260:AH264" si="83">COUNTIF($B260:$AF260,4)</f>
        <v>0</v>
      </c>
      <c r="AI260">
        <f t="shared" ref="AI260:AI264" si="84">COUNTIF($B260:$AF260,5)</f>
        <v>0</v>
      </c>
      <c r="AK260" s="56">
        <f>COUNTIF($B260:$AF260,3)</f>
        <v>1</v>
      </c>
      <c r="AL260" s="56">
        <f>COUNTIF($B260:$AF260,1)</f>
        <v>1</v>
      </c>
      <c r="AM260" s="56">
        <f>COUNTIF($B260:$AF260,2)</f>
        <v>1</v>
      </c>
      <c r="AN260" s="56">
        <f>COUNTIF($B260:$AF260,"DO")</f>
        <v>1</v>
      </c>
      <c r="AO260" s="56">
        <f>COUNTIF($B260:$AF260,"R")</f>
        <v>0</v>
      </c>
      <c r="AP260" s="56">
        <f>COUNTIF($B260:$AF260,4)</f>
        <v>0</v>
      </c>
      <c r="AQ260" s="56">
        <f>COUNTIF($B260:$AF260,5)</f>
        <v>0</v>
      </c>
      <c r="AR260" s="10">
        <f t="shared" ref="AR260" si="85">SUM(AK260:AQ260)</f>
        <v>4</v>
      </c>
      <c r="AS260" s="82">
        <f>AQ260+AP260+AO260+AM260+AL260+AK260+((AH260+AI260)/2)</f>
        <v>3</v>
      </c>
    </row>
    <row r="261" spans="1:45">
      <c r="A261" s="151"/>
      <c r="B261" s="126"/>
      <c r="C261" s="126"/>
      <c r="D261" s="126"/>
      <c r="E261" s="126"/>
      <c r="F261" s="9"/>
      <c r="G261" s="126"/>
      <c r="H261" s="9"/>
      <c r="I261" s="14"/>
      <c r="J261" s="141"/>
      <c r="K261" s="14"/>
      <c r="L261" s="14"/>
      <c r="M261" s="14"/>
      <c r="N261" s="15"/>
      <c r="O261" s="14"/>
      <c r="P261" s="14"/>
      <c r="Q261" s="12"/>
      <c r="R261" s="12"/>
      <c r="S261" s="12"/>
      <c r="T261" s="4"/>
      <c r="U261" s="12"/>
      <c r="V261" s="12"/>
      <c r="W261" s="12"/>
      <c r="X261" s="12"/>
      <c r="Y261" s="12"/>
      <c r="Z261" s="4"/>
      <c r="AA261" s="12"/>
      <c r="AB261" s="12"/>
      <c r="AC261" s="12"/>
      <c r="AD261" s="34"/>
      <c r="AE261" s="12"/>
      <c r="AF261" s="12"/>
      <c r="AG261" s="17"/>
      <c r="AK261" s="56"/>
      <c r="AL261" s="56"/>
      <c r="AM261" s="56"/>
      <c r="AN261" s="56"/>
      <c r="AO261" s="56"/>
      <c r="AP261" s="56"/>
      <c r="AQ261" s="56"/>
      <c r="AR261" s="10"/>
      <c r="AS261" s="82"/>
    </row>
    <row r="262" spans="1:45">
      <c r="A262" s="150" t="s">
        <v>97</v>
      </c>
      <c r="B262" s="9">
        <v>3</v>
      </c>
      <c r="C262" s="126">
        <v>1</v>
      </c>
      <c r="D262" s="126" t="s">
        <v>10</v>
      </c>
      <c r="E262" s="126"/>
      <c r="F262" s="126">
        <v>2</v>
      </c>
      <c r="G262" s="126"/>
      <c r="H262" s="126"/>
      <c r="I262" s="126"/>
      <c r="J262" s="14"/>
      <c r="K262" s="126"/>
      <c r="L262" s="9"/>
      <c r="M262" s="126"/>
      <c r="N262" s="9"/>
      <c r="O262" s="126"/>
      <c r="P262" s="126"/>
      <c r="Q262" s="115"/>
      <c r="R262" s="9"/>
      <c r="S262" s="115"/>
      <c r="T262" s="115"/>
      <c r="U262" s="115"/>
      <c r="V262" s="115"/>
      <c r="W262" s="115"/>
      <c r="X262" s="9"/>
      <c r="Y262" s="115"/>
      <c r="Z262" s="115"/>
      <c r="AA262" s="115"/>
      <c r="AB262" s="115"/>
      <c r="AC262" s="115"/>
      <c r="AD262" s="9"/>
      <c r="AE262" s="115"/>
      <c r="AF262" s="9"/>
      <c r="AG262" s="17">
        <f>AS262</f>
        <v>3</v>
      </c>
      <c r="AH262">
        <f t="shared" si="83"/>
        <v>0</v>
      </c>
      <c r="AI262">
        <f t="shared" si="84"/>
        <v>0</v>
      </c>
      <c r="AK262" s="56">
        <f>COUNTIF($B262:$AF262,3)</f>
        <v>1</v>
      </c>
      <c r="AL262" s="56">
        <f>COUNTIF($B262:$AF262,1)</f>
        <v>1</v>
      </c>
      <c r="AM262" s="56">
        <f>COUNTIF($B262:$AF262,2)</f>
        <v>1</v>
      </c>
      <c r="AN262" s="56">
        <f>COUNTIF($B262:$AF262,"DO")</f>
        <v>1</v>
      </c>
      <c r="AO262" s="56">
        <f>COUNTIF($B262:$AF262,"R")</f>
        <v>0</v>
      </c>
      <c r="AP262" s="56">
        <f>COUNTIF($B262:$AF262,4)</f>
        <v>0</v>
      </c>
      <c r="AQ262" s="56">
        <f>COUNTIF($B262:$AF262,5)</f>
        <v>0</v>
      </c>
      <c r="AR262" s="10">
        <f t="shared" ref="AR262" si="86">SUM(AK262:AQ262)</f>
        <v>4</v>
      </c>
      <c r="AS262" s="82">
        <f t="shared" ref="AS262" si="87">AQ262+AP262+AO262+AM262+AL262+AK262+((AH262+AI262)/2)</f>
        <v>3</v>
      </c>
    </row>
    <row r="263" spans="1:45">
      <c r="A263" s="151"/>
      <c r="B263" s="15"/>
      <c r="C263" s="142"/>
      <c r="D263" s="14"/>
      <c r="E263" s="14"/>
      <c r="F263" s="14"/>
      <c r="G263" s="14"/>
      <c r="H263" s="14"/>
      <c r="I263" s="14"/>
      <c r="J263" s="14"/>
      <c r="K263" s="14"/>
      <c r="L263" s="14"/>
      <c r="M263" s="14"/>
      <c r="N263" s="14"/>
      <c r="O263" s="14"/>
      <c r="P263" s="14"/>
      <c r="Q263" s="12"/>
      <c r="R263" s="12"/>
      <c r="S263" s="12"/>
      <c r="T263" s="12"/>
      <c r="U263" s="12"/>
      <c r="V263" s="12"/>
      <c r="W263" s="12"/>
      <c r="X263" s="12"/>
      <c r="Y263" s="12"/>
      <c r="Z263" s="12"/>
      <c r="AA263" s="12"/>
      <c r="AB263" s="12"/>
      <c r="AC263" s="12"/>
      <c r="AD263" s="105"/>
      <c r="AE263" s="12"/>
      <c r="AF263" s="101"/>
      <c r="AG263" s="17"/>
      <c r="AJ263" s="56"/>
      <c r="AK263" s="56"/>
      <c r="AL263" s="56"/>
      <c r="AM263" s="56"/>
      <c r="AN263" s="56"/>
      <c r="AO263" s="56" t="s">
        <v>76</v>
      </c>
      <c r="AP263" s="56"/>
      <c r="AQ263" s="56"/>
      <c r="AR263" s="10"/>
      <c r="AS263" s="82"/>
    </row>
    <row r="264" spans="1:45">
      <c r="A264" s="150" t="s">
        <v>14</v>
      </c>
      <c r="B264" s="126" t="s">
        <v>10</v>
      </c>
      <c r="C264" s="126">
        <v>3</v>
      </c>
      <c r="D264" s="126">
        <v>1</v>
      </c>
      <c r="E264" s="126"/>
      <c r="F264" s="126"/>
      <c r="G264" s="126"/>
      <c r="H264" s="126">
        <v>2</v>
      </c>
      <c r="I264" s="126"/>
      <c r="J264" s="126"/>
      <c r="K264" s="126"/>
      <c r="L264" s="9"/>
      <c r="M264" s="126"/>
      <c r="N264" s="126"/>
      <c r="O264" s="126"/>
      <c r="P264" s="126"/>
      <c r="Q264" s="115"/>
      <c r="R264" s="9"/>
      <c r="S264" s="115"/>
      <c r="T264" s="115"/>
      <c r="U264" s="115"/>
      <c r="V264" s="115"/>
      <c r="W264" s="115"/>
      <c r="X264" s="124"/>
      <c r="Y264" s="125"/>
      <c r="Z264" s="126"/>
      <c r="AA264" s="115"/>
      <c r="AB264" s="115"/>
      <c r="AC264" s="115"/>
      <c r="AD264" s="9"/>
      <c r="AE264" s="115"/>
      <c r="AF264" s="9"/>
      <c r="AG264" s="17">
        <f>AS264</f>
        <v>3</v>
      </c>
      <c r="AH264">
        <f t="shared" si="83"/>
        <v>0</v>
      </c>
      <c r="AI264">
        <f t="shared" si="84"/>
        <v>0</v>
      </c>
      <c r="AJ264" s="56"/>
      <c r="AK264" s="56">
        <f>COUNTIF($B264:$AF264,3)</f>
        <v>1</v>
      </c>
      <c r="AL264" s="56">
        <f>COUNTIF($B264:$AF264,1)</f>
        <v>1</v>
      </c>
      <c r="AM264" s="56">
        <f>COUNTIF($B264:$AF264,2)</f>
        <v>1</v>
      </c>
      <c r="AN264" s="56">
        <f>COUNTIF($B264:$AF264,"DO")</f>
        <v>1</v>
      </c>
      <c r="AO264" s="56">
        <f>COUNTIF($B264:$AF264,"R")</f>
        <v>0</v>
      </c>
      <c r="AP264" s="56">
        <f>COUNTIF($B264:$AF264,4)</f>
        <v>0</v>
      </c>
      <c r="AQ264" s="56">
        <f>COUNTIF($B264:$AF264,5)</f>
        <v>0</v>
      </c>
      <c r="AR264" s="10">
        <f t="shared" ref="AR264" si="88">SUM(AK264:AQ264)</f>
        <v>4</v>
      </c>
      <c r="AS264" s="82">
        <f>AQ264+AP264+AO264+AM264+AL264+AK264+((AH264+AI264)/2)</f>
        <v>3</v>
      </c>
    </row>
    <row r="265" spans="1:45">
      <c r="A265" s="151"/>
      <c r="B265" s="15"/>
      <c r="C265" s="14"/>
      <c r="D265" s="14"/>
      <c r="E265" s="14"/>
      <c r="F265" s="14"/>
      <c r="G265" s="15"/>
      <c r="H265" s="14"/>
      <c r="I265" s="14"/>
      <c r="J265" s="14"/>
      <c r="K265" s="14"/>
      <c r="L265" s="14"/>
      <c r="M265" s="15"/>
      <c r="N265" s="14"/>
      <c r="O265" s="14"/>
      <c r="P265" s="14"/>
      <c r="Q265" s="12"/>
      <c r="R265" s="12"/>
      <c r="S265" s="4"/>
      <c r="T265" s="12"/>
      <c r="U265" s="12"/>
      <c r="V265" s="12"/>
      <c r="W265" s="12"/>
      <c r="X265" s="12"/>
      <c r="Y265" s="4"/>
      <c r="Z265" s="12"/>
      <c r="AA265" s="12"/>
      <c r="AB265" s="12"/>
      <c r="AC265" s="14"/>
      <c r="AD265" s="12"/>
      <c r="AE265" s="34"/>
      <c r="AF265" s="12"/>
      <c r="AG265" s="17"/>
      <c r="AJ265" s="56"/>
      <c r="AK265" s="56"/>
      <c r="AL265" s="56"/>
      <c r="AM265" s="56"/>
      <c r="AN265" s="56"/>
      <c r="AO265" s="56"/>
      <c r="AP265" s="56"/>
      <c r="AQ265" s="56"/>
      <c r="AR265" s="10"/>
      <c r="AS265" s="82"/>
    </row>
    <row r="266" spans="1:45">
      <c r="A266" s="150" t="s">
        <v>15</v>
      </c>
      <c r="B266" s="126">
        <v>1</v>
      </c>
      <c r="C266" s="126">
        <v>2</v>
      </c>
      <c r="D266" s="126" t="s">
        <v>10</v>
      </c>
      <c r="E266" s="126"/>
      <c r="F266" s="126"/>
      <c r="G266" s="126"/>
      <c r="H266" s="126"/>
      <c r="I266" s="126"/>
      <c r="J266" s="126">
        <v>2</v>
      </c>
      <c r="K266" s="9"/>
      <c r="L266" s="126"/>
      <c r="M266" s="9"/>
      <c r="N266" s="9"/>
      <c r="O266" s="9"/>
      <c r="P266" s="9"/>
      <c r="Q266" s="115"/>
      <c r="R266" s="9"/>
      <c r="S266" s="115"/>
      <c r="T266" s="9"/>
      <c r="U266" s="9"/>
      <c r="V266" s="126"/>
      <c r="W266" s="126"/>
      <c r="X266" s="9"/>
      <c r="Y266" s="115"/>
      <c r="Z266" s="9"/>
      <c r="AA266" s="115"/>
      <c r="AB266" s="9"/>
      <c r="AC266" s="115"/>
      <c r="AD266" s="9"/>
      <c r="AE266" s="115"/>
      <c r="AF266" s="115"/>
      <c r="AG266" s="17">
        <f>AS266</f>
        <v>3</v>
      </c>
      <c r="AH266">
        <f>COUNTIF($B266:$AF266,4)</f>
        <v>0</v>
      </c>
      <c r="AI266">
        <f>COUNTIF($B266:$AF266,5)</f>
        <v>0</v>
      </c>
      <c r="AK266" s="56">
        <f>COUNTIF($B266:$AF266,3)</f>
        <v>0</v>
      </c>
      <c r="AL266" s="56">
        <f>COUNTIF($B266:$AF266,1)</f>
        <v>1</v>
      </c>
      <c r="AM266" s="56">
        <f>COUNTIF($B266:$AF266,2)</f>
        <v>2</v>
      </c>
      <c r="AN266" s="56">
        <f>COUNTIF($B266:$AF266,"DO")</f>
        <v>1</v>
      </c>
      <c r="AO266" s="56">
        <f>COUNTIF($B266:$AF266,"R")</f>
        <v>0</v>
      </c>
      <c r="AP266" s="56">
        <f>COUNTIF($B266:$AF266,4)</f>
        <v>0</v>
      </c>
      <c r="AQ266" s="56">
        <f>COUNTIF($B266:$AF266,5)</f>
        <v>0</v>
      </c>
      <c r="AR266" s="10">
        <f>SUM(AK266:AQ266)</f>
        <v>4</v>
      </c>
      <c r="AS266" s="82">
        <f t="shared" ref="AS266" si="89">AQ266+AP266+AO266+AM266+AL266+AK266+((AH266+AI266)/2)</f>
        <v>3</v>
      </c>
    </row>
    <row r="267" spans="1:45">
      <c r="A267" s="151"/>
      <c r="B267" s="4"/>
      <c r="C267" s="4"/>
      <c r="D267" s="4"/>
      <c r="E267" s="12"/>
      <c r="F267" s="12"/>
      <c r="G267" s="4"/>
      <c r="H267" s="12"/>
      <c r="I267" s="115"/>
      <c r="J267" s="12"/>
      <c r="K267" s="106"/>
      <c r="L267" s="12"/>
      <c r="M267" s="4"/>
      <c r="N267" s="12"/>
      <c r="O267" s="4"/>
      <c r="P267" s="12"/>
      <c r="Q267" s="12"/>
      <c r="R267" s="12"/>
      <c r="S267" s="4"/>
      <c r="T267" s="12"/>
      <c r="U267" s="4"/>
      <c r="V267" s="12"/>
      <c r="W267" s="12"/>
      <c r="X267" s="12"/>
      <c r="Y267" s="4"/>
      <c r="Z267" s="12"/>
      <c r="AA267" s="4"/>
      <c r="AB267" s="12"/>
      <c r="AC267" s="12"/>
      <c r="AD267" s="12"/>
      <c r="AE267" s="12"/>
      <c r="AF267" s="12"/>
      <c r="AG267" s="17"/>
      <c r="AK267" s="56"/>
      <c r="AL267" s="56"/>
      <c r="AM267" s="56"/>
      <c r="AN267" s="56"/>
      <c r="AO267" s="56"/>
      <c r="AP267" s="56"/>
      <c r="AQ267" s="56"/>
      <c r="AR267" s="10"/>
      <c r="AS267" s="82"/>
    </row>
    <row r="268" spans="1:45">
      <c r="A268" s="150" t="s">
        <v>16</v>
      </c>
      <c r="B268" s="9">
        <v>2</v>
      </c>
      <c r="C268" s="126" t="s">
        <v>11</v>
      </c>
      <c r="D268" s="126" t="s">
        <v>11</v>
      </c>
      <c r="E268" s="126" t="s">
        <v>11</v>
      </c>
      <c r="F268" s="126" t="s">
        <v>11</v>
      </c>
      <c r="G268" s="126" t="s">
        <v>11</v>
      </c>
      <c r="H268" s="115" t="s">
        <v>10</v>
      </c>
      <c r="I268" s="115" t="s">
        <v>10</v>
      </c>
      <c r="J268" s="126" t="s">
        <v>11</v>
      </c>
      <c r="K268" s="126" t="s">
        <v>11</v>
      </c>
      <c r="L268" s="126" t="s">
        <v>11</v>
      </c>
      <c r="M268" s="126" t="s">
        <v>11</v>
      </c>
      <c r="N268" s="126" t="s">
        <v>11</v>
      </c>
      <c r="O268" s="115" t="s">
        <v>10</v>
      </c>
      <c r="P268" s="115" t="s">
        <v>10</v>
      </c>
      <c r="Q268" s="115" t="s">
        <v>11</v>
      </c>
      <c r="R268" s="115" t="s">
        <v>11</v>
      </c>
      <c r="S268" s="115" t="s">
        <v>11</v>
      </c>
      <c r="T268" s="115" t="s">
        <v>11</v>
      </c>
      <c r="U268" s="115" t="s">
        <v>11</v>
      </c>
      <c r="V268" s="115" t="s">
        <v>10</v>
      </c>
      <c r="W268" s="115" t="s">
        <v>10</v>
      </c>
      <c r="X268" s="115" t="s">
        <v>11</v>
      </c>
      <c r="Y268" s="115" t="s">
        <v>11</v>
      </c>
      <c r="Z268" s="115" t="s">
        <v>11</v>
      </c>
      <c r="AA268" s="115" t="s">
        <v>11</v>
      </c>
      <c r="AB268" s="115" t="s">
        <v>11</v>
      </c>
      <c r="AC268" s="115" t="s">
        <v>10</v>
      </c>
      <c r="AD268" s="115" t="s">
        <v>10</v>
      </c>
      <c r="AE268" s="115" t="s">
        <v>11</v>
      </c>
      <c r="AF268" s="115"/>
      <c r="AG268" s="17">
        <f>AS268</f>
        <v>22</v>
      </c>
      <c r="AH268">
        <f t="shared" ref="AH268" si="90">COUNTIF($B268:$AF268,4)</f>
        <v>0</v>
      </c>
      <c r="AI268">
        <f t="shared" ref="AI268:AI272" si="91">COUNTIF($B268:$AF268,5)</f>
        <v>0</v>
      </c>
      <c r="AK268" s="56">
        <f>COUNTIF($B268:$AF268,3)</f>
        <v>0</v>
      </c>
      <c r="AL268" s="56">
        <f>COUNTIF($B268:$AF268,1)</f>
        <v>0</v>
      </c>
      <c r="AM268" s="56">
        <f>COUNTIF($B268:$AF268,2)</f>
        <v>1</v>
      </c>
      <c r="AN268" s="56">
        <f>COUNTIF($B268:$AF268,"DO")</f>
        <v>8</v>
      </c>
      <c r="AO268" s="56">
        <f>COUNTIF($B268:$AF268,"R")</f>
        <v>21</v>
      </c>
      <c r="AP268" s="56">
        <f>COUNTIF($B268:$AF268,4)</f>
        <v>0</v>
      </c>
      <c r="AQ268" s="56">
        <f>COUNTIF($B268:$AF268,5)</f>
        <v>0</v>
      </c>
      <c r="AR268" s="10">
        <f>SUM(AK268:AQ268)</f>
        <v>30</v>
      </c>
      <c r="AS268" s="82">
        <f t="shared" ref="AS268" si="92">AQ268+AP268+AO268+AM268+AL268+AK268+((AH268+AI268)/2)</f>
        <v>22</v>
      </c>
    </row>
    <row r="269" spans="1:45">
      <c r="A269" s="151"/>
      <c r="B269" s="29"/>
      <c r="C269" s="29"/>
      <c r="D269" s="29"/>
      <c r="E269" s="29"/>
      <c r="F269" s="30"/>
      <c r="G269" s="29"/>
      <c r="H269" s="99"/>
      <c r="I269" s="94"/>
      <c r="J269" s="94"/>
      <c r="K269" s="94"/>
      <c r="L269" s="94"/>
      <c r="M269" s="94"/>
      <c r="N269" s="94"/>
      <c r="O269" s="94"/>
      <c r="P269" s="94"/>
      <c r="Q269" s="94"/>
      <c r="R269" s="94"/>
      <c r="S269" s="94"/>
      <c r="T269" s="94"/>
      <c r="U269" s="94"/>
      <c r="V269" s="94"/>
      <c r="W269" s="94"/>
      <c r="X269" s="12"/>
      <c r="Y269" s="4"/>
      <c r="Z269" s="12"/>
      <c r="AA269" s="4"/>
      <c r="AB269" s="12"/>
      <c r="AC269" s="12"/>
      <c r="AD269" s="12"/>
      <c r="AE269" s="12"/>
      <c r="AF269" s="12"/>
      <c r="AG269" s="71"/>
      <c r="AK269" s="56"/>
      <c r="AL269" s="56"/>
      <c r="AM269" s="56"/>
      <c r="AN269" s="56"/>
      <c r="AO269" s="56"/>
      <c r="AP269" s="56"/>
      <c r="AQ269" s="56"/>
      <c r="AR269" s="10"/>
      <c r="AS269" s="82"/>
    </row>
    <row r="270" spans="1:45">
      <c r="A270" s="31"/>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c r="AA270" s="132"/>
      <c r="AB270" s="132"/>
      <c r="AC270" s="132"/>
      <c r="AD270" s="132"/>
      <c r="AE270" s="132"/>
      <c r="AF270" s="132"/>
      <c r="AI270">
        <f t="shared" si="91"/>
        <v>0</v>
      </c>
      <c r="AK270" s="56">
        <f>COUNTIF($B270:$AF270,3)</f>
        <v>0</v>
      </c>
      <c r="AL270" s="56">
        <f>COUNTIF($B270:$AF270,1)</f>
        <v>0</v>
      </c>
      <c r="AM270" s="56">
        <f>COUNTIF($B270:$AF270,2)</f>
        <v>0</v>
      </c>
      <c r="AN270" s="56">
        <f>COUNTIF($B270:$AF270,"DO")</f>
        <v>0</v>
      </c>
      <c r="AO270" s="56">
        <f>COUNTIF($B270:$AF270,"R")</f>
        <v>0</v>
      </c>
      <c r="AP270" s="56">
        <f>COUNTIF($B270:$AF270,4)</f>
        <v>0</v>
      </c>
      <c r="AQ270" s="56">
        <f>COUNTIF($B270:$AF270,5)</f>
        <v>0</v>
      </c>
      <c r="AR270" s="10">
        <f t="shared" ref="AR270" si="93">SUM(AK270:AQ270)</f>
        <v>0</v>
      </c>
      <c r="AS270" s="82">
        <f t="shared" ref="AS270" si="94">AQ270+AP270+AO270+AM270+AL270+AK270+((AH270+AI270)/2)</f>
        <v>0</v>
      </c>
    </row>
    <row r="271" spans="1:45">
      <c r="A271" s="135" t="s">
        <v>18</v>
      </c>
      <c r="B271" s="132"/>
      <c r="C271" s="132"/>
      <c r="D271" s="4">
        <v>1</v>
      </c>
      <c r="E271" s="131" t="s">
        <v>17</v>
      </c>
      <c r="F271" s="144" t="s">
        <v>19</v>
      </c>
      <c r="G271" s="144"/>
      <c r="H271" s="132" t="s">
        <v>17</v>
      </c>
      <c r="I271" s="145" t="s">
        <v>20</v>
      </c>
      <c r="J271" s="145"/>
      <c r="K271" s="131"/>
      <c r="L271" s="131"/>
      <c r="M271" s="132" t="s">
        <v>11</v>
      </c>
      <c r="N271" s="132" t="s">
        <v>17</v>
      </c>
      <c r="O271" s="145" t="s">
        <v>20</v>
      </c>
      <c r="P271" s="145"/>
      <c r="Q271" s="131" t="s">
        <v>17</v>
      </c>
      <c r="R271" s="144" t="s">
        <v>21</v>
      </c>
      <c r="S271" s="144"/>
      <c r="T271" s="113"/>
      <c r="U271" s="132"/>
      <c r="V271" s="113"/>
      <c r="W271" s="113"/>
      <c r="X271" s="113"/>
      <c r="Y271" s="113"/>
      <c r="Z271" s="113"/>
      <c r="AA271" s="113"/>
      <c r="AB271" s="113"/>
      <c r="AD271" s="131"/>
      <c r="AE271" s="131"/>
      <c r="AF271" s="131"/>
      <c r="AK271" s="56"/>
      <c r="AL271" s="56"/>
      <c r="AM271" s="56"/>
      <c r="AN271" s="56"/>
      <c r="AO271" s="56"/>
      <c r="AP271" s="56"/>
      <c r="AQ271" s="56"/>
      <c r="AR271" s="10"/>
      <c r="AS271" s="82"/>
    </row>
    <row r="272" spans="1:45">
      <c r="A272" s="135"/>
      <c r="B272" s="132"/>
      <c r="C272" s="132"/>
      <c r="D272" s="4">
        <v>2</v>
      </c>
      <c r="E272" s="131" t="s">
        <v>17</v>
      </c>
      <c r="F272" s="144" t="s">
        <v>20</v>
      </c>
      <c r="G272" s="144"/>
      <c r="H272" s="132" t="s">
        <v>17</v>
      </c>
      <c r="I272" s="145" t="s">
        <v>22</v>
      </c>
      <c r="J272" s="145"/>
      <c r="K272" s="131"/>
      <c r="L272" s="131"/>
      <c r="M272" s="132" t="s">
        <v>10</v>
      </c>
      <c r="N272" s="132" t="s">
        <v>17</v>
      </c>
      <c r="O272" s="145" t="s">
        <v>23</v>
      </c>
      <c r="P272" s="145"/>
      <c r="Q272" s="131"/>
      <c r="R272" s="131"/>
      <c r="S272" s="132"/>
      <c r="T272" s="132"/>
      <c r="U272" s="132"/>
      <c r="V272" s="132"/>
      <c r="W272" s="131"/>
      <c r="X272" s="47"/>
      <c r="Y272" s="132"/>
      <c r="Z272" s="132"/>
      <c r="AA272" s="49"/>
      <c r="AB272" s="132"/>
      <c r="AC272" s="131"/>
      <c r="AD272" s="131"/>
      <c r="AE272" s="131"/>
      <c r="AF272" s="131"/>
      <c r="AI272">
        <f t="shared" si="91"/>
        <v>0</v>
      </c>
      <c r="AK272" s="56">
        <f>COUNTIF($B272:$AF272,3)</f>
        <v>0</v>
      </c>
      <c r="AL272" s="56">
        <f>COUNTIF($B272:$AF272,1)</f>
        <v>0</v>
      </c>
      <c r="AM272" s="56">
        <f>COUNTIF($B272:$AF272,2)</f>
        <v>1</v>
      </c>
      <c r="AN272" s="56">
        <f>COUNTIF($B272:$AF272,"DO")</f>
        <v>1</v>
      </c>
      <c r="AO272" s="56">
        <f>COUNTIF($B272:$AF272,"R")</f>
        <v>0</v>
      </c>
      <c r="AP272" s="56">
        <f>COUNTIF($B272:$AF272,4)</f>
        <v>0</v>
      </c>
      <c r="AQ272" s="56">
        <f>COUNTIF($B272:$AF272,5)</f>
        <v>0</v>
      </c>
      <c r="AR272" s="10">
        <f t="shared" ref="AR272" si="95">SUM(AK272:AQ272)</f>
        <v>2</v>
      </c>
      <c r="AS272" s="82">
        <f t="shared" ref="AS272" si="96">AQ272+AP272+AO272+AM272+AL272+AK272+((AH272+AI272)/2)</f>
        <v>1</v>
      </c>
    </row>
    <row r="273" spans="1:45">
      <c r="A273" s="135"/>
      <c r="B273" s="132"/>
      <c r="C273" s="132"/>
      <c r="D273" s="4">
        <v>3</v>
      </c>
      <c r="E273" s="131" t="s">
        <v>17</v>
      </c>
      <c r="F273" s="144" t="s">
        <v>22</v>
      </c>
      <c r="G273" s="144"/>
      <c r="H273" s="132" t="s">
        <v>17</v>
      </c>
      <c r="I273" s="145" t="s">
        <v>24</v>
      </c>
      <c r="J273" s="145"/>
      <c r="K273" s="131"/>
      <c r="L273" s="131"/>
      <c r="M273" s="108" t="s">
        <v>11</v>
      </c>
      <c r="N273" s="131" t="s">
        <v>17</v>
      </c>
      <c r="O273" s="144" t="s">
        <v>20</v>
      </c>
      <c r="P273" s="144"/>
      <c r="Q273" s="131" t="s">
        <v>17</v>
      </c>
      <c r="R273" s="145" t="s">
        <v>22</v>
      </c>
      <c r="S273" s="145"/>
      <c r="T273" s="132"/>
      <c r="U273" s="132"/>
      <c r="V273" s="132"/>
      <c r="W273" s="131"/>
      <c r="X273" s="48"/>
      <c r="Y273" s="132"/>
      <c r="Z273" s="132"/>
      <c r="AA273" s="49"/>
      <c r="AB273" s="132"/>
      <c r="AC273" s="131"/>
      <c r="AD273" s="131"/>
      <c r="AE273" s="131"/>
      <c r="AF273" s="131"/>
      <c r="AK273" s="56"/>
      <c r="AL273" s="56"/>
      <c r="AM273" s="56"/>
      <c r="AN273" s="56"/>
      <c r="AO273" s="56"/>
      <c r="AP273" s="56"/>
      <c r="AQ273" s="56"/>
      <c r="AR273" s="10"/>
      <c r="AS273" s="82"/>
    </row>
    <row r="274" spans="1:45">
      <c r="A274" s="135"/>
      <c r="B274" s="132"/>
      <c r="C274" s="132"/>
      <c r="D274" s="119">
        <v>4</v>
      </c>
      <c r="E274" s="131"/>
      <c r="F274" s="144" t="s">
        <v>95</v>
      </c>
      <c r="G274" s="144"/>
      <c r="H274" s="132" t="s">
        <v>17</v>
      </c>
      <c r="I274" s="145" t="s">
        <v>96</v>
      </c>
      <c r="J274" s="145"/>
      <c r="K274" s="131"/>
      <c r="L274" s="131"/>
      <c r="M274" s="132"/>
      <c r="N274" s="132"/>
      <c r="O274" s="132"/>
      <c r="P274" s="132"/>
      <c r="Q274" s="131"/>
      <c r="R274" s="131"/>
      <c r="S274" s="132"/>
      <c r="T274" s="132"/>
      <c r="U274" s="132"/>
      <c r="V274" s="132"/>
      <c r="W274" s="131"/>
      <c r="X274" s="47"/>
      <c r="Y274" s="132"/>
      <c r="Z274" s="132"/>
      <c r="AA274" s="50"/>
      <c r="AB274" s="132"/>
      <c r="AC274" s="131"/>
      <c r="AD274" s="131"/>
      <c r="AE274" s="131"/>
      <c r="AF274" s="131"/>
    </row>
    <row r="275" spans="1:45">
      <c r="A275" s="135"/>
      <c r="B275" s="132"/>
      <c r="C275" s="131"/>
      <c r="D275" s="131"/>
      <c r="E275" s="132"/>
      <c r="F275" s="132"/>
      <c r="G275" s="131"/>
      <c r="H275" s="132"/>
      <c r="I275" s="132"/>
      <c r="J275" s="132"/>
      <c r="K275" s="131"/>
      <c r="L275" s="131"/>
      <c r="M275" s="132"/>
      <c r="N275" s="132"/>
      <c r="O275" s="132"/>
      <c r="P275" s="132"/>
      <c r="Q275" s="131"/>
      <c r="R275" s="131"/>
      <c r="S275" s="132"/>
      <c r="T275" s="132"/>
      <c r="U275" s="132"/>
      <c r="V275" s="132"/>
      <c r="W275" s="131"/>
      <c r="X275" s="47"/>
      <c r="Y275" s="132"/>
      <c r="Z275" s="132"/>
      <c r="AA275" s="50"/>
      <c r="AB275" s="132"/>
      <c r="AC275" s="131"/>
      <c r="AD275" s="131"/>
      <c r="AE275" s="131"/>
      <c r="AF275" s="131"/>
    </row>
    <row r="276" spans="1:45">
      <c r="A276" s="135" t="s">
        <v>25</v>
      </c>
      <c r="B276" s="132"/>
      <c r="C276" s="132"/>
      <c r="D276" s="132"/>
      <c r="E276" s="131"/>
      <c r="F276" s="131"/>
      <c r="G276" s="131"/>
      <c r="H276" s="85"/>
      <c r="I276" s="135"/>
      <c r="J276" s="132"/>
      <c r="M276" s="131"/>
      <c r="N276" s="85" t="s">
        <v>26</v>
      </c>
      <c r="O276" s="138"/>
      <c r="P276" s="137"/>
      <c r="Q276" s="131"/>
      <c r="R276" s="131"/>
      <c r="S276" s="132"/>
      <c r="T276" s="24"/>
      <c r="U276" s="24"/>
      <c r="V276" s="24"/>
      <c r="W276" s="24"/>
      <c r="X276" s="24"/>
      <c r="Y276" s="85" t="s">
        <v>27</v>
      </c>
      <c r="Z276" s="132"/>
      <c r="AA276" s="132"/>
      <c r="AB276" s="132"/>
      <c r="AC276" s="131"/>
      <c r="AD276" s="131"/>
      <c r="AE276" s="131"/>
      <c r="AF276" s="131"/>
    </row>
    <row r="277" spans="1:45">
      <c r="L277" s="25"/>
      <c r="M277" s="25"/>
      <c r="N277" s="25"/>
      <c r="O277" s="25"/>
      <c r="P277" s="25"/>
      <c r="Q277" s="25"/>
      <c r="X277" s="25"/>
      <c r="Y277" s="25"/>
      <c r="Z277" s="25"/>
      <c r="AA277" s="25"/>
      <c r="AB277" s="25"/>
      <c r="AC277" s="25"/>
    </row>
    <row r="278" spans="1:45">
      <c r="B278" s="146" t="s">
        <v>46</v>
      </c>
      <c r="C278" s="146"/>
      <c r="D278" s="146"/>
      <c r="E278" s="146"/>
      <c r="F278" s="146"/>
      <c r="H278" s="25"/>
      <c r="O278" s="116"/>
      <c r="P278" s="116"/>
      <c r="Q278" s="146" t="s">
        <v>28</v>
      </c>
      <c r="R278" s="146"/>
      <c r="S278" s="146"/>
      <c r="T278" s="146"/>
      <c r="U278" s="146"/>
      <c r="AA278" s="146" t="s">
        <v>35</v>
      </c>
      <c r="AB278" s="146"/>
      <c r="AC278" s="146"/>
      <c r="AD278" s="146"/>
      <c r="AE278" s="146"/>
      <c r="AF278" s="146"/>
    </row>
    <row r="279" spans="1:45">
      <c r="B279" s="148" t="s">
        <v>81</v>
      </c>
      <c r="C279" s="148"/>
      <c r="D279" s="148"/>
      <c r="E279" s="148"/>
      <c r="F279" s="148"/>
      <c r="J279" s="147"/>
      <c r="K279" s="147"/>
      <c r="L279" s="147"/>
      <c r="M279" s="147"/>
      <c r="N279" s="136"/>
      <c r="O279" s="136"/>
      <c r="P279" s="136"/>
      <c r="Q279" s="147" t="s">
        <v>83</v>
      </c>
      <c r="R279" s="147"/>
      <c r="S279" s="147"/>
      <c r="T279" s="147"/>
      <c r="U279" s="147"/>
      <c r="AA279" s="148" t="s">
        <v>47</v>
      </c>
      <c r="AB279" s="148"/>
      <c r="AC279" s="148"/>
      <c r="AD279" s="148"/>
      <c r="AE279" s="148"/>
      <c r="AF279" s="148"/>
    </row>
    <row r="280" spans="1:45">
      <c r="B280" s="130"/>
      <c r="C280" s="130"/>
      <c r="D280" s="130"/>
      <c r="E280" s="130"/>
      <c r="F280" s="130"/>
      <c r="G280" s="130"/>
      <c r="N280" s="130"/>
      <c r="O280" s="130"/>
      <c r="P280" s="130"/>
      <c r="Q280" s="130"/>
      <c r="R280" s="130"/>
      <c r="S280" s="130"/>
      <c r="T280" s="130"/>
      <c r="AA280" s="130"/>
      <c r="AB280" s="130"/>
      <c r="AC280" s="130"/>
      <c r="AD280" s="130"/>
      <c r="AE280" s="130"/>
      <c r="AF280" s="130"/>
    </row>
    <row r="281" spans="1:45">
      <c r="B281" s="130"/>
      <c r="C281" s="130"/>
      <c r="D281" s="130"/>
      <c r="E281" s="130"/>
      <c r="F281" s="130"/>
      <c r="G281" s="130"/>
      <c r="N281" s="130"/>
      <c r="O281" s="130"/>
      <c r="P281" s="130"/>
      <c r="Q281" s="130"/>
      <c r="R281" s="130"/>
      <c r="S281" s="130"/>
      <c r="T281" s="130"/>
      <c r="AA281" s="130"/>
      <c r="AB281" s="130"/>
      <c r="AC281" s="130"/>
      <c r="AD281" s="130"/>
      <c r="AE281" s="130"/>
      <c r="AF281" s="130"/>
    </row>
    <row r="282" spans="1:45">
      <c r="B282" s="130"/>
      <c r="C282" s="130"/>
      <c r="D282" s="130"/>
      <c r="E282" s="130"/>
      <c r="F282" s="130"/>
      <c r="G282" s="130"/>
      <c r="N282" s="130"/>
      <c r="O282" s="130"/>
      <c r="P282" s="130"/>
      <c r="Q282" s="130"/>
      <c r="R282" s="130"/>
      <c r="S282" s="130"/>
      <c r="T282" s="130"/>
      <c r="AA282" s="130"/>
      <c r="AB282" s="130"/>
      <c r="AC282" s="130"/>
      <c r="AD282" s="130"/>
      <c r="AE282" s="130"/>
      <c r="AF282" s="130"/>
    </row>
    <row r="283" spans="1:45">
      <c r="B283" s="130"/>
      <c r="C283" s="130"/>
      <c r="D283" s="130"/>
      <c r="E283" s="130"/>
      <c r="F283" s="130"/>
      <c r="G283" s="130"/>
      <c r="N283" s="130"/>
      <c r="O283" s="130"/>
      <c r="P283" s="130"/>
      <c r="Q283" s="130"/>
      <c r="R283" s="130"/>
      <c r="S283" s="130"/>
      <c r="T283" s="130"/>
      <c r="AA283" s="130"/>
      <c r="AB283" s="130"/>
      <c r="AC283" s="130"/>
      <c r="AD283" s="130"/>
      <c r="AE283" s="130"/>
      <c r="AF283" s="130"/>
    </row>
    <row r="284" spans="1:45">
      <c r="B284" s="130"/>
      <c r="C284" s="130"/>
      <c r="D284" s="130"/>
      <c r="E284" s="130"/>
      <c r="F284" s="130"/>
      <c r="G284" s="130"/>
      <c r="N284" s="130"/>
      <c r="O284" s="130"/>
      <c r="P284" s="130"/>
      <c r="Q284" s="130"/>
      <c r="R284" s="130"/>
      <c r="S284" s="130"/>
      <c r="T284" s="130"/>
      <c r="AA284" s="130"/>
      <c r="AB284" s="130"/>
      <c r="AC284" s="130"/>
      <c r="AD284" s="130"/>
      <c r="AE284" s="130"/>
      <c r="AF284" s="130"/>
    </row>
    <row r="285" spans="1:45">
      <c r="B285" s="130"/>
      <c r="C285" s="130"/>
      <c r="D285" s="130"/>
      <c r="E285" s="130"/>
      <c r="F285" s="130"/>
      <c r="G285" s="130"/>
      <c r="N285" s="130"/>
      <c r="O285" s="130"/>
      <c r="P285" s="130"/>
      <c r="Q285" s="130"/>
      <c r="R285" s="130"/>
      <c r="S285" s="130"/>
      <c r="T285" s="130"/>
      <c r="AA285" s="130"/>
      <c r="AB285" s="130"/>
      <c r="AC285" s="130"/>
      <c r="AD285" s="130"/>
      <c r="AE285" s="130"/>
      <c r="AF285" s="130"/>
    </row>
    <row r="286" spans="1:45">
      <c r="B286" s="130"/>
      <c r="C286" s="130"/>
      <c r="D286" s="130"/>
      <c r="E286" s="130"/>
      <c r="F286" s="130"/>
      <c r="G286" s="130"/>
      <c r="N286" s="130"/>
      <c r="O286" s="130"/>
      <c r="P286" s="130"/>
      <c r="Q286" s="130"/>
      <c r="R286" s="130"/>
      <c r="S286" s="130"/>
      <c r="T286" s="130"/>
      <c r="AA286" s="130"/>
      <c r="AB286" s="130"/>
      <c r="AC286" s="130"/>
      <c r="AD286" s="130"/>
      <c r="AE286" s="130"/>
      <c r="AF286" s="130"/>
    </row>
    <row r="287" spans="1:45">
      <c r="B287" s="130"/>
      <c r="C287" s="130"/>
      <c r="D287" s="130"/>
      <c r="E287" s="130"/>
      <c r="F287" s="130"/>
      <c r="G287" s="130"/>
      <c r="N287" s="130"/>
      <c r="O287" s="130"/>
      <c r="P287" s="130"/>
      <c r="Q287" s="130"/>
      <c r="R287" s="130"/>
      <c r="S287" s="130"/>
      <c r="T287" s="130"/>
      <c r="AA287" s="130"/>
      <c r="AB287" s="130"/>
      <c r="AC287" s="130"/>
      <c r="AD287" s="130"/>
      <c r="AE287" s="130"/>
      <c r="AF287" s="130"/>
    </row>
    <row r="288" spans="1:45">
      <c r="B288" s="130"/>
      <c r="C288" s="130"/>
      <c r="D288" s="130"/>
      <c r="E288" s="130"/>
      <c r="F288" s="130"/>
      <c r="G288" s="130"/>
      <c r="N288" s="130"/>
      <c r="O288" s="130"/>
      <c r="P288" s="130"/>
      <c r="Q288" s="130"/>
      <c r="R288" s="130"/>
      <c r="S288" s="130"/>
      <c r="T288" s="130"/>
      <c r="AA288" s="130"/>
      <c r="AB288" s="130"/>
      <c r="AC288" s="130"/>
      <c r="AD288" s="130"/>
      <c r="AE288" s="130"/>
      <c r="AF288" s="130"/>
    </row>
    <row r="289" spans="1:45">
      <c r="B289" s="54"/>
      <c r="C289" s="54"/>
      <c r="D289" s="54"/>
      <c r="E289" s="54"/>
      <c r="F289" s="54"/>
      <c r="G289" s="54"/>
      <c r="N289" s="54"/>
      <c r="O289" s="54"/>
      <c r="P289" s="54"/>
      <c r="Q289" s="54"/>
      <c r="R289" s="54"/>
      <c r="S289" s="54"/>
      <c r="T289" s="54"/>
      <c r="AA289" s="54"/>
      <c r="AB289" s="54"/>
      <c r="AC289" s="54"/>
      <c r="AD289" s="54"/>
      <c r="AE289" s="54"/>
      <c r="AF289" s="54"/>
    </row>
    <row r="291" spans="1:45" ht="18.75">
      <c r="A291" s="149" t="s">
        <v>82</v>
      </c>
      <c r="B291" s="149"/>
      <c r="C291" s="149"/>
      <c r="D291" s="149"/>
      <c r="E291" s="149"/>
      <c r="F291" s="149"/>
      <c r="G291" s="149"/>
      <c r="H291" s="149"/>
      <c r="I291" s="149"/>
      <c r="J291" s="149"/>
      <c r="K291" s="149"/>
      <c r="L291" s="149"/>
      <c r="M291" s="149"/>
      <c r="N291" s="149"/>
      <c r="O291" s="149"/>
      <c r="P291" s="149"/>
      <c r="Q291" s="149"/>
      <c r="R291" s="149"/>
      <c r="S291" s="149"/>
      <c r="T291" s="149"/>
      <c r="U291" s="149"/>
      <c r="V291" s="149"/>
      <c r="W291" s="149"/>
      <c r="X291" s="149"/>
      <c r="Y291" s="149"/>
      <c r="Z291" s="149"/>
      <c r="AA291" s="149"/>
      <c r="AB291" s="149"/>
      <c r="AC291" s="149"/>
      <c r="AD291" s="149"/>
      <c r="AE291" s="149"/>
      <c r="AF291" s="149"/>
      <c r="AG291" s="149"/>
    </row>
    <row r="292" spans="1:45">
      <c r="A292" s="1" t="s">
        <v>1</v>
      </c>
      <c r="B292" s="2" t="s">
        <v>7</v>
      </c>
      <c r="C292" s="2" t="s">
        <v>8</v>
      </c>
      <c r="D292" s="2" t="s">
        <v>2</v>
      </c>
      <c r="E292" s="2" t="s">
        <v>3</v>
      </c>
      <c r="F292" s="2" t="s">
        <v>4</v>
      </c>
      <c r="G292" s="127" t="s">
        <v>5</v>
      </c>
      <c r="H292" s="127" t="s">
        <v>6</v>
      </c>
      <c r="I292" s="2" t="s">
        <v>7</v>
      </c>
      <c r="J292" s="2" t="s">
        <v>8</v>
      </c>
      <c r="K292" s="2" t="s">
        <v>2</v>
      </c>
      <c r="L292" s="2" t="s">
        <v>3</v>
      </c>
      <c r="M292" s="2" t="s">
        <v>4</v>
      </c>
      <c r="N292" s="127" t="s">
        <v>5</v>
      </c>
      <c r="O292" s="127" t="s">
        <v>6</v>
      </c>
      <c r="P292" s="2" t="s">
        <v>7</v>
      </c>
      <c r="Q292" s="2" t="s">
        <v>8</v>
      </c>
      <c r="R292" s="2" t="s">
        <v>2</v>
      </c>
      <c r="S292" s="2" t="s">
        <v>3</v>
      </c>
      <c r="T292" s="2" t="s">
        <v>4</v>
      </c>
      <c r="U292" s="127" t="s">
        <v>5</v>
      </c>
      <c r="V292" s="127" t="s">
        <v>6</v>
      </c>
      <c r="W292" s="2" t="s">
        <v>7</v>
      </c>
      <c r="X292" s="2" t="s">
        <v>8</v>
      </c>
      <c r="Y292" s="2" t="s">
        <v>2</v>
      </c>
      <c r="Z292" s="2" t="s">
        <v>3</v>
      </c>
      <c r="AA292" s="2" t="s">
        <v>4</v>
      </c>
      <c r="AB292" s="127" t="s">
        <v>5</v>
      </c>
      <c r="AC292" s="127" t="s">
        <v>6</v>
      </c>
      <c r="AD292" s="2" t="s">
        <v>7</v>
      </c>
      <c r="AE292" s="2" t="s">
        <v>8</v>
      </c>
      <c r="AF292" s="2" t="s">
        <v>2</v>
      </c>
      <c r="AG292" s="26"/>
    </row>
    <row r="293" spans="1:45">
      <c r="A293" s="3" t="s">
        <v>9</v>
      </c>
      <c r="B293" s="15">
        <v>1</v>
      </c>
      <c r="C293" s="4">
        <v>2</v>
      </c>
      <c r="D293" s="4">
        <v>3</v>
      </c>
      <c r="E293" s="8">
        <v>4</v>
      </c>
      <c r="F293" s="8">
        <v>5</v>
      </c>
      <c r="G293" s="4">
        <v>6</v>
      </c>
      <c r="H293" s="4">
        <v>7</v>
      </c>
      <c r="I293" s="4">
        <v>8</v>
      </c>
      <c r="J293" s="4">
        <v>9</v>
      </c>
      <c r="K293" s="4">
        <v>10</v>
      </c>
      <c r="L293" s="4">
        <v>11</v>
      </c>
      <c r="M293" s="4">
        <v>12</v>
      </c>
      <c r="N293" s="4">
        <v>13</v>
      </c>
      <c r="O293" s="4">
        <v>14</v>
      </c>
      <c r="P293" s="4">
        <v>15</v>
      </c>
      <c r="Q293" s="4">
        <v>16</v>
      </c>
      <c r="R293" s="4">
        <v>17</v>
      </c>
      <c r="S293" s="4">
        <v>18</v>
      </c>
      <c r="T293" s="4">
        <v>19</v>
      </c>
      <c r="U293" s="4">
        <v>20</v>
      </c>
      <c r="V293" s="4">
        <v>21</v>
      </c>
      <c r="W293" s="4">
        <v>22</v>
      </c>
      <c r="X293" s="4">
        <v>23</v>
      </c>
      <c r="Y293" s="4">
        <v>24</v>
      </c>
      <c r="Z293" s="4">
        <v>25</v>
      </c>
      <c r="AA293" s="4">
        <v>26</v>
      </c>
      <c r="AB293" s="4">
        <v>27</v>
      </c>
      <c r="AC293" s="4">
        <v>28</v>
      </c>
      <c r="AD293" s="4">
        <v>29</v>
      </c>
      <c r="AE293" s="4">
        <v>30</v>
      </c>
      <c r="AF293" s="4">
        <v>31</v>
      </c>
      <c r="AG293" s="27"/>
      <c r="AJ293" s="56"/>
      <c r="AK293" s="56">
        <v>3</v>
      </c>
      <c r="AL293" s="56">
        <v>1</v>
      </c>
      <c r="AM293" s="56">
        <v>2</v>
      </c>
      <c r="AN293" s="56" t="s">
        <v>10</v>
      </c>
      <c r="AO293" s="56" t="s">
        <v>11</v>
      </c>
      <c r="AP293" s="56">
        <v>4</v>
      </c>
      <c r="AQ293" s="56">
        <v>5</v>
      </c>
    </row>
    <row r="294" spans="1:45">
      <c r="A294" s="150" t="s">
        <v>71</v>
      </c>
      <c r="B294" s="30" t="s">
        <v>11</v>
      </c>
      <c r="C294" s="30" t="s">
        <v>11</v>
      </c>
      <c r="D294" s="30" t="s">
        <v>11</v>
      </c>
      <c r="E294" s="30" t="s">
        <v>11</v>
      </c>
      <c r="F294" s="30" t="s">
        <v>11</v>
      </c>
      <c r="G294" s="8" t="s">
        <v>10</v>
      </c>
      <c r="H294" s="8" t="s">
        <v>10</v>
      </c>
      <c r="I294" s="115" t="s">
        <v>11</v>
      </c>
      <c r="J294" s="115" t="s">
        <v>11</v>
      </c>
      <c r="K294" s="115" t="s">
        <v>11</v>
      </c>
      <c r="L294" s="115" t="s">
        <v>11</v>
      </c>
      <c r="M294" s="115" t="s">
        <v>11</v>
      </c>
      <c r="N294" s="115">
        <v>3</v>
      </c>
      <c r="O294" s="115">
        <v>1</v>
      </c>
      <c r="P294" s="8" t="s">
        <v>11</v>
      </c>
      <c r="Q294" s="8" t="s">
        <v>11</v>
      </c>
      <c r="R294" s="8" t="s">
        <v>11</v>
      </c>
      <c r="S294" s="8" t="s">
        <v>11</v>
      </c>
      <c r="T294" s="8" t="s">
        <v>11</v>
      </c>
      <c r="U294" s="8" t="s">
        <v>10</v>
      </c>
      <c r="V294" s="8" t="s">
        <v>10</v>
      </c>
      <c r="W294" s="8" t="s">
        <v>11</v>
      </c>
      <c r="X294" s="8" t="s">
        <v>11</v>
      </c>
      <c r="Y294" s="8" t="s">
        <v>11</v>
      </c>
      <c r="Z294" s="8" t="s">
        <v>11</v>
      </c>
      <c r="AA294" s="8" t="s">
        <v>11</v>
      </c>
      <c r="AB294" s="8">
        <v>3</v>
      </c>
      <c r="AC294" s="8">
        <v>1</v>
      </c>
      <c r="AD294" s="8" t="s">
        <v>11</v>
      </c>
      <c r="AE294" s="8" t="s">
        <v>11</v>
      </c>
      <c r="AF294" s="8" t="s">
        <v>11</v>
      </c>
      <c r="AG294" s="17">
        <f>AS294</f>
        <v>27</v>
      </c>
      <c r="AH294">
        <f>COUNTIF($B294:$AF294,4)</f>
        <v>0</v>
      </c>
      <c r="AI294">
        <f>COUNTIF($B294:$AF294,5)</f>
        <v>0</v>
      </c>
      <c r="AK294" s="56">
        <f>COUNTIF($B294:$AF294,3)</f>
        <v>2</v>
      </c>
      <c r="AL294" s="56">
        <f>COUNTIF($B294:$AF294,1)</f>
        <v>2</v>
      </c>
      <c r="AM294" s="56">
        <f>COUNTIF($B294:$AF294,2)</f>
        <v>0</v>
      </c>
      <c r="AN294" s="56">
        <f>COUNTIF($B294:$AF294,"DO")</f>
        <v>4</v>
      </c>
      <c r="AO294" s="56">
        <f>COUNTIF($B294:$AF294,"R")</f>
        <v>23</v>
      </c>
      <c r="AP294" s="56">
        <f>COUNTIF($B294:$AF294,4)</f>
        <v>0</v>
      </c>
      <c r="AQ294" s="56">
        <f>COUNTIF($B294:$AF294,5)</f>
        <v>0</v>
      </c>
      <c r="AR294" s="10">
        <f t="shared" ref="AR294" si="97">SUM(AK294:AQ294)</f>
        <v>31</v>
      </c>
      <c r="AS294" s="82">
        <f>AQ294+AP294+AO294+AM294+AL294+AK294+((AH294+AI294)/2)</f>
        <v>27</v>
      </c>
    </row>
    <row r="295" spans="1:45">
      <c r="A295" s="151"/>
      <c r="B295" s="11"/>
      <c r="C295" s="12"/>
      <c r="D295" s="12"/>
      <c r="E295" s="12"/>
      <c r="F295" s="11"/>
      <c r="G295" s="12"/>
      <c r="H295" s="12"/>
      <c r="I295" s="12"/>
      <c r="J295" s="95"/>
      <c r="K295" s="96"/>
      <c r="L295" s="96"/>
      <c r="M295" s="97"/>
      <c r="N295" s="11"/>
      <c r="O295" s="12"/>
      <c r="P295" s="12"/>
      <c r="Q295" s="12"/>
      <c r="R295" s="11"/>
      <c r="S295" s="12"/>
      <c r="T295" s="12"/>
      <c r="U295" s="12"/>
      <c r="V295" s="11"/>
      <c r="W295" s="12"/>
      <c r="X295" s="12"/>
      <c r="Y295" s="12"/>
      <c r="Z295" s="11"/>
      <c r="AA295" s="12"/>
      <c r="AB295" s="12"/>
      <c r="AC295" s="12"/>
      <c r="AD295" s="12"/>
      <c r="AE295" s="12"/>
      <c r="AF295" s="12"/>
      <c r="AG295" s="17"/>
      <c r="AK295" s="56"/>
      <c r="AL295" s="56"/>
      <c r="AM295" s="56"/>
      <c r="AN295" s="56"/>
      <c r="AO295" s="56"/>
      <c r="AP295" s="56"/>
      <c r="AQ295" s="56"/>
      <c r="AR295" s="10"/>
      <c r="AS295" s="82"/>
    </row>
    <row r="296" spans="1:45">
      <c r="A296" s="150" t="s">
        <v>72</v>
      </c>
      <c r="B296" s="120">
        <v>4</v>
      </c>
      <c r="C296" s="120">
        <v>4</v>
      </c>
      <c r="D296" s="120">
        <v>4</v>
      </c>
      <c r="E296" s="120">
        <v>4</v>
      </c>
      <c r="F296" s="120">
        <v>4</v>
      </c>
      <c r="G296" s="128" t="s">
        <v>10</v>
      </c>
      <c r="H296" s="128" t="s">
        <v>10</v>
      </c>
      <c r="I296" s="120">
        <v>4</v>
      </c>
      <c r="J296" s="120">
        <v>4</v>
      </c>
      <c r="K296" s="120">
        <v>4</v>
      </c>
      <c r="L296" s="120">
        <v>4</v>
      </c>
      <c r="M296" s="120">
        <v>4</v>
      </c>
      <c r="N296" s="128" t="s">
        <v>10</v>
      </c>
      <c r="O296" s="128" t="s">
        <v>10</v>
      </c>
      <c r="P296" s="120">
        <v>4</v>
      </c>
      <c r="Q296" s="120">
        <v>4</v>
      </c>
      <c r="R296" s="120">
        <v>4</v>
      </c>
      <c r="S296" s="120">
        <v>4</v>
      </c>
      <c r="T296" s="120">
        <v>4</v>
      </c>
      <c r="U296" s="128" t="s">
        <v>10</v>
      </c>
      <c r="V296" s="128" t="s">
        <v>10</v>
      </c>
      <c r="W296" s="120">
        <v>4</v>
      </c>
      <c r="X296" s="120">
        <v>4</v>
      </c>
      <c r="Y296" s="120">
        <v>4</v>
      </c>
      <c r="Z296" s="120">
        <v>4</v>
      </c>
      <c r="AA296" s="120">
        <v>4</v>
      </c>
      <c r="AB296" s="128" t="s">
        <v>10</v>
      </c>
      <c r="AC296" s="128" t="s">
        <v>10</v>
      </c>
      <c r="AD296" s="120">
        <v>4</v>
      </c>
      <c r="AE296" s="120">
        <v>4</v>
      </c>
      <c r="AF296" s="120">
        <v>4</v>
      </c>
      <c r="AG296" s="129">
        <f>AS296</f>
        <v>23</v>
      </c>
      <c r="AH296">
        <v>0</v>
      </c>
      <c r="AI296">
        <f t="shared" ref="AI296:AI304" si="98">COUNTIF($B296:$AF296,5)</f>
        <v>0</v>
      </c>
      <c r="AK296" s="56">
        <f>COUNTIF($B296:$AF296,3)</f>
        <v>0</v>
      </c>
      <c r="AL296" s="56">
        <f>COUNTIF($B296:$AF296,1)</f>
        <v>0</v>
      </c>
      <c r="AM296" s="56">
        <f>COUNTIF($B296:$AF296,2)</f>
        <v>0</v>
      </c>
      <c r="AN296" s="56">
        <f>COUNTIF($B296:$AF296,"DO")</f>
        <v>8</v>
      </c>
      <c r="AO296" s="56">
        <f>COUNTIF($B296:$AF296,"R")</f>
        <v>0</v>
      </c>
      <c r="AP296" s="56">
        <f>COUNTIF($B296:$AF296,4)</f>
        <v>23</v>
      </c>
      <c r="AQ296" s="56">
        <f>COUNTIF($B296:$AF296,5)</f>
        <v>0</v>
      </c>
      <c r="AR296" s="10">
        <f>SUM(AK296:AQ296)</f>
        <v>31</v>
      </c>
      <c r="AS296" s="82">
        <f>AQ296+AP296+AO296+AM296+AL296+AK296+((AH296+AI296)/2)</f>
        <v>23</v>
      </c>
    </row>
    <row r="297" spans="1:45">
      <c r="A297" s="151"/>
      <c r="B297" s="4"/>
      <c r="C297" s="12"/>
      <c r="D297" s="33"/>
      <c r="E297" s="12"/>
      <c r="F297" s="12"/>
      <c r="G297" s="12"/>
      <c r="H297" s="28"/>
      <c r="I297" s="12"/>
      <c r="J297" s="28"/>
      <c r="K297" s="12"/>
      <c r="L297" s="12"/>
      <c r="M297" s="12"/>
      <c r="N297" s="4"/>
      <c r="O297" s="12"/>
      <c r="P297" s="12"/>
      <c r="Q297" s="12"/>
      <c r="R297" s="12"/>
      <c r="S297" s="12"/>
      <c r="T297" s="4"/>
      <c r="U297" s="12"/>
      <c r="V297" s="12"/>
      <c r="W297" s="12"/>
      <c r="X297" s="12"/>
      <c r="Y297" s="12"/>
      <c r="Z297" s="4"/>
      <c r="AA297" s="12"/>
      <c r="AB297" s="12"/>
      <c r="AC297" s="12"/>
      <c r="AD297" s="34"/>
      <c r="AE297" s="12"/>
      <c r="AF297" s="12"/>
      <c r="AG297" s="17"/>
      <c r="AK297" s="56"/>
      <c r="AL297" s="56"/>
      <c r="AM297" s="56"/>
      <c r="AN297" s="56"/>
      <c r="AO297" s="56"/>
      <c r="AP297" s="56"/>
      <c r="AQ297" s="56"/>
      <c r="AR297" s="10"/>
      <c r="AS297" s="82"/>
    </row>
    <row r="298" spans="1:45">
      <c r="A298" s="150" t="s">
        <v>73</v>
      </c>
      <c r="B298" s="4" t="s">
        <v>11</v>
      </c>
      <c r="C298" s="12" t="s">
        <v>11</v>
      </c>
      <c r="D298" s="8" t="s">
        <v>11</v>
      </c>
      <c r="E298" s="8" t="s">
        <v>11</v>
      </c>
      <c r="F298" s="8" t="s">
        <v>11</v>
      </c>
      <c r="G298" s="12">
        <v>3</v>
      </c>
      <c r="H298" s="8">
        <v>1</v>
      </c>
      <c r="I298" s="12" t="s">
        <v>11</v>
      </c>
      <c r="J298" s="8" t="s">
        <v>11</v>
      </c>
      <c r="K298" s="8" t="s">
        <v>11</v>
      </c>
      <c r="L298" s="8" t="s">
        <v>11</v>
      </c>
      <c r="M298" s="8" t="s">
        <v>11</v>
      </c>
      <c r="N298" s="8" t="s">
        <v>10</v>
      </c>
      <c r="O298" s="8" t="s">
        <v>10</v>
      </c>
      <c r="P298" s="12" t="s">
        <v>11</v>
      </c>
      <c r="Q298" s="12" t="s">
        <v>11</v>
      </c>
      <c r="R298" s="8" t="s">
        <v>11</v>
      </c>
      <c r="S298" s="8" t="s">
        <v>11</v>
      </c>
      <c r="T298" s="8" t="s">
        <v>11</v>
      </c>
      <c r="U298" s="12">
        <v>3</v>
      </c>
      <c r="V298" s="12">
        <v>1</v>
      </c>
      <c r="W298" s="12" t="s">
        <v>11</v>
      </c>
      <c r="X298" s="12" t="s">
        <v>11</v>
      </c>
      <c r="Y298" s="8" t="s">
        <v>11</v>
      </c>
      <c r="Z298" s="8" t="s">
        <v>11</v>
      </c>
      <c r="AA298" s="8" t="s">
        <v>11</v>
      </c>
      <c r="AB298" s="8" t="s">
        <v>10</v>
      </c>
      <c r="AC298" s="8" t="s">
        <v>10</v>
      </c>
      <c r="AD298" s="98" t="s">
        <v>11</v>
      </c>
      <c r="AE298" s="12" t="s">
        <v>11</v>
      </c>
      <c r="AF298" s="12" t="s">
        <v>11</v>
      </c>
      <c r="AG298" s="17">
        <f>AS298</f>
        <v>27</v>
      </c>
      <c r="AH298">
        <v>0</v>
      </c>
      <c r="AK298" s="56">
        <f>COUNTIF($B298:$AF298,3)</f>
        <v>2</v>
      </c>
      <c r="AL298" s="56">
        <f>COUNTIF($B298:$AF298,1)</f>
        <v>2</v>
      </c>
      <c r="AM298" s="56">
        <f>COUNTIF($B298:$AF298,2)</f>
        <v>0</v>
      </c>
      <c r="AN298" s="56">
        <f>COUNTIF($B298:$AF298,"DO")</f>
        <v>4</v>
      </c>
      <c r="AO298" s="56">
        <f>COUNTIF($B298:$AF298,"R")</f>
        <v>23</v>
      </c>
      <c r="AP298" s="56">
        <f>COUNTIF($B298:$AF298,4)</f>
        <v>0</v>
      </c>
      <c r="AQ298" s="56">
        <f>COUNTIF($B298:$AF298,5)</f>
        <v>0</v>
      </c>
      <c r="AR298" s="10">
        <f t="shared" ref="AR298" si="99">SUM(AK298:AQ298)</f>
        <v>31</v>
      </c>
      <c r="AS298" s="82">
        <f t="shared" ref="AS298" si="100">AQ298+AP298+AO298+AM298+AL298+AK298+((AH298+AI298)/2)</f>
        <v>27</v>
      </c>
    </row>
    <row r="299" spans="1:45">
      <c r="A299" s="151"/>
      <c r="B299" s="32"/>
      <c r="C299" s="33"/>
      <c r="D299" s="33"/>
      <c r="E299" s="12"/>
      <c r="F299" s="12"/>
      <c r="G299" s="12"/>
      <c r="H299" s="28"/>
      <c r="I299" s="12"/>
      <c r="J299" s="28"/>
      <c r="K299" s="12"/>
      <c r="L299" s="12"/>
      <c r="M299" s="12"/>
      <c r="N299" s="4"/>
      <c r="O299" s="12"/>
      <c r="P299" s="12"/>
      <c r="Q299" s="12"/>
      <c r="R299" s="12"/>
      <c r="S299" s="12"/>
      <c r="T299" s="4"/>
      <c r="U299" s="12"/>
      <c r="V299" s="12"/>
      <c r="W299" s="12"/>
      <c r="X299" s="12"/>
      <c r="Y299" s="12"/>
      <c r="Z299" s="4"/>
      <c r="AA299" s="12"/>
      <c r="AB299" s="12"/>
      <c r="AC299" s="12"/>
      <c r="AD299" s="34"/>
      <c r="AE299" s="12"/>
      <c r="AF299" s="12"/>
      <c r="AG299" s="17"/>
      <c r="AK299" s="56"/>
      <c r="AL299" s="56"/>
      <c r="AM299" s="56"/>
      <c r="AN299" s="56"/>
      <c r="AO299" s="56"/>
      <c r="AP299" s="56"/>
      <c r="AQ299" s="56"/>
      <c r="AR299" s="10"/>
      <c r="AS299" s="82"/>
    </row>
    <row r="300" spans="1:45">
      <c r="A300" s="150" t="s">
        <v>12</v>
      </c>
      <c r="B300" s="4">
        <v>1</v>
      </c>
      <c r="C300" s="12">
        <v>2</v>
      </c>
      <c r="D300" s="12" t="s">
        <v>10</v>
      </c>
      <c r="E300" s="12" t="s">
        <v>11</v>
      </c>
      <c r="F300" s="12">
        <v>3</v>
      </c>
      <c r="G300" s="12">
        <v>1</v>
      </c>
      <c r="H300" s="12">
        <v>2</v>
      </c>
      <c r="I300" s="12" t="s">
        <v>10</v>
      </c>
      <c r="J300" s="12" t="s">
        <v>11</v>
      </c>
      <c r="K300" s="12">
        <v>3</v>
      </c>
      <c r="L300" s="12">
        <v>1</v>
      </c>
      <c r="M300" s="12">
        <v>2</v>
      </c>
      <c r="N300" s="4" t="s">
        <v>10</v>
      </c>
      <c r="O300" s="12" t="s">
        <v>10</v>
      </c>
      <c r="P300" s="12">
        <v>3</v>
      </c>
      <c r="Q300" s="12">
        <v>1</v>
      </c>
      <c r="R300" s="12">
        <v>2</v>
      </c>
      <c r="S300" s="4" t="s">
        <v>10</v>
      </c>
      <c r="T300" s="12" t="s">
        <v>11</v>
      </c>
      <c r="U300" s="12">
        <v>3</v>
      </c>
      <c r="V300" s="12">
        <v>1</v>
      </c>
      <c r="W300" s="12">
        <v>2</v>
      </c>
      <c r="X300" s="4" t="s">
        <v>10</v>
      </c>
      <c r="Y300" s="12" t="s">
        <v>11</v>
      </c>
      <c r="Z300" s="12">
        <v>3</v>
      </c>
      <c r="AA300" s="12">
        <v>1</v>
      </c>
      <c r="AB300" s="12">
        <v>2</v>
      </c>
      <c r="AC300" s="4" t="s">
        <v>10</v>
      </c>
      <c r="AD300" s="98" t="s">
        <v>10</v>
      </c>
      <c r="AE300" s="12">
        <v>3</v>
      </c>
      <c r="AF300" s="12">
        <v>1</v>
      </c>
      <c r="AG300" s="112">
        <f>AS300</f>
        <v>23</v>
      </c>
      <c r="AH300">
        <v>0</v>
      </c>
      <c r="AK300" s="56">
        <f>COUNTIF($B300:$AF300,3)</f>
        <v>6</v>
      </c>
      <c r="AL300" s="56">
        <f>COUNTIF($B300:$AF300,1)</f>
        <v>7</v>
      </c>
      <c r="AM300" s="56">
        <f>COUNTIF($B300:$AF300,2)</f>
        <v>6</v>
      </c>
      <c r="AN300" s="56">
        <f>COUNTIF($B300:$AF300,"DO")</f>
        <v>8</v>
      </c>
      <c r="AO300" s="56">
        <f>COUNTIF($B300:$AF300,"R")</f>
        <v>4</v>
      </c>
      <c r="AP300" s="56">
        <f>COUNTIF($B300:$AF300,4)</f>
        <v>0</v>
      </c>
      <c r="AQ300" s="56">
        <f>COUNTIF($B300:$AF300,5)</f>
        <v>0</v>
      </c>
      <c r="AR300" s="10">
        <f>SUM(AK300:AQ300)</f>
        <v>31</v>
      </c>
      <c r="AS300" s="82">
        <f>AQ300+AP300+AO300+AM300+AL300+AK300+((AH300+AI300)/2)</f>
        <v>23</v>
      </c>
    </row>
    <row r="301" spans="1:45">
      <c r="A301" s="151"/>
      <c r="B301" s="32"/>
      <c r="C301" s="33"/>
      <c r="D301" s="33"/>
      <c r="E301" s="12"/>
      <c r="F301" s="12"/>
      <c r="G301" s="12"/>
      <c r="H301" s="28"/>
      <c r="I301" s="12"/>
      <c r="J301" s="28"/>
      <c r="K301" s="12"/>
      <c r="L301" s="12"/>
      <c r="M301" s="12"/>
      <c r="N301" s="4"/>
      <c r="O301" s="12"/>
      <c r="P301" s="12"/>
      <c r="Q301" s="12"/>
      <c r="R301" s="12"/>
      <c r="S301" s="12"/>
      <c r="T301" s="4"/>
      <c r="U301" s="12"/>
      <c r="V301" s="12"/>
      <c r="W301" s="12"/>
      <c r="X301" s="12"/>
      <c r="Y301" s="12"/>
      <c r="Z301" s="4"/>
      <c r="AA301" s="12"/>
      <c r="AB301" s="12"/>
      <c r="AC301" s="12"/>
      <c r="AD301" s="34"/>
      <c r="AE301" s="12"/>
      <c r="AF301" s="12"/>
      <c r="AG301" s="17"/>
      <c r="AK301" s="56"/>
      <c r="AL301" s="56"/>
      <c r="AM301" s="56"/>
      <c r="AN301" s="56"/>
      <c r="AO301" s="56"/>
      <c r="AP301" s="56"/>
      <c r="AQ301" s="56"/>
      <c r="AR301" s="10"/>
      <c r="AS301" s="82"/>
    </row>
    <row r="302" spans="1:45">
      <c r="A302" s="150" t="s">
        <v>31</v>
      </c>
      <c r="B302" s="4">
        <v>3</v>
      </c>
      <c r="C302" s="12">
        <v>1</v>
      </c>
      <c r="D302" s="12">
        <v>2</v>
      </c>
      <c r="E302" s="4" t="s">
        <v>10</v>
      </c>
      <c r="F302" s="12" t="s">
        <v>11</v>
      </c>
      <c r="G302" s="12">
        <v>3</v>
      </c>
      <c r="H302" s="12">
        <v>1</v>
      </c>
      <c r="I302" s="12">
        <v>2</v>
      </c>
      <c r="J302" s="4" t="s">
        <v>10</v>
      </c>
      <c r="K302" s="12" t="s">
        <v>11</v>
      </c>
      <c r="L302" s="12">
        <v>3</v>
      </c>
      <c r="M302" s="12">
        <v>1</v>
      </c>
      <c r="N302" s="12">
        <v>2</v>
      </c>
      <c r="O302" s="4" t="s">
        <v>10</v>
      </c>
      <c r="P302" s="12" t="s">
        <v>11</v>
      </c>
      <c r="Q302" s="12">
        <v>3</v>
      </c>
      <c r="R302" s="12">
        <v>1</v>
      </c>
      <c r="S302" s="12">
        <v>2</v>
      </c>
      <c r="T302" s="4" t="s">
        <v>10</v>
      </c>
      <c r="U302" s="12" t="s">
        <v>10</v>
      </c>
      <c r="V302" s="12">
        <v>3</v>
      </c>
      <c r="W302" s="12">
        <v>1</v>
      </c>
      <c r="X302" s="12">
        <v>2</v>
      </c>
      <c r="Y302" s="4" t="s">
        <v>10</v>
      </c>
      <c r="Z302" s="12" t="s">
        <v>11</v>
      </c>
      <c r="AA302" s="12">
        <v>3</v>
      </c>
      <c r="AB302" s="12">
        <v>1</v>
      </c>
      <c r="AC302" s="12">
        <v>2</v>
      </c>
      <c r="AD302" s="4" t="s">
        <v>10</v>
      </c>
      <c r="AE302" s="12" t="s">
        <v>10</v>
      </c>
      <c r="AF302" s="12">
        <v>3</v>
      </c>
      <c r="AG302" s="112">
        <f>AS302</f>
        <v>23</v>
      </c>
      <c r="AH302">
        <v>0</v>
      </c>
      <c r="AK302" s="56">
        <f>COUNTIF($B302:$AF302,3)</f>
        <v>7</v>
      </c>
      <c r="AL302" s="56">
        <f>COUNTIF($B302:$AF302,1)</f>
        <v>6</v>
      </c>
      <c r="AM302" s="56">
        <f>COUNTIF($B302:$AF302,2)</f>
        <v>6</v>
      </c>
      <c r="AN302" s="56">
        <f>COUNTIF($B302:$AF302,"DO")</f>
        <v>8</v>
      </c>
      <c r="AO302" s="56">
        <f>COUNTIF($B302:$AF302,"R")</f>
        <v>4</v>
      </c>
      <c r="AP302" s="56">
        <f>COUNTIF($B302:$AF302,4)</f>
        <v>0</v>
      </c>
      <c r="AQ302" s="56">
        <f>COUNTIF($B302:$AF302,5)</f>
        <v>0</v>
      </c>
      <c r="AR302" s="10">
        <f t="shared" ref="AR302" si="101">SUM(AK302:AQ302)</f>
        <v>31</v>
      </c>
      <c r="AS302" s="82">
        <f t="shared" ref="AS302" si="102">AQ302+AP302+AO302+AM302+AL302+AK302+((AH302+AI302)/2)</f>
        <v>23</v>
      </c>
    </row>
    <row r="303" spans="1:45">
      <c r="A303" s="151"/>
      <c r="B303" s="4"/>
      <c r="C303" s="12"/>
      <c r="D303" s="12"/>
      <c r="E303" s="12"/>
      <c r="F303" s="12"/>
      <c r="G303" s="12"/>
      <c r="H303" s="122"/>
      <c r="I303" s="12"/>
      <c r="J303" s="122"/>
      <c r="K303" s="12"/>
      <c r="L303" s="12"/>
      <c r="M303" s="12"/>
      <c r="N303" s="4"/>
      <c r="O303" s="12"/>
      <c r="P303" s="12"/>
      <c r="Q303" s="12"/>
      <c r="R303" s="12"/>
      <c r="S303" s="12"/>
      <c r="T303" s="4"/>
      <c r="U303" s="12"/>
      <c r="V303" s="12"/>
      <c r="W303" s="12"/>
      <c r="X303" s="12"/>
      <c r="Y303" s="12"/>
      <c r="Z303" s="4"/>
      <c r="AA303" s="12"/>
      <c r="AB303" s="12"/>
      <c r="AC303" s="12"/>
      <c r="AD303" s="34"/>
      <c r="AE303" s="12"/>
      <c r="AF303" s="12"/>
      <c r="AG303" s="17"/>
      <c r="AK303" s="56"/>
      <c r="AL303" s="56"/>
      <c r="AM303" s="56"/>
      <c r="AN303" s="56"/>
      <c r="AO303" s="56"/>
      <c r="AP303" s="56"/>
      <c r="AQ303" s="56"/>
      <c r="AR303" s="10"/>
      <c r="AS303" s="82"/>
    </row>
    <row r="304" spans="1:45">
      <c r="A304" s="150" t="s">
        <v>13</v>
      </c>
      <c r="B304" s="115" t="s">
        <v>11</v>
      </c>
      <c r="C304" s="36">
        <v>3</v>
      </c>
      <c r="D304" s="36">
        <v>1</v>
      </c>
      <c r="E304" s="12">
        <v>2</v>
      </c>
      <c r="F304" s="12" t="s">
        <v>10</v>
      </c>
      <c r="G304" s="115" t="s">
        <v>10</v>
      </c>
      <c r="H304" s="36">
        <v>3</v>
      </c>
      <c r="I304" s="36">
        <v>1</v>
      </c>
      <c r="J304" s="12">
        <v>2</v>
      </c>
      <c r="K304" s="12" t="s">
        <v>10</v>
      </c>
      <c r="L304" s="115" t="s">
        <v>11</v>
      </c>
      <c r="M304" s="36">
        <v>3</v>
      </c>
      <c r="N304" s="36">
        <v>1</v>
      </c>
      <c r="O304" s="12">
        <v>2</v>
      </c>
      <c r="P304" s="12" t="s">
        <v>10</v>
      </c>
      <c r="Q304" s="115" t="s">
        <v>11</v>
      </c>
      <c r="R304" s="36">
        <v>3</v>
      </c>
      <c r="S304" s="36">
        <v>1</v>
      </c>
      <c r="T304" s="12">
        <v>2</v>
      </c>
      <c r="U304" s="12" t="s">
        <v>10</v>
      </c>
      <c r="V304" s="115" t="s">
        <v>10</v>
      </c>
      <c r="W304" s="36">
        <v>3</v>
      </c>
      <c r="X304" s="36">
        <v>1</v>
      </c>
      <c r="Y304" s="12">
        <v>2</v>
      </c>
      <c r="Z304" s="12" t="s">
        <v>10</v>
      </c>
      <c r="AA304" s="115" t="s">
        <v>11</v>
      </c>
      <c r="AB304" s="36">
        <v>3</v>
      </c>
      <c r="AC304" s="36">
        <v>1</v>
      </c>
      <c r="AD304" s="12">
        <v>2</v>
      </c>
      <c r="AE304" s="12" t="s">
        <v>11</v>
      </c>
      <c r="AF304" s="9" t="s">
        <v>10</v>
      </c>
      <c r="AG304" s="112">
        <f>AS304</f>
        <v>23</v>
      </c>
      <c r="AH304">
        <f t="shared" ref="AH304:AH306" si="103">COUNTIF($B304:$AF304,4)</f>
        <v>0</v>
      </c>
      <c r="AI304">
        <f t="shared" si="98"/>
        <v>0</v>
      </c>
      <c r="AK304" s="56">
        <f>COUNTIF($B304:$AF304,3)</f>
        <v>6</v>
      </c>
      <c r="AL304" s="56">
        <f>COUNTIF($B304:$AF304,1)</f>
        <v>6</v>
      </c>
      <c r="AM304" s="56">
        <f>COUNTIF($B304:$AF304,2)</f>
        <v>6</v>
      </c>
      <c r="AN304" s="56">
        <f>COUNTIF($B304:$AF304,"DO")</f>
        <v>8</v>
      </c>
      <c r="AO304" s="56">
        <f>COUNTIF($B304:$AF304,"R")</f>
        <v>5</v>
      </c>
      <c r="AP304" s="56">
        <f>COUNTIF($B304:$AF304,4)</f>
        <v>0</v>
      </c>
      <c r="AQ304" s="56">
        <f>COUNTIF($B304:$AF304,5)</f>
        <v>0</v>
      </c>
      <c r="AR304" s="10">
        <f t="shared" ref="AR304" si="104">SUM(AK304:AQ304)</f>
        <v>31</v>
      </c>
      <c r="AS304" s="82">
        <f t="shared" ref="AS304" si="105">AQ304+AP304+AO304+AM304+AL304+AK304+((AH304+AI304)/2)</f>
        <v>23</v>
      </c>
    </row>
    <row r="305" spans="1:45">
      <c r="A305" s="151"/>
      <c r="B305" s="4"/>
      <c r="C305" s="35"/>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3"/>
      <c r="AE305" s="12"/>
      <c r="AF305" s="43"/>
      <c r="AG305" s="17"/>
      <c r="AJ305" s="56"/>
      <c r="AK305" s="56"/>
      <c r="AL305" s="56"/>
      <c r="AM305" s="56"/>
      <c r="AN305" s="56"/>
      <c r="AO305" s="56"/>
      <c r="AP305" s="56"/>
      <c r="AQ305" s="56"/>
      <c r="AR305" s="10"/>
      <c r="AS305" s="10"/>
    </row>
    <row r="306" spans="1:45">
      <c r="A306" s="150" t="s">
        <v>14</v>
      </c>
      <c r="B306" s="115" t="s">
        <v>10</v>
      </c>
      <c r="C306" s="36" t="s">
        <v>11</v>
      </c>
      <c r="D306" s="36">
        <v>3</v>
      </c>
      <c r="E306" s="36">
        <v>1</v>
      </c>
      <c r="F306" s="12">
        <v>2</v>
      </c>
      <c r="G306" s="12" t="s">
        <v>10</v>
      </c>
      <c r="H306" s="36" t="s">
        <v>10</v>
      </c>
      <c r="I306" s="36">
        <v>3</v>
      </c>
      <c r="J306" s="36">
        <v>1</v>
      </c>
      <c r="K306" s="12">
        <v>2</v>
      </c>
      <c r="L306" s="12" t="s">
        <v>10</v>
      </c>
      <c r="M306" s="36" t="s">
        <v>11</v>
      </c>
      <c r="N306" s="36">
        <v>3</v>
      </c>
      <c r="O306" s="36">
        <v>1</v>
      </c>
      <c r="P306" s="12">
        <v>2</v>
      </c>
      <c r="Q306" s="12" t="s">
        <v>10</v>
      </c>
      <c r="R306" s="36" t="s">
        <v>11</v>
      </c>
      <c r="S306" s="36">
        <v>3</v>
      </c>
      <c r="T306" s="36">
        <v>1</v>
      </c>
      <c r="U306" s="12">
        <v>2</v>
      </c>
      <c r="V306" s="12" t="s">
        <v>10</v>
      </c>
      <c r="W306" s="36" t="s">
        <v>11</v>
      </c>
      <c r="X306" s="36">
        <v>3</v>
      </c>
      <c r="Y306" s="36">
        <v>1</v>
      </c>
      <c r="Z306" s="12">
        <v>2</v>
      </c>
      <c r="AA306" s="12" t="s">
        <v>10</v>
      </c>
      <c r="AB306" s="36" t="s">
        <v>10</v>
      </c>
      <c r="AC306" s="36">
        <v>3</v>
      </c>
      <c r="AD306" s="36">
        <v>1</v>
      </c>
      <c r="AE306" s="12">
        <v>2</v>
      </c>
      <c r="AF306" s="9" t="s">
        <v>11</v>
      </c>
      <c r="AG306" s="112">
        <f>AS306</f>
        <v>23</v>
      </c>
      <c r="AH306">
        <f t="shared" si="103"/>
        <v>0</v>
      </c>
      <c r="AJ306" s="56"/>
      <c r="AK306" s="56">
        <f>COUNTIF($B306:$AF306,3)</f>
        <v>6</v>
      </c>
      <c r="AL306" s="56">
        <f>COUNTIF($B306:$AF306,1)</f>
        <v>6</v>
      </c>
      <c r="AM306" s="56">
        <f>COUNTIF($B306:$AF306,2)</f>
        <v>6</v>
      </c>
      <c r="AN306" s="56">
        <f>COUNTIF($B306:$AF306,"DO")</f>
        <v>8</v>
      </c>
      <c r="AO306" s="56">
        <f>COUNTIF($B306:$AF306,"R")</f>
        <v>5</v>
      </c>
      <c r="AP306" s="56">
        <f>COUNTIF($B306:$AF306,4)</f>
        <v>0</v>
      </c>
      <c r="AQ306" s="56">
        <f>COUNTIF($B306:$AF306,5)</f>
        <v>0</v>
      </c>
      <c r="AR306" s="10">
        <f>SUM(AK306:AO306)</f>
        <v>31</v>
      </c>
      <c r="AS306" s="10">
        <f>AQ306+AP306+AO306+AM306+AL306+AK306</f>
        <v>23</v>
      </c>
    </row>
    <row r="307" spans="1:45">
      <c r="A307" s="151"/>
      <c r="B307" s="4"/>
      <c r="C307" s="12"/>
      <c r="D307" s="12"/>
      <c r="E307" s="12"/>
      <c r="F307" s="12"/>
      <c r="G307" s="4"/>
      <c r="H307" s="12"/>
      <c r="I307" s="12"/>
      <c r="J307" s="12"/>
      <c r="K307" s="12"/>
      <c r="L307" s="12"/>
      <c r="M307" s="4"/>
      <c r="N307" s="12"/>
      <c r="O307" s="12"/>
      <c r="P307" s="12"/>
      <c r="Q307" s="12"/>
      <c r="R307" s="12"/>
      <c r="S307" s="4"/>
      <c r="T307" s="12"/>
      <c r="U307" s="12"/>
      <c r="V307" s="12"/>
      <c r="W307" s="12"/>
      <c r="X307" s="12"/>
      <c r="Y307" s="4"/>
      <c r="Z307" s="12"/>
      <c r="AA307" s="12"/>
      <c r="AB307" s="12"/>
      <c r="AC307" s="12"/>
      <c r="AD307" s="12"/>
      <c r="AE307" s="34"/>
      <c r="AF307" s="12"/>
      <c r="AG307" s="17"/>
      <c r="AJ307" s="56"/>
      <c r="AK307" s="56"/>
      <c r="AL307" s="56"/>
      <c r="AM307" s="56"/>
      <c r="AN307" s="56"/>
      <c r="AO307" s="56"/>
      <c r="AP307" s="56"/>
      <c r="AQ307" s="56"/>
      <c r="AR307" s="10"/>
      <c r="AS307" s="10"/>
    </row>
    <row r="308" spans="1:45">
      <c r="A308" s="150" t="s">
        <v>15</v>
      </c>
      <c r="B308" s="115">
        <v>2</v>
      </c>
      <c r="C308" s="115" t="s">
        <v>10</v>
      </c>
      <c r="D308" s="115" t="s">
        <v>11</v>
      </c>
      <c r="E308" s="36">
        <v>3</v>
      </c>
      <c r="F308" s="36">
        <v>1</v>
      </c>
      <c r="G308" s="12">
        <v>2</v>
      </c>
      <c r="H308" s="115" t="s">
        <v>10</v>
      </c>
      <c r="I308" s="115" t="s">
        <v>11</v>
      </c>
      <c r="J308" s="36">
        <v>3</v>
      </c>
      <c r="K308" s="36">
        <v>1</v>
      </c>
      <c r="L308" s="12">
        <v>2</v>
      </c>
      <c r="M308" s="115" t="s">
        <v>10</v>
      </c>
      <c r="N308" s="115" t="s">
        <v>10</v>
      </c>
      <c r="O308" s="36">
        <v>3</v>
      </c>
      <c r="P308" s="36">
        <v>1</v>
      </c>
      <c r="Q308" s="12">
        <v>2</v>
      </c>
      <c r="R308" s="115" t="s">
        <v>10</v>
      </c>
      <c r="S308" s="115" t="s">
        <v>11</v>
      </c>
      <c r="T308" s="36">
        <v>3</v>
      </c>
      <c r="U308" s="36">
        <v>1</v>
      </c>
      <c r="V308" s="12">
        <v>2</v>
      </c>
      <c r="W308" s="115" t="s">
        <v>10</v>
      </c>
      <c r="X308" s="115" t="s">
        <v>11</v>
      </c>
      <c r="Y308" s="36">
        <v>3</v>
      </c>
      <c r="Z308" s="36">
        <v>1</v>
      </c>
      <c r="AA308" s="12">
        <v>2</v>
      </c>
      <c r="AB308" s="115" t="s">
        <v>10</v>
      </c>
      <c r="AC308" s="115" t="s">
        <v>10</v>
      </c>
      <c r="AD308" s="36">
        <v>3</v>
      </c>
      <c r="AE308" s="36">
        <v>1</v>
      </c>
      <c r="AF308" s="12">
        <v>2</v>
      </c>
      <c r="AG308" s="112">
        <f>AS308</f>
        <v>23</v>
      </c>
      <c r="AH308">
        <f>COUNTIF($B308:$AF308,4)</f>
        <v>0</v>
      </c>
      <c r="AI308">
        <f>COUNTIF($B308:$AF308,5)</f>
        <v>0</v>
      </c>
      <c r="AK308" s="56">
        <f>COUNTIF($B308:$AF308,3)</f>
        <v>6</v>
      </c>
      <c r="AL308" s="56">
        <f>COUNTIF($B308:$AF308,1)</f>
        <v>6</v>
      </c>
      <c r="AM308" s="56">
        <f>COUNTIF($B308:$AF308,2)</f>
        <v>7</v>
      </c>
      <c r="AN308" s="56">
        <f>COUNTIF($B308:$AF308,"DO")</f>
        <v>8</v>
      </c>
      <c r="AO308" s="56">
        <f>COUNTIF($B308:$AF308,"R")</f>
        <v>4</v>
      </c>
      <c r="AP308" s="56">
        <f>COUNTIF($B308:$AF308,4)</f>
        <v>0</v>
      </c>
      <c r="AQ308" s="56">
        <f>COUNTIF($B308:$AF308,5)</f>
        <v>0</v>
      </c>
      <c r="AR308" s="10">
        <f t="shared" ref="AR308" si="106">SUM(AK308:AQ308)</f>
        <v>31</v>
      </c>
      <c r="AS308" s="82">
        <f>AQ308+AP308+AO308+AM308+AL308+AK308+((AH308+AI308)/2)</f>
        <v>23</v>
      </c>
    </row>
    <row r="309" spans="1:45">
      <c r="A309" s="151"/>
      <c r="B309" s="4"/>
      <c r="C309" s="4"/>
      <c r="D309" s="4"/>
      <c r="E309" s="12"/>
      <c r="F309" s="12"/>
      <c r="G309" s="4"/>
      <c r="H309" s="33"/>
      <c r="I309" s="29"/>
      <c r="J309" s="12"/>
      <c r="K309" s="19"/>
      <c r="L309" s="12"/>
      <c r="M309" s="4"/>
      <c r="N309" s="12"/>
      <c r="O309" s="4"/>
      <c r="P309" s="12"/>
      <c r="Q309" s="12"/>
      <c r="R309" s="12"/>
      <c r="S309" s="4"/>
      <c r="T309" s="12"/>
      <c r="U309" s="4"/>
      <c r="V309" s="12"/>
      <c r="W309" s="12"/>
      <c r="X309" s="12"/>
      <c r="Y309" s="4"/>
      <c r="Z309" s="12"/>
      <c r="AA309" s="4"/>
      <c r="AB309" s="12"/>
      <c r="AC309" s="12"/>
      <c r="AD309" s="12"/>
      <c r="AE309" s="12"/>
      <c r="AF309" s="12"/>
      <c r="AG309" s="17"/>
      <c r="AK309" s="56"/>
      <c r="AL309" s="56"/>
      <c r="AM309" s="56"/>
      <c r="AN309" s="56"/>
      <c r="AO309" s="56"/>
      <c r="AP309" s="56"/>
      <c r="AQ309" s="56"/>
      <c r="AR309" s="10"/>
      <c r="AS309" s="82"/>
    </row>
    <row r="310" spans="1:45">
      <c r="A310" s="150" t="s">
        <v>16</v>
      </c>
      <c r="B310" s="115" t="s">
        <v>11</v>
      </c>
      <c r="C310" s="115" t="s">
        <v>11</v>
      </c>
      <c r="D310" s="115" t="s">
        <v>11</v>
      </c>
      <c r="E310" s="115" t="s">
        <v>11</v>
      </c>
      <c r="F310" s="115" t="s">
        <v>11</v>
      </c>
      <c r="G310" s="115" t="s">
        <v>10</v>
      </c>
      <c r="H310" s="115" t="s">
        <v>10</v>
      </c>
      <c r="I310" s="115" t="s">
        <v>11</v>
      </c>
      <c r="J310" s="98" t="s">
        <v>11</v>
      </c>
      <c r="K310" s="115" t="s">
        <v>11</v>
      </c>
      <c r="L310" s="115" t="s">
        <v>11</v>
      </c>
      <c r="M310" s="115" t="s">
        <v>11</v>
      </c>
      <c r="N310" s="115" t="s">
        <v>10</v>
      </c>
      <c r="O310" s="115" t="s">
        <v>10</v>
      </c>
      <c r="P310" s="115" t="s">
        <v>11</v>
      </c>
      <c r="Q310" s="115" t="s">
        <v>11</v>
      </c>
      <c r="R310" s="115" t="s">
        <v>11</v>
      </c>
      <c r="S310" s="115" t="s">
        <v>11</v>
      </c>
      <c r="T310" s="115" t="s">
        <v>11</v>
      </c>
      <c r="U310" s="115" t="s">
        <v>10</v>
      </c>
      <c r="V310" s="115" t="s">
        <v>10</v>
      </c>
      <c r="W310" s="115" t="s">
        <v>11</v>
      </c>
      <c r="X310" s="98" t="s">
        <v>11</v>
      </c>
      <c r="Y310" s="115" t="s">
        <v>11</v>
      </c>
      <c r="Z310" s="115" t="s">
        <v>11</v>
      </c>
      <c r="AA310" s="115" t="s">
        <v>11</v>
      </c>
      <c r="AB310" s="115" t="s">
        <v>10</v>
      </c>
      <c r="AC310" s="115" t="s">
        <v>10</v>
      </c>
      <c r="AD310" s="9" t="s">
        <v>11</v>
      </c>
      <c r="AE310" s="115" t="s">
        <v>11</v>
      </c>
      <c r="AF310" s="9" t="s">
        <v>11</v>
      </c>
      <c r="AG310" s="112">
        <f>AS310</f>
        <v>23</v>
      </c>
      <c r="AH310">
        <f t="shared" ref="AH310" si="107">COUNTIF($B310:$AF310,4)</f>
        <v>0</v>
      </c>
      <c r="AI310">
        <f t="shared" ref="AI310:AI316" si="108">COUNTIF($B310:$AF310,5)</f>
        <v>0</v>
      </c>
      <c r="AK310" s="56">
        <f>COUNTIF($B310:$AF310,3)</f>
        <v>0</v>
      </c>
      <c r="AL310" s="56">
        <f>COUNTIF($B310:$AF310,1)</f>
        <v>0</v>
      </c>
      <c r="AM310" s="56">
        <f>COUNTIF($B310:$AF310,2)</f>
        <v>0</v>
      </c>
      <c r="AN310" s="56">
        <f>COUNTIF($B310:$AF310,"DO")</f>
        <v>8</v>
      </c>
      <c r="AO310" s="56">
        <f>COUNTIF($B310:$AF310,"R")</f>
        <v>23</v>
      </c>
      <c r="AP310" s="56">
        <f>COUNTIF($B310:$AF310,4)</f>
        <v>0</v>
      </c>
      <c r="AQ310" s="56">
        <f>COUNTIF($B310:$AF310,5)</f>
        <v>0</v>
      </c>
      <c r="AR310" s="10">
        <f t="shared" ref="AR310" si="109">SUM(AK310:AQ310)</f>
        <v>31</v>
      </c>
      <c r="AS310" s="82">
        <f t="shared" ref="AS310" si="110">AQ310+AP310+AO310+AM310+AL310+AK310+((AH310+AI310)/2)</f>
        <v>23</v>
      </c>
    </row>
    <row r="311" spans="1:45">
      <c r="A311" s="151"/>
      <c r="B311" s="28"/>
      <c r="C311" s="4"/>
      <c r="D311" s="4"/>
      <c r="E311" s="12"/>
      <c r="F311" s="12"/>
      <c r="G311" s="4"/>
      <c r="H311" s="12"/>
      <c r="I311" s="18"/>
      <c r="J311" s="12"/>
      <c r="K311" s="19"/>
      <c r="L311" s="12"/>
      <c r="M311" s="4"/>
      <c r="N311" s="12"/>
      <c r="O311" s="4"/>
      <c r="P311" s="12"/>
      <c r="Q311" s="12"/>
      <c r="R311" s="12"/>
      <c r="S311" s="4"/>
      <c r="T311" s="12"/>
      <c r="U311" s="4"/>
      <c r="V311" s="12"/>
      <c r="W311" s="12"/>
      <c r="X311" s="12"/>
      <c r="Y311" s="4"/>
      <c r="Z311" s="12"/>
      <c r="AA311" s="4"/>
      <c r="AB311" s="12"/>
      <c r="AC311" s="12"/>
      <c r="AD311" s="12"/>
      <c r="AE311" s="12"/>
      <c r="AF311" s="12"/>
      <c r="AG311" s="71"/>
      <c r="AK311" s="56"/>
      <c r="AL311" s="56"/>
      <c r="AM311" s="56"/>
      <c r="AN311" s="56"/>
      <c r="AO311" s="56"/>
      <c r="AP311" s="56"/>
      <c r="AQ311" s="56"/>
      <c r="AR311" s="10"/>
      <c r="AS311" s="82"/>
    </row>
    <row r="312" spans="1:45">
      <c r="A312" s="31"/>
      <c r="B312" s="21"/>
      <c r="C312" s="21"/>
      <c r="D312" s="21"/>
      <c r="E312" s="22"/>
      <c r="F312" s="22"/>
      <c r="G312" s="21"/>
      <c r="H312" s="21"/>
      <c r="L312" s="22"/>
      <c r="M312" s="21"/>
      <c r="N312" s="21"/>
      <c r="O312" s="21"/>
      <c r="P312" s="21"/>
      <c r="Q312" s="22"/>
      <c r="R312" s="22"/>
      <c r="S312" s="21"/>
      <c r="T312" s="21"/>
      <c r="U312" s="21"/>
      <c r="V312" s="21"/>
      <c r="W312" s="22"/>
      <c r="X312" s="22"/>
      <c r="Y312" s="21"/>
      <c r="Z312" s="21"/>
      <c r="AA312" s="21"/>
      <c r="AB312" s="21"/>
      <c r="AC312" s="22"/>
      <c r="AI312">
        <f t="shared" si="108"/>
        <v>0</v>
      </c>
      <c r="AK312" s="56">
        <f>COUNTIF($B312:$AF312,3)</f>
        <v>0</v>
      </c>
      <c r="AL312" s="56">
        <f>COUNTIF($B312:$AF312,1)</f>
        <v>0</v>
      </c>
      <c r="AM312" s="56">
        <f>COUNTIF($B312:$AF312,2)</f>
        <v>0</v>
      </c>
      <c r="AN312" s="56">
        <f>COUNTIF($B312:$AF312,"DO")</f>
        <v>0</v>
      </c>
      <c r="AO312" s="56">
        <f>COUNTIF($B312:$AF312,"R")</f>
        <v>0</v>
      </c>
      <c r="AP312" s="56">
        <f>COUNTIF($B312:$AF312,4)</f>
        <v>0</v>
      </c>
      <c r="AQ312" s="56">
        <f>COUNTIF($B312:$AF312,5)</f>
        <v>0</v>
      </c>
      <c r="AR312" s="10">
        <f t="shared" ref="AR312" si="111">SUM(AK312:AQ312)</f>
        <v>0</v>
      </c>
      <c r="AS312" s="82">
        <f t="shared" ref="AS312" si="112">AQ312+AP312+AO312+AM312+AL312+AK312+((AH312+AI312)/2)</f>
        <v>0</v>
      </c>
    </row>
    <row r="313" spans="1:45">
      <c r="A313" s="20" t="s">
        <v>18</v>
      </c>
      <c r="B313" s="21"/>
      <c r="C313" s="21"/>
      <c r="D313" s="4">
        <v>1</v>
      </c>
      <c r="E313" s="22" t="s">
        <v>17</v>
      </c>
      <c r="F313" s="144" t="s">
        <v>19</v>
      </c>
      <c r="G313" s="144"/>
      <c r="H313" s="21" t="s">
        <v>17</v>
      </c>
      <c r="I313" s="145" t="s">
        <v>20</v>
      </c>
      <c r="J313" s="145"/>
      <c r="K313" s="22"/>
      <c r="L313" s="22"/>
      <c r="M313" s="21" t="s">
        <v>11</v>
      </c>
      <c r="N313" s="21" t="s">
        <v>17</v>
      </c>
      <c r="O313" s="145" t="s">
        <v>20</v>
      </c>
      <c r="P313" s="145"/>
      <c r="Q313" s="22" t="s">
        <v>17</v>
      </c>
      <c r="R313" s="144" t="s">
        <v>21</v>
      </c>
      <c r="S313" s="144"/>
      <c r="T313" s="121"/>
      <c r="U313" s="110"/>
      <c r="V313" s="118"/>
      <c r="W313" s="118"/>
      <c r="X313" s="118"/>
      <c r="Y313" s="118"/>
      <c r="AD313" s="22"/>
      <c r="AE313" s="22"/>
      <c r="AF313" s="22"/>
      <c r="AK313" s="56"/>
      <c r="AL313" s="56"/>
      <c r="AM313" s="56"/>
      <c r="AN313" s="56"/>
      <c r="AO313" s="56"/>
      <c r="AP313" s="56"/>
      <c r="AQ313" s="56"/>
      <c r="AR313" s="10"/>
      <c r="AS313" s="82"/>
    </row>
    <row r="314" spans="1:45">
      <c r="A314" s="20"/>
      <c r="B314" s="21"/>
      <c r="C314" s="21"/>
      <c r="D314" s="4">
        <v>2</v>
      </c>
      <c r="E314" s="22" t="s">
        <v>17</v>
      </c>
      <c r="F314" s="144" t="s">
        <v>20</v>
      </c>
      <c r="G314" s="144"/>
      <c r="H314" s="21" t="s">
        <v>17</v>
      </c>
      <c r="I314" s="145" t="s">
        <v>22</v>
      </c>
      <c r="J314" s="145"/>
      <c r="K314" s="22"/>
      <c r="L314" s="22"/>
      <c r="M314" s="21" t="s">
        <v>10</v>
      </c>
      <c r="N314" s="21" t="s">
        <v>17</v>
      </c>
      <c r="O314" s="145" t="s">
        <v>23</v>
      </c>
      <c r="P314" s="145"/>
      <c r="Q314" s="22"/>
      <c r="R314" s="22"/>
      <c r="S314" s="21"/>
      <c r="T314" s="21"/>
      <c r="U314" s="21"/>
      <c r="V314" s="21"/>
      <c r="W314" s="22"/>
      <c r="X314" s="47"/>
      <c r="Y314" s="21"/>
      <c r="Z314" s="21"/>
      <c r="AA314" s="49"/>
      <c r="AB314" s="21"/>
      <c r="AC314" s="22"/>
      <c r="AD314" s="22"/>
      <c r="AE314" s="22"/>
      <c r="AF314" s="22"/>
      <c r="AI314">
        <f t="shared" si="108"/>
        <v>0</v>
      </c>
      <c r="AK314" s="56">
        <f>COUNTIF($B314:$AF314,3)</f>
        <v>0</v>
      </c>
      <c r="AL314" s="56">
        <f>COUNTIF($B314:$AF314,1)</f>
        <v>0</v>
      </c>
      <c r="AM314" s="56">
        <f>COUNTIF($B314:$AF314,2)</f>
        <v>1</v>
      </c>
      <c r="AN314" s="56">
        <f>COUNTIF($B314:$AF314,"DO")</f>
        <v>1</v>
      </c>
      <c r="AO314" s="56">
        <f>COUNTIF($B314:$AF314,"R")</f>
        <v>0</v>
      </c>
      <c r="AP314" s="56">
        <f>COUNTIF($B314:$AF314,4)</f>
        <v>0</v>
      </c>
      <c r="AQ314" s="56">
        <f>COUNTIF($B314:$AF314,5)</f>
        <v>0</v>
      </c>
      <c r="AR314" s="10">
        <f t="shared" ref="AR314" si="113">SUM(AK314:AQ314)</f>
        <v>2</v>
      </c>
      <c r="AS314" s="82">
        <f t="shared" ref="AS314" si="114">AQ314+AP314+AO314+AM314+AL314+AK314+((AH314+AI314)/2)</f>
        <v>1</v>
      </c>
    </row>
    <row r="315" spans="1:45">
      <c r="A315" s="20"/>
      <c r="B315" s="21"/>
      <c r="C315" s="21"/>
      <c r="D315" s="4">
        <v>3</v>
      </c>
      <c r="E315" s="22" t="s">
        <v>17</v>
      </c>
      <c r="F315" s="144" t="s">
        <v>22</v>
      </c>
      <c r="G315" s="144"/>
      <c r="H315" s="21" t="s">
        <v>17</v>
      </c>
      <c r="I315" s="145" t="s">
        <v>24</v>
      </c>
      <c r="J315" s="145"/>
      <c r="K315" s="22"/>
      <c r="L315" s="22"/>
      <c r="M315" s="7"/>
      <c r="N315" s="22"/>
      <c r="O315" s="23"/>
      <c r="P315" s="22"/>
      <c r="Q315" s="22"/>
      <c r="R315" s="22"/>
      <c r="S315" s="22"/>
      <c r="T315" s="21"/>
      <c r="U315" s="21"/>
      <c r="V315" s="21"/>
      <c r="W315" s="22"/>
      <c r="X315" s="48"/>
      <c r="Y315" s="21"/>
      <c r="Z315" s="21"/>
      <c r="AA315" s="49"/>
      <c r="AB315" s="21"/>
      <c r="AC315" s="22"/>
      <c r="AD315" s="22"/>
      <c r="AE315" s="22"/>
      <c r="AF315" s="22"/>
      <c r="AK315" s="56"/>
      <c r="AL315" s="56"/>
      <c r="AM315" s="56"/>
      <c r="AN315" s="56"/>
      <c r="AO315" s="56"/>
      <c r="AP315" s="56"/>
      <c r="AQ315" s="56"/>
      <c r="AR315" s="10"/>
      <c r="AS315" s="82"/>
    </row>
    <row r="316" spans="1:45">
      <c r="A316" s="20"/>
      <c r="B316" s="21"/>
      <c r="C316" s="21"/>
      <c r="D316" s="120">
        <v>4</v>
      </c>
      <c r="F316" s="147" t="s">
        <v>95</v>
      </c>
      <c r="G316" s="147"/>
      <c r="H316" s="110" t="s">
        <v>17</v>
      </c>
      <c r="I316" s="147" t="s">
        <v>96</v>
      </c>
      <c r="J316" s="147"/>
      <c r="K316" s="22"/>
      <c r="L316" s="22"/>
      <c r="M316" s="7"/>
      <c r="N316" s="22"/>
      <c r="O316" s="23"/>
      <c r="P316" s="22"/>
      <c r="Q316" s="22"/>
      <c r="R316" s="22"/>
      <c r="S316" s="22"/>
      <c r="T316" s="21"/>
      <c r="U316" s="21"/>
      <c r="V316" s="21"/>
      <c r="W316" s="22"/>
      <c r="X316" s="48"/>
      <c r="Y316" s="21"/>
      <c r="Z316" s="21"/>
      <c r="AA316" s="50"/>
      <c r="AB316" s="21"/>
      <c r="AC316" s="22"/>
      <c r="AD316" s="22"/>
      <c r="AE316" s="22"/>
      <c r="AF316" s="22"/>
      <c r="AI316">
        <f t="shared" si="108"/>
        <v>0</v>
      </c>
      <c r="AK316" s="56">
        <f>COUNTIF($B316:$AF316,3)</f>
        <v>0</v>
      </c>
      <c r="AL316" s="56">
        <f>COUNTIF($B316:$AF316,1)</f>
        <v>0</v>
      </c>
      <c r="AM316" s="56">
        <f>COUNTIF($B316:$AF316,2)</f>
        <v>0</v>
      </c>
      <c r="AN316" s="56">
        <f>COUNTIF($B316:$AF316,"DO")</f>
        <v>0</v>
      </c>
      <c r="AO316" s="56">
        <f>COUNTIF($B316:$AF316,"R")</f>
        <v>0</v>
      </c>
      <c r="AP316" s="56">
        <f>COUNTIF($B316:$AF316,4)</f>
        <v>1</v>
      </c>
      <c r="AQ316" s="56">
        <f>COUNTIF($B316:$AF316,5)</f>
        <v>0</v>
      </c>
      <c r="AR316" s="10">
        <f>SUM(AK316:AQ316)</f>
        <v>1</v>
      </c>
      <c r="AS316" s="82">
        <f t="shared" ref="AS316" si="115">AQ316+AP316+AO316+AM316+AL316+AK316+((AH316+AI316)/2)</f>
        <v>1</v>
      </c>
    </row>
    <row r="317" spans="1:45">
      <c r="A317" s="20"/>
      <c r="B317" s="21"/>
      <c r="C317" s="21"/>
      <c r="K317" s="22"/>
      <c r="L317" s="22"/>
      <c r="M317" s="7"/>
      <c r="N317" s="22"/>
      <c r="O317" s="23"/>
      <c r="P317" s="22"/>
      <c r="Q317" s="22"/>
      <c r="R317" s="22"/>
      <c r="S317" s="22"/>
      <c r="T317" s="21"/>
      <c r="U317" s="21"/>
      <c r="V317" s="21"/>
      <c r="W317" s="22"/>
      <c r="X317" s="47"/>
      <c r="Y317" s="21"/>
      <c r="Z317" s="21"/>
      <c r="AA317" s="49"/>
      <c r="AB317" s="21"/>
      <c r="AC317" s="22"/>
      <c r="AD317" s="22"/>
      <c r="AE317" s="22"/>
      <c r="AF317" s="22"/>
    </row>
    <row r="318" spans="1:45">
      <c r="A318" s="111" t="s">
        <v>25</v>
      </c>
      <c r="B318" s="110"/>
      <c r="C318" s="110"/>
      <c r="D318" s="110"/>
      <c r="E318" s="109"/>
      <c r="F318" s="109"/>
      <c r="G318" s="109"/>
      <c r="H318" s="85" t="s">
        <v>26</v>
      </c>
      <c r="I318" s="111"/>
      <c r="J318" s="110"/>
      <c r="M318" s="109"/>
      <c r="N318" s="109"/>
      <c r="O318" s="109"/>
      <c r="P318" s="110"/>
      <c r="Q318" s="109"/>
      <c r="R318" s="109"/>
      <c r="S318" s="110"/>
      <c r="T318" s="24"/>
      <c r="U318" s="24"/>
      <c r="V318" s="24"/>
      <c r="W318" s="24"/>
      <c r="X318" s="24"/>
      <c r="Y318" s="85" t="s">
        <v>27</v>
      </c>
      <c r="Z318" s="110"/>
      <c r="AA318" s="110"/>
      <c r="AB318" s="110"/>
      <c r="AC318" s="109"/>
      <c r="AD318" s="109"/>
      <c r="AE318" s="109"/>
      <c r="AF318" s="109"/>
    </row>
    <row r="319" spans="1:45">
      <c r="L319" s="25"/>
      <c r="M319" s="25"/>
      <c r="N319" s="25"/>
      <c r="O319" s="25"/>
      <c r="P319" s="25"/>
      <c r="Q319" s="25"/>
      <c r="X319" s="25"/>
      <c r="Y319" s="25"/>
      <c r="Z319" s="25"/>
      <c r="AA319" s="25"/>
      <c r="AB319" s="25"/>
      <c r="AC319" s="25"/>
    </row>
    <row r="320" spans="1:45">
      <c r="B320" s="146" t="s">
        <v>46</v>
      </c>
      <c r="C320" s="146"/>
      <c r="D320" s="146"/>
      <c r="E320" s="146"/>
      <c r="F320" s="146"/>
      <c r="H320" s="25"/>
      <c r="J320" s="146" t="s">
        <v>28</v>
      </c>
      <c r="K320" s="146"/>
      <c r="L320" s="146"/>
      <c r="M320" s="146"/>
      <c r="O320" s="146" t="s">
        <v>37</v>
      </c>
      <c r="P320" s="146"/>
      <c r="Q320" s="146"/>
      <c r="R320" s="146"/>
      <c r="T320" s="146" t="s">
        <v>80</v>
      </c>
      <c r="U320" s="146"/>
      <c r="V320" s="146"/>
      <c r="W320" s="146"/>
      <c r="X320" s="146"/>
      <c r="AA320" s="146" t="s">
        <v>35</v>
      </c>
      <c r="AB320" s="146"/>
      <c r="AC320" s="146"/>
      <c r="AD320" s="146"/>
      <c r="AE320" s="146"/>
      <c r="AF320" s="146"/>
    </row>
    <row r="321" spans="1:45">
      <c r="B321" s="148" t="s">
        <v>81</v>
      </c>
      <c r="C321" s="148"/>
      <c r="D321" s="148"/>
      <c r="E321" s="148"/>
      <c r="F321" s="148"/>
      <c r="J321" s="147" t="s">
        <v>83</v>
      </c>
      <c r="K321" s="147"/>
      <c r="L321" s="147"/>
      <c r="M321" s="147"/>
      <c r="O321" s="148" t="s">
        <v>83</v>
      </c>
      <c r="P321" s="148"/>
      <c r="Q321" s="148"/>
      <c r="R321" s="148"/>
      <c r="T321" s="165" t="s">
        <v>84</v>
      </c>
      <c r="U321" s="165"/>
      <c r="V321" s="165"/>
      <c r="W321" s="165"/>
      <c r="X321" s="165"/>
      <c r="AA321" s="148" t="s">
        <v>47</v>
      </c>
      <c r="AB321" s="148"/>
      <c r="AC321" s="148"/>
      <c r="AD321" s="148"/>
      <c r="AE321" s="148"/>
      <c r="AF321" s="148"/>
    </row>
    <row r="322" spans="1:45">
      <c r="B322" s="117"/>
      <c r="C322" s="117"/>
      <c r="D322" s="117"/>
      <c r="E322" s="117"/>
      <c r="F322" s="117"/>
      <c r="G322" s="117"/>
      <c r="N322" s="116"/>
      <c r="O322" s="116"/>
      <c r="P322" s="116"/>
      <c r="Q322" s="116"/>
      <c r="R322" s="116"/>
      <c r="S322" s="116"/>
      <c r="T322" s="116"/>
      <c r="U322" s="116"/>
      <c r="AA322" s="116"/>
      <c r="AB322" s="116"/>
      <c r="AC322" s="116"/>
      <c r="AD322" s="116"/>
      <c r="AE322" s="116"/>
      <c r="AF322" s="116"/>
    </row>
    <row r="324" spans="1:45" ht="18.75">
      <c r="A324" s="149" t="s">
        <v>82</v>
      </c>
      <c r="B324" s="149"/>
      <c r="C324" s="149"/>
      <c r="D324" s="149"/>
      <c r="E324" s="149"/>
      <c r="F324" s="149"/>
      <c r="G324" s="149"/>
      <c r="H324" s="149"/>
      <c r="I324" s="149"/>
      <c r="J324" s="149"/>
      <c r="K324" s="149"/>
      <c r="L324" s="149"/>
      <c r="M324" s="149"/>
      <c r="N324" s="149"/>
      <c r="O324" s="149"/>
      <c r="P324" s="149"/>
      <c r="Q324" s="149"/>
      <c r="R324" s="149"/>
      <c r="S324" s="149"/>
      <c r="T324" s="149"/>
      <c r="U324" s="149"/>
      <c r="V324" s="149"/>
      <c r="W324" s="149"/>
      <c r="X324" s="149"/>
      <c r="Y324" s="149"/>
      <c r="Z324" s="149"/>
      <c r="AA324" s="149"/>
      <c r="AB324" s="149"/>
      <c r="AC324" s="149"/>
      <c r="AD324" s="149"/>
      <c r="AE324" s="149"/>
      <c r="AF324" s="149"/>
      <c r="AG324" s="149"/>
    </row>
    <row r="325" spans="1:45">
      <c r="A325" s="1" t="s">
        <v>1</v>
      </c>
      <c r="B325" s="2" t="s">
        <v>7</v>
      </c>
      <c r="C325" s="2" t="s">
        <v>8</v>
      </c>
      <c r="D325" s="2" t="s">
        <v>2</v>
      </c>
      <c r="E325" s="2" t="s">
        <v>3</v>
      </c>
      <c r="F325" s="2" t="s">
        <v>4</v>
      </c>
      <c r="G325" s="84" t="s">
        <v>5</v>
      </c>
      <c r="H325" s="84" t="s">
        <v>6</v>
      </c>
      <c r="I325" s="2" t="s">
        <v>7</v>
      </c>
      <c r="J325" s="2" t="s">
        <v>8</v>
      </c>
      <c r="K325" s="2" t="s">
        <v>2</v>
      </c>
      <c r="L325" s="2" t="s">
        <v>3</v>
      </c>
      <c r="M325" s="2" t="s">
        <v>4</v>
      </c>
      <c r="N325" s="84" t="s">
        <v>5</v>
      </c>
      <c r="O325" s="84" t="s">
        <v>6</v>
      </c>
      <c r="P325" s="2" t="s">
        <v>7</v>
      </c>
      <c r="Q325" s="2" t="s">
        <v>8</v>
      </c>
      <c r="R325" s="2" t="s">
        <v>2</v>
      </c>
      <c r="S325" s="2" t="s">
        <v>3</v>
      </c>
      <c r="T325" s="2" t="s">
        <v>4</v>
      </c>
      <c r="U325" s="84" t="s">
        <v>5</v>
      </c>
      <c r="V325" s="84" t="s">
        <v>6</v>
      </c>
      <c r="W325" s="2" t="s">
        <v>7</v>
      </c>
      <c r="X325" s="2" t="s">
        <v>8</v>
      </c>
      <c r="Y325" s="2" t="s">
        <v>2</v>
      </c>
      <c r="Z325" s="2" t="s">
        <v>3</v>
      </c>
      <c r="AA325" s="2" t="s">
        <v>4</v>
      </c>
      <c r="AB325" s="84" t="s">
        <v>5</v>
      </c>
      <c r="AC325" s="84" t="s">
        <v>6</v>
      </c>
      <c r="AD325" s="2" t="s">
        <v>7</v>
      </c>
      <c r="AE325" s="2" t="s">
        <v>8</v>
      </c>
      <c r="AF325" s="2" t="s">
        <v>2</v>
      </c>
      <c r="AG325" s="26"/>
    </row>
    <row r="326" spans="1:45">
      <c r="A326" s="3" t="s">
        <v>9</v>
      </c>
      <c r="B326" s="15">
        <v>1</v>
      </c>
      <c r="C326" s="4">
        <v>2</v>
      </c>
      <c r="D326" s="4">
        <v>3</v>
      </c>
      <c r="E326" s="8">
        <v>4</v>
      </c>
      <c r="F326" s="8">
        <v>5</v>
      </c>
      <c r="G326" s="4">
        <v>6</v>
      </c>
      <c r="H326" s="4">
        <v>7</v>
      </c>
      <c r="I326" s="4">
        <v>8</v>
      </c>
      <c r="J326" s="4">
        <v>9</v>
      </c>
      <c r="K326" s="4">
        <v>10</v>
      </c>
      <c r="L326" s="4">
        <v>11</v>
      </c>
      <c r="M326" s="4">
        <v>12</v>
      </c>
      <c r="N326" s="4">
        <v>13</v>
      </c>
      <c r="O326" s="4">
        <v>14</v>
      </c>
      <c r="P326" s="4">
        <v>15</v>
      </c>
      <c r="Q326" s="4">
        <v>16</v>
      </c>
      <c r="R326" s="4">
        <v>17</v>
      </c>
      <c r="S326" s="4">
        <v>18</v>
      </c>
      <c r="T326" s="4">
        <v>19</v>
      </c>
      <c r="U326" s="4">
        <v>20</v>
      </c>
      <c r="V326" s="4">
        <v>21</v>
      </c>
      <c r="W326" s="4">
        <v>22</v>
      </c>
      <c r="X326" s="4">
        <v>23</v>
      </c>
      <c r="Y326" s="4">
        <v>24</v>
      </c>
      <c r="Z326" s="4">
        <v>25</v>
      </c>
      <c r="AA326" s="4">
        <v>26</v>
      </c>
      <c r="AB326" s="4">
        <v>27</v>
      </c>
      <c r="AC326" s="4">
        <v>28</v>
      </c>
      <c r="AD326" s="4">
        <v>29</v>
      </c>
      <c r="AE326" s="4">
        <v>30</v>
      </c>
      <c r="AF326" s="4">
        <v>31</v>
      </c>
      <c r="AG326" s="27">
        <v>24</v>
      </c>
      <c r="AJ326" s="56"/>
      <c r="AK326" s="56">
        <v>3</v>
      </c>
      <c r="AL326" s="56">
        <v>1</v>
      </c>
      <c r="AM326" s="56">
        <v>2</v>
      </c>
      <c r="AN326" s="56" t="s">
        <v>10</v>
      </c>
      <c r="AO326" s="56" t="s">
        <v>11</v>
      </c>
      <c r="AP326" s="56">
        <v>4</v>
      </c>
      <c r="AQ326" s="56">
        <v>5</v>
      </c>
    </row>
    <row r="327" spans="1:45">
      <c r="A327" s="150" t="s">
        <v>16</v>
      </c>
      <c r="B327" s="30"/>
      <c r="C327" s="8"/>
      <c r="D327" s="8"/>
      <c r="E327" s="8"/>
      <c r="F327" s="8"/>
      <c r="G327" s="8"/>
      <c r="H327" s="8"/>
      <c r="I327" s="29"/>
      <c r="J327" s="29"/>
      <c r="K327" s="29"/>
      <c r="L327" s="29"/>
      <c r="M327" s="29"/>
      <c r="N327" s="29"/>
      <c r="O327" s="29"/>
      <c r="P327" s="8"/>
      <c r="Q327" s="8"/>
      <c r="R327" s="8"/>
      <c r="S327" s="8"/>
      <c r="T327" s="8" t="s">
        <v>11</v>
      </c>
      <c r="U327" s="8" t="s">
        <v>10</v>
      </c>
      <c r="V327" s="8">
        <v>2</v>
      </c>
      <c r="W327" s="8"/>
      <c r="X327" s="8"/>
      <c r="Y327" s="8"/>
      <c r="Z327" s="8"/>
      <c r="AA327" s="8"/>
      <c r="AB327" s="8"/>
      <c r="AC327" s="8"/>
      <c r="AD327" s="8"/>
      <c r="AE327" s="8"/>
      <c r="AF327" s="8"/>
      <c r="AG327" s="17">
        <f>AS327</f>
        <v>2</v>
      </c>
      <c r="AH327">
        <f>COUNTIF($B327:$AF327,4)</f>
        <v>0</v>
      </c>
      <c r="AI327">
        <f>COUNTIF($B327:$AF327,5)</f>
        <v>0</v>
      </c>
      <c r="AK327" s="56">
        <f>COUNTIF($B327:$AF327,3)</f>
        <v>0</v>
      </c>
      <c r="AL327" s="56">
        <f>COUNTIF($B327:$AF327,1)</f>
        <v>0</v>
      </c>
      <c r="AM327" s="56">
        <f>COUNTIF($B327:$AF327,2)</f>
        <v>1</v>
      </c>
      <c r="AN327" s="56">
        <f>COUNTIF($B327:$AF327,"DO")</f>
        <v>1</v>
      </c>
      <c r="AO327" s="56">
        <f>COUNTIF($B327:$AF327,"R")</f>
        <v>1</v>
      </c>
      <c r="AP327" s="56">
        <f>COUNTIF($B327:$AF327,4)</f>
        <v>0</v>
      </c>
      <c r="AQ327" s="56">
        <f>COUNTIF($B327:$AF327,5)</f>
        <v>0</v>
      </c>
      <c r="AR327" s="10">
        <f t="shared" ref="AR327" si="116">SUM(AK327:AQ327)</f>
        <v>3</v>
      </c>
      <c r="AS327" s="82">
        <f>AQ327+AP327+AO327+AM327+AL327+AK327+((AH327+AI327)/2)</f>
        <v>2</v>
      </c>
    </row>
    <row r="328" spans="1:45">
      <c r="A328" s="151"/>
      <c r="B328" s="11"/>
      <c r="C328" s="12"/>
      <c r="D328" s="12"/>
      <c r="E328" s="12"/>
      <c r="F328" s="11"/>
      <c r="G328" s="12"/>
      <c r="H328" s="12"/>
      <c r="I328" s="12"/>
      <c r="J328" s="152"/>
      <c r="K328" s="153"/>
      <c r="L328" s="153"/>
      <c r="M328" s="154"/>
      <c r="N328" s="11"/>
      <c r="O328" s="12"/>
      <c r="P328" s="12"/>
      <c r="Q328" s="12"/>
      <c r="R328" s="11"/>
      <c r="S328" s="12"/>
      <c r="T328" s="12"/>
      <c r="U328" s="12"/>
      <c r="V328" s="11"/>
      <c r="W328" s="12"/>
      <c r="X328" s="12"/>
      <c r="Y328" s="12"/>
      <c r="Z328" s="11"/>
      <c r="AA328" s="12"/>
      <c r="AB328" s="12"/>
      <c r="AC328" s="12"/>
      <c r="AD328" s="12"/>
      <c r="AE328" s="12"/>
      <c r="AF328" s="12"/>
      <c r="AG328" s="17"/>
      <c r="AK328" s="56"/>
      <c r="AL328" s="56"/>
      <c r="AM328" s="56"/>
      <c r="AN328" s="56"/>
      <c r="AO328" s="56"/>
      <c r="AP328" s="56"/>
      <c r="AQ328" s="56"/>
      <c r="AR328" s="10"/>
      <c r="AS328" s="82"/>
    </row>
    <row r="329" spans="1:45">
      <c r="A329" s="150" t="s">
        <v>12</v>
      </c>
      <c r="B329" s="30"/>
      <c r="C329" s="29"/>
      <c r="D329" s="29"/>
      <c r="E329" s="8"/>
      <c r="F329" s="9"/>
      <c r="G329" s="8"/>
      <c r="H329" s="29"/>
      <c r="I329" s="41"/>
      <c r="J329" s="30"/>
      <c r="K329" s="29"/>
      <c r="L329" s="30"/>
      <c r="M329" s="41"/>
      <c r="N329" s="9"/>
      <c r="O329" s="8"/>
      <c r="P329" s="30"/>
      <c r="Q329" s="29"/>
      <c r="R329" s="30"/>
      <c r="S329" s="29"/>
      <c r="T329" s="30"/>
      <c r="U329" s="29">
        <v>2</v>
      </c>
      <c r="V329" s="9">
        <v>3</v>
      </c>
      <c r="W329" s="8">
        <v>1</v>
      </c>
      <c r="X329" s="9"/>
      <c r="Y329" s="8"/>
      <c r="Z329" s="9"/>
      <c r="AA329" s="8"/>
      <c r="AB329" s="9"/>
      <c r="AC329" s="8"/>
      <c r="AD329" s="9"/>
      <c r="AE329" s="8"/>
      <c r="AF329" s="29"/>
      <c r="AG329" s="17">
        <f>AS329</f>
        <v>3</v>
      </c>
      <c r="AH329">
        <f t="shared" ref="AH329:AH333" si="117">COUNTIF($B329:$AF329,4)</f>
        <v>0</v>
      </c>
      <c r="AI329">
        <f t="shared" ref="AI329:AI331" si="118">COUNTIF($B329:$AF329,5)</f>
        <v>0</v>
      </c>
      <c r="AK329" s="56">
        <f>COUNTIF($B329:$AF329,3)</f>
        <v>1</v>
      </c>
      <c r="AL329" s="56">
        <f>COUNTIF($B329:$AF329,1)</f>
        <v>1</v>
      </c>
      <c r="AM329" s="56">
        <f>COUNTIF($B329:$AF329,2)</f>
        <v>1</v>
      </c>
      <c r="AN329" s="56">
        <f>COUNTIF($B329:$AF329,"DO")</f>
        <v>0</v>
      </c>
      <c r="AO329" s="56">
        <f>COUNTIF($B329:$AF329,"R")</f>
        <v>0</v>
      </c>
      <c r="AP329" s="56">
        <f>COUNTIF($B329:$AF329,4)</f>
        <v>0</v>
      </c>
      <c r="AQ329" s="56">
        <f>COUNTIF($B329:$AF329,5)</f>
        <v>0</v>
      </c>
      <c r="AR329" s="10">
        <f t="shared" ref="AR329" si="119">SUM(AK329:AQ329)</f>
        <v>3</v>
      </c>
      <c r="AS329" s="82">
        <f t="shared" ref="AS329" si="120">AQ329+AP329+AO329+AM329+AL329+AK329+((AH329+AI329)/2)</f>
        <v>3</v>
      </c>
    </row>
    <row r="330" spans="1:45">
      <c r="A330" s="151"/>
      <c r="B330" s="32"/>
      <c r="C330" s="33"/>
      <c r="D330" s="33"/>
      <c r="E330" s="12"/>
      <c r="F330" s="12"/>
      <c r="G330" s="12"/>
      <c r="H330" s="28"/>
      <c r="I330" s="12"/>
      <c r="J330" s="28"/>
      <c r="K330" s="12"/>
      <c r="L330" s="12"/>
      <c r="M330" s="12"/>
      <c r="N330" s="4"/>
      <c r="O330" s="12"/>
      <c r="P330" s="12"/>
      <c r="Q330" s="12"/>
      <c r="R330" s="12"/>
      <c r="S330" s="12"/>
      <c r="T330" s="4"/>
      <c r="U330" s="12"/>
      <c r="V330" s="12"/>
      <c r="W330" s="12"/>
      <c r="X330" s="12"/>
      <c r="Y330" s="12"/>
      <c r="Z330" s="4"/>
      <c r="AA330" s="12"/>
      <c r="AB330" s="12"/>
      <c r="AC330" s="12"/>
      <c r="AD330" s="34"/>
      <c r="AE330" s="12"/>
      <c r="AF330" s="12"/>
      <c r="AG330" s="17"/>
      <c r="AK330" s="56"/>
      <c r="AL330" s="56"/>
      <c r="AM330" s="56"/>
      <c r="AN330" s="56"/>
      <c r="AO330" s="56"/>
      <c r="AP330" s="56"/>
      <c r="AQ330" s="56"/>
      <c r="AR330" s="10"/>
      <c r="AS330" s="82"/>
    </row>
    <row r="331" spans="1:45">
      <c r="A331" s="150" t="s">
        <v>13</v>
      </c>
      <c r="B331" s="29"/>
      <c r="C331" s="41"/>
      <c r="D331" s="41"/>
      <c r="E331" s="41"/>
      <c r="F331" s="41"/>
      <c r="G331" s="41"/>
      <c r="H331" s="8"/>
      <c r="I331" s="29"/>
      <c r="J331" s="41"/>
      <c r="K331" s="8"/>
      <c r="L331" s="9"/>
      <c r="M331" s="29"/>
      <c r="N331" s="29"/>
      <c r="O331" s="29"/>
      <c r="P331" s="41"/>
      <c r="Q331" s="29"/>
      <c r="R331" s="30"/>
      <c r="S331" s="8"/>
      <c r="T331" s="29">
        <v>3</v>
      </c>
      <c r="U331" s="29">
        <v>1</v>
      </c>
      <c r="V331" s="29" t="s">
        <v>10</v>
      </c>
      <c r="W331" s="8">
        <v>3</v>
      </c>
      <c r="X331" s="30">
        <v>1</v>
      </c>
      <c r="Y331" s="29"/>
      <c r="Z331" s="29"/>
      <c r="AA331" s="29"/>
      <c r="AB331" s="29"/>
      <c r="AC331" s="29"/>
      <c r="AD331" s="30"/>
      <c r="AE331" s="29"/>
      <c r="AF331" s="30"/>
      <c r="AG331" s="17">
        <f>AS331</f>
        <v>4</v>
      </c>
      <c r="AH331">
        <f t="shared" si="117"/>
        <v>0</v>
      </c>
      <c r="AI331">
        <f t="shared" si="118"/>
        <v>0</v>
      </c>
      <c r="AK331" s="56">
        <f>COUNTIF($B331:$AF331,3)</f>
        <v>2</v>
      </c>
      <c r="AL331" s="56">
        <f>COUNTIF($B331:$AF331,1)</f>
        <v>2</v>
      </c>
      <c r="AM331" s="56">
        <f>COUNTIF($B331:$AF331,2)</f>
        <v>0</v>
      </c>
      <c r="AN331" s="56">
        <f>COUNTIF($B331:$AF331,"DO")</f>
        <v>1</v>
      </c>
      <c r="AO331" s="56">
        <f>COUNTIF($B331:$AF331,"R")</f>
        <v>0</v>
      </c>
      <c r="AP331" s="56">
        <f>COUNTIF($B331:$AF331,4)</f>
        <v>0</v>
      </c>
      <c r="AQ331" s="56">
        <f>COUNTIF($B331:$AF331,5)</f>
        <v>0</v>
      </c>
      <c r="AR331" s="10">
        <f t="shared" ref="AR331" si="121">SUM(AK331:AQ331)</f>
        <v>5</v>
      </c>
      <c r="AS331" s="82">
        <f t="shared" ref="AS331" si="122">AQ331+AP331+AO331+AM331+AL331+AK331+((AH331+AI331)/2)</f>
        <v>4</v>
      </c>
    </row>
    <row r="332" spans="1:45">
      <c r="A332" s="151"/>
      <c r="B332" s="4"/>
      <c r="C332" s="35"/>
      <c r="D332" s="12"/>
      <c r="E332" s="12"/>
      <c r="F332" s="12"/>
      <c r="G332" s="12"/>
      <c r="H332" s="12"/>
      <c r="I332" s="12"/>
      <c r="J332" s="12"/>
      <c r="K332" s="12"/>
      <c r="L332" s="12"/>
      <c r="M332" s="12"/>
      <c r="N332" s="12"/>
      <c r="O332" s="12"/>
      <c r="P332" s="12"/>
      <c r="Q332" s="12"/>
      <c r="R332" s="12"/>
      <c r="S332" s="12"/>
      <c r="T332" s="12"/>
      <c r="U332" s="12"/>
      <c r="V332" s="12"/>
      <c r="W332" s="12"/>
      <c r="X332" s="33"/>
      <c r="Y332" s="33"/>
      <c r="Z332" s="33"/>
      <c r="AA332" s="33"/>
      <c r="AB332" s="33"/>
      <c r="AC332" s="33"/>
      <c r="AD332" s="42"/>
      <c r="AE332" s="33"/>
      <c r="AF332" s="43"/>
      <c r="AG332" s="17"/>
      <c r="AJ332" s="56"/>
      <c r="AK332" s="56"/>
      <c r="AL332" s="56"/>
      <c r="AM332" s="56"/>
      <c r="AN332" s="56"/>
      <c r="AO332" s="56"/>
      <c r="AP332" s="56"/>
      <c r="AQ332" s="56"/>
      <c r="AR332" s="10"/>
      <c r="AS332" s="10"/>
    </row>
    <row r="333" spans="1:45">
      <c r="A333" s="150" t="s">
        <v>14</v>
      </c>
      <c r="B333" s="29"/>
      <c r="C333" s="41"/>
      <c r="D333" s="41"/>
      <c r="E333" s="41">
        <v>2</v>
      </c>
      <c r="F333" s="41">
        <v>3</v>
      </c>
      <c r="G333" s="41">
        <v>1</v>
      </c>
      <c r="H333" s="29" t="s">
        <v>10</v>
      </c>
      <c r="I333" s="29"/>
      <c r="J333" s="29"/>
      <c r="K333" s="8"/>
      <c r="L333" s="9"/>
      <c r="M333" s="29"/>
      <c r="N333" s="29"/>
      <c r="O333" s="29"/>
      <c r="P333" s="29"/>
      <c r="Q333" s="8"/>
      <c r="R333" s="9"/>
      <c r="S333" s="29">
        <v>3</v>
      </c>
      <c r="T333" s="29">
        <v>1</v>
      </c>
      <c r="U333" s="29" t="s">
        <v>10</v>
      </c>
      <c r="V333" s="29" t="s">
        <v>10</v>
      </c>
      <c r="W333" s="29" t="s">
        <v>10</v>
      </c>
      <c r="X333" s="30">
        <v>2</v>
      </c>
      <c r="Y333" s="29"/>
      <c r="Z333" s="29"/>
      <c r="AA333" s="29"/>
      <c r="AB333" s="29"/>
      <c r="AC333" s="29"/>
      <c r="AD333" s="30"/>
      <c r="AE333" s="41"/>
      <c r="AF333" s="30"/>
      <c r="AG333" s="17">
        <f>AS333</f>
        <v>6</v>
      </c>
      <c r="AH333">
        <f t="shared" si="117"/>
        <v>0</v>
      </c>
      <c r="AJ333" s="56"/>
      <c r="AK333" s="56">
        <f>COUNTIF($B333:$AF333,3)</f>
        <v>2</v>
      </c>
      <c r="AL333" s="56">
        <f>COUNTIF($B333:$AF333,1)</f>
        <v>2</v>
      </c>
      <c r="AM333" s="56">
        <f>COUNTIF($B333:$AF333,2)</f>
        <v>2</v>
      </c>
      <c r="AN333" s="56">
        <f>COUNTIF($B333:$AF333,"DO")</f>
        <v>4</v>
      </c>
      <c r="AO333" s="56">
        <f>COUNTIF($B333:$AF333,"R")</f>
        <v>0</v>
      </c>
      <c r="AP333" s="56">
        <f>COUNTIF($B333:$AF333,4)</f>
        <v>0</v>
      </c>
      <c r="AQ333" s="56">
        <f>COUNTIF($B333:$AF333,5)</f>
        <v>0</v>
      </c>
      <c r="AR333" s="10">
        <f>SUM(AK333:AO333)</f>
        <v>10</v>
      </c>
      <c r="AS333" s="10">
        <f>AQ333+AP333+AO333+AM333+AL333+AK333</f>
        <v>6</v>
      </c>
    </row>
    <row r="334" spans="1:45">
      <c r="A334" s="151"/>
      <c r="B334" s="4"/>
      <c r="C334" s="12"/>
      <c r="D334" s="12"/>
      <c r="E334" s="12"/>
      <c r="F334" s="12"/>
      <c r="G334" s="4"/>
      <c r="H334" s="12"/>
      <c r="I334" s="12"/>
      <c r="J334" s="12"/>
      <c r="K334" s="12"/>
      <c r="L334" s="12"/>
      <c r="M334" s="4"/>
      <c r="N334" s="12"/>
      <c r="O334" s="12"/>
      <c r="P334" s="12"/>
      <c r="Q334" s="12"/>
      <c r="R334" s="12"/>
      <c r="S334" s="4"/>
      <c r="T334" s="12"/>
      <c r="U334" s="162" t="s">
        <v>85</v>
      </c>
      <c r="V334" s="163"/>
      <c r="W334" s="164"/>
      <c r="X334" s="12"/>
      <c r="Y334" s="4"/>
      <c r="Z334" s="12"/>
      <c r="AA334" s="12"/>
      <c r="AB334" s="12"/>
      <c r="AC334" s="14"/>
      <c r="AD334" s="12"/>
      <c r="AE334" s="34"/>
      <c r="AF334" s="12"/>
      <c r="AG334" s="17"/>
      <c r="AJ334" s="56"/>
      <c r="AK334" s="56"/>
      <c r="AL334" s="56"/>
      <c r="AM334" s="56"/>
      <c r="AN334" s="56"/>
      <c r="AO334" s="56"/>
      <c r="AP334" s="56"/>
      <c r="AQ334" s="56"/>
      <c r="AR334" s="10"/>
      <c r="AS334" s="10"/>
    </row>
    <row r="335" spans="1:45">
      <c r="A335" s="150" t="s">
        <v>15</v>
      </c>
      <c r="B335" s="29">
        <v>1</v>
      </c>
      <c r="C335" s="29">
        <v>3</v>
      </c>
      <c r="D335" s="29">
        <v>1</v>
      </c>
      <c r="E335" s="29" t="s">
        <v>10</v>
      </c>
      <c r="F335" s="29" t="s">
        <v>10</v>
      </c>
      <c r="G335" s="29" t="s">
        <v>10</v>
      </c>
      <c r="H335" s="29" t="s">
        <v>10</v>
      </c>
      <c r="I335" s="30">
        <v>3</v>
      </c>
      <c r="J335" s="29">
        <v>1</v>
      </c>
      <c r="K335" s="30"/>
      <c r="L335" s="29"/>
      <c r="M335" s="30"/>
      <c r="N335" s="30"/>
      <c r="O335" s="30"/>
      <c r="P335" s="30"/>
      <c r="Q335" s="29"/>
      <c r="R335" s="30"/>
      <c r="S335" s="29"/>
      <c r="T335" s="30"/>
      <c r="U335" s="29">
        <v>3</v>
      </c>
      <c r="V335" s="30">
        <v>1</v>
      </c>
      <c r="W335" s="29">
        <v>2</v>
      </c>
      <c r="X335" s="9"/>
      <c r="Y335" s="29"/>
      <c r="Z335" s="30"/>
      <c r="AA335" s="29"/>
      <c r="AB335" s="30"/>
      <c r="AC335" s="29"/>
      <c r="AD335" s="30"/>
      <c r="AE335" s="29"/>
      <c r="AF335" s="41"/>
      <c r="AG335" s="17">
        <f>AS335</f>
        <v>8</v>
      </c>
      <c r="AH335">
        <f>COUNTIF($B335:$AF335,4)</f>
        <v>0</v>
      </c>
      <c r="AI335">
        <f>COUNTIF($B335:$AF335,5)</f>
        <v>0</v>
      </c>
      <c r="AK335" s="56">
        <f>COUNTIF($B335:$AF335,3)</f>
        <v>3</v>
      </c>
      <c r="AL335" s="56">
        <f>COUNTIF($B335:$AF335,1)</f>
        <v>4</v>
      </c>
      <c r="AM335" s="56">
        <f>COUNTIF($B335:$AF335,2)</f>
        <v>1</v>
      </c>
      <c r="AN335" s="56">
        <f>COUNTIF($B335:$AF335,"DO")</f>
        <v>4</v>
      </c>
      <c r="AO335" s="56">
        <f>COUNTIF($B335:$AF335,"R")</f>
        <v>0</v>
      </c>
      <c r="AP335" s="56">
        <f>COUNTIF($B335:$AF335,4)</f>
        <v>0</v>
      </c>
      <c r="AQ335" s="56">
        <f>COUNTIF($B335:$AF335,5)</f>
        <v>0</v>
      </c>
      <c r="AR335" s="10">
        <f t="shared" ref="AR335" si="123">SUM(AK335:AQ335)</f>
        <v>12</v>
      </c>
      <c r="AS335" s="82">
        <f>AQ335+AP335+AO335+AM335+AL335+AK335+((AH335+AI335)/2)</f>
        <v>8</v>
      </c>
    </row>
    <row r="336" spans="1:45">
      <c r="A336" s="151"/>
      <c r="B336" s="4"/>
      <c r="C336" s="4"/>
      <c r="D336" s="4"/>
      <c r="E336" s="12" t="s">
        <v>89</v>
      </c>
      <c r="F336" s="12"/>
      <c r="G336" s="4"/>
      <c r="H336" s="33"/>
      <c r="I336" s="29"/>
      <c r="J336" s="12"/>
      <c r="K336" s="19"/>
      <c r="L336" s="12"/>
      <c r="M336" s="4"/>
      <c r="N336" s="12"/>
      <c r="O336" s="4"/>
      <c r="P336" s="12"/>
      <c r="Q336" s="12"/>
      <c r="R336" s="12"/>
      <c r="S336" s="4"/>
      <c r="T336" s="12"/>
      <c r="U336" s="4"/>
      <c r="V336" s="12"/>
      <c r="W336" s="12"/>
      <c r="X336" s="12"/>
      <c r="Y336" s="4"/>
      <c r="Z336" s="12"/>
      <c r="AA336" s="4"/>
      <c r="AB336" s="12"/>
      <c r="AC336" s="12"/>
      <c r="AD336" s="12"/>
      <c r="AE336" s="12"/>
      <c r="AF336" s="12"/>
      <c r="AG336" s="17"/>
      <c r="AK336" s="56"/>
      <c r="AL336" s="56"/>
      <c r="AM336" s="56"/>
      <c r="AN336" s="56"/>
      <c r="AO336" s="56"/>
      <c r="AP336" s="56"/>
      <c r="AQ336" s="56"/>
      <c r="AR336" s="10"/>
      <c r="AS336" s="82"/>
    </row>
    <row r="337" spans="1:45">
      <c r="A337" s="150" t="s">
        <v>31</v>
      </c>
      <c r="B337" s="29"/>
      <c r="C337" s="29"/>
      <c r="D337" s="29"/>
      <c r="E337" s="29"/>
      <c r="F337" s="30"/>
      <c r="G337" s="29"/>
      <c r="H337" s="30"/>
      <c r="I337" s="29"/>
      <c r="J337" s="30"/>
      <c r="K337" s="29"/>
      <c r="L337" s="9"/>
      <c r="M337" s="29"/>
      <c r="N337" s="30"/>
      <c r="O337" s="29"/>
      <c r="P337" s="29"/>
      <c r="Q337" s="29"/>
      <c r="R337" s="29">
        <v>3</v>
      </c>
      <c r="S337" s="30">
        <v>1</v>
      </c>
      <c r="T337" s="30" t="s">
        <v>10</v>
      </c>
      <c r="U337" s="29" t="s">
        <v>10</v>
      </c>
      <c r="V337" s="30" t="s">
        <v>10</v>
      </c>
      <c r="W337" s="29" t="s">
        <v>10</v>
      </c>
      <c r="X337" s="30">
        <v>3</v>
      </c>
      <c r="Y337" s="8">
        <v>1</v>
      </c>
      <c r="Z337" s="9"/>
      <c r="AA337" s="8"/>
      <c r="AB337" s="9"/>
      <c r="AC337" s="8"/>
      <c r="AD337" s="9"/>
      <c r="AE337" s="29"/>
      <c r="AF337" s="9"/>
      <c r="AG337" s="17">
        <f>AS337</f>
        <v>4</v>
      </c>
      <c r="AH337">
        <f t="shared" ref="AH337" si="124">COUNTIF($B337:$AF337,4)</f>
        <v>0</v>
      </c>
      <c r="AI337">
        <f t="shared" ref="AI337:AI343" si="125">COUNTIF($B337:$AF337,5)</f>
        <v>0</v>
      </c>
      <c r="AK337" s="56">
        <f>COUNTIF($B337:$AF337,3)</f>
        <v>2</v>
      </c>
      <c r="AL337" s="56">
        <f>COUNTIF($B337:$AF337,1)</f>
        <v>2</v>
      </c>
      <c r="AM337" s="56">
        <f>COUNTIF($B337:$AF337,2)</f>
        <v>0</v>
      </c>
      <c r="AN337" s="56">
        <f>COUNTIF($B337:$AF337,"DO")</f>
        <v>4</v>
      </c>
      <c r="AO337" s="56">
        <f>COUNTIF($B337:$AF337,"R")</f>
        <v>0</v>
      </c>
      <c r="AP337" s="56">
        <f>COUNTIF($B337:$AF337,4)</f>
        <v>0</v>
      </c>
      <c r="AQ337" s="56">
        <f>COUNTIF($B337:$AF337,5)</f>
        <v>0</v>
      </c>
      <c r="AR337" s="10">
        <f t="shared" ref="AR337" si="126">SUM(AK337:AQ337)</f>
        <v>8</v>
      </c>
      <c r="AS337" s="82">
        <f t="shared" ref="AS337" si="127">AQ337+AP337+AO337+AM337+AL337+AK337+((AH337+AI337)/2)</f>
        <v>4</v>
      </c>
    </row>
    <row r="338" spans="1:45">
      <c r="A338" s="151"/>
      <c r="B338" s="28"/>
      <c r="C338" s="4"/>
      <c r="D338" s="4"/>
      <c r="E338" s="12"/>
      <c r="F338" s="12"/>
      <c r="G338" s="4"/>
      <c r="H338" s="12"/>
      <c r="I338" s="18"/>
      <c r="J338" s="12"/>
      <c r="K338" s="19"/>
      <c r="L338" s="12"/>
      <c r="M338" s="4"/>
      <c r="N338" s="12"/>
      <c r="O338" s="4"/>
      <c r="P338" s="12"/>
      <c r="Q338" s="12"/>
      <c r="R338" s="12"/>
      <c r="S338" s="4"/>
      <c r="T338" s="12"/>
      <c r="U338" s="4"/>
      <c r="V338" s="12"/>
      <c r="W338" s="12"/>
      <c r="X338" s="12"/>
      <c r="Y338" s="4"/>
      <c r="Z338" s="12"/>
      <c r="AA338" s="4"/>
      <c r="AB338" s="12"/>
      <c r="AC338" s="12"/>
      <c r="AD338" s="12"/>
      <c r="AE338" s="12"/>
      <c r="AF338" s="12"/>
      <c r="AG338" s="71"/>
      <c r="AK338" s="56"/>
      <c r="AL338" s="56"/>
      <c r="AM338" s="56"/>
      <c r="AN338" s="56"/>
      <c r="AO338" s="56"/>
      <c r="AP338" s="56"/>
      <c r="AQ338" s="56"/>
      <c r="AR338" s="10"/>
      <c r="AS338" s="82"/>
    </row>
    <row r="339" spans="1:45">
      <c r="A339" s="31"/>
      <c r="B339" s="21"/>
      <c r="C339" s="21"/>
      <c r="D339" s="21"/>
      <c r="E339" s="22"/>
      <c r="F339" s="22"/>
      <c r="G339" s="21"/>
      <c r="H339" s="21"/>
      <c r="L339" s="22"/>
      <c r="M339" s="21"/>
      <c r="N339" s="21"/>
      <c r="O339" s="21"/>
      <c r="P339" s="21"/>
      <c r="Q339" s="22"/>
      <c r="R339" s="22"/>
      <c r="S339" s="21"/>
      <c r="T339" s="21"/>
      <c r="U339" s="21"/>
      <c r="V339" s="21"/>
      <c r="W339" s="22"/>
      <c r="X339" s="22"/>
      <c r="Y339" s="21"/>
      <c r="Z339" s="21"/>
      <c r="AA339" s="21"/>
      <c r="AB339" s="21"/>
      <c r="AC339" s="22"/>
      <c r="AI339">
        <f t="shared" si="125"/>
        <v>0</v>
      </c>
      <c r="AK339" s="56">
        <f>COUNTIF($B339:$AF339,3)</f>
        <v>0</v>
      </c>
      <c r="AL339" s="56">
        <f>COUNTIF($B339:$AF339,1)</f>
        <v>0</v>
      </c>
      <c r="AM339" s="56">
        <f>COUNTIF($B339:$AF339,2)</f>
        <v>0</v>
      </c>
      <c r="AN339" s="56">
        <f>COUNTIF($B339:$AF339,"DO")</f>
        <v>0</v>
      </c>
      <c r="AO339" s="56">
        <f>COUNTIF($B339:$AF339,"R")</f>
        <v>0</v>
      </c>
      <c r="AP339" s="56">
        <f>COUNTIF($B339:$AF339,4)</f>
        <v>0</v>
      </c>
      <c r="AQ339" s="56">
        <f>COUNTIF($B339:$AF339,5)</f>
        <v>0</v>
      </c>
      <c r="AR339" s="10">
        <f t="shared" ref="AR339" si="128">SUM(AK339:AQ339)</f>
        <v>0</v>
      </c>
      <c r="AS339" s="82">
        <f t="shared" ref="AS339" si="129">AQ339+AP339+AO339+AM339+AL339+AK339+((AH339+AI339)/2)</f>
        <v>0</v>
      </c>
    </row>
    <row r="340" spans="1:45">
      <c r="A340" s="20" t="s">
        <v>18</v>
      </c>
      <c r="B340" s="21"/>
      <c r="C340" s="21"/>
      <c r="D340" s="4">
        <v>1</v>
      </c>
      <c r="E340" s="22" t="s">
        <v>17</v>
      </c>
      <c r="F340" s="144" t="s">
        <v>19</v>
      </c>
      <c r="G340" s="144"/>
      <c r="H340" s="21" t="s">
        <v>17</v>
      </c>
      <c r="I340" s="145" t="s">
        <v>20</v>
      </c>
      <c r="J340" s="145"/>
      <c r="K340" s="22"/>
      <c r="L340" s="22"/>
      <c r="M340" s="21" t="s">
        <v>11</v>
      </c>
      <c r="N340" s="21" t="s">
        <v>17</v>
      </c>
      <c r="O340" s="145" t="s">
        <v>20</v>
      </c>
      <c r="P340" s="145"/>
      <c r="Q340" s="22" t="s">
        <v>17</v>
      </c>
      <c r="R340" s="144" t="s">
        <v>21</v>
      </c>
      <c r="S340" s="144"/>
      <c r="T340" s="21"/>
      <c r="U340" s="21"/>
      <c r="V340" s="21"/>
      <c r="W340" s="22"/>
      <c r="AD340" s="22"/>
      <c r="AE340" s="22"/>
      <c r="AF340" s="22"/>
      <c r="AK340" s="56"/>
      <c r="AL340" s="56"/>
      <c r="AM340" s="56"/>
      <c r="AN340" s="56"/>
      <c r="AO340" s="56"/>
      <c r="AP340" s="56"/>
      <c r="AQ340" s="56"/>
      <c r="AR340" s="10"/>
      <c r="AS340" s="82"/>
    </row>
    <row r="341" spans="1:45">
      <c r="A341" s="20"/>
      <c r="B341" s="21"/>
      <c r="C341" s="21"/>
      <c r="D341" s="4">
        <v>2</v>
      </c>
      <c r="E341" s="22" t="s">
        <v>17</v>
      </c>
      <c r="F341" s="144" t="s">
        <v>20</v>
      </c>
      <c r="G341" s="144"/>
      <c r="H341" s="21" t="s">
        <v>17</v>
      </c>
      <c r="I341" s="145" t="s">
        <v>22</v>
      </c>
      <c r="J341" s="145"/>
      <c r="K341" s="22"/>
      <c r="L341" s="22"/>
      <c r="M341" s="21" t="s">
        <v>10</v>
      </c>
      <c r="N341" s="21" t="s">
        <v>17</v>
      </c>
      <c r="O341" s="145" t="s">
        <v>23</v>
      </c>
      <c r="P341" s="145"/>
      <c r="Q341" s="22"/>
      <c r="R341" s="22"/>
      <c r="S341" s="21"/>
      <c r="T341" s="21"/>
      <c r="U341" s="21"/>
      <c r="V341" s="21"/>
      <c r="W341" s="22"/>
      <c r="X341" s="47"/>
      <c r="Y341" s="21"/>
      <c r="Z341" s="21"/>
      <c r="AA341" s="49"/>
      <c r="AB341" s="21"/>
      <c r="AC341" s="22"/>
      <c r="AD341" s="22"/>
      <c r="AE341" s="22"/>
      <c r="AF341" s="22"/>
      <c r="AI341">
        <f t="shared" si="125"/>
        <v>0</v>
      </c>
      <c r="AK341" s="56">
        <f>COUNTIF($B341:$AF341,3)</f>
        <v>0</v>
      </c>
      <c r="AL341" s="56">
        <f>COUNTIF($B341:$AF341,1)</f>
        <v>0</v>
      </c>
      <c r="AM341" s="56">
        <f>COUNTIF($B341:$AF341,2)</f>
        <v>1</v>
      </c>
      <c r="AN341" s="56">
        <f>COUNTIF($B341:$AF341,"DO")</f>
        <v>1</v>
      </c>
      <c r="AO341" s="56">
        <f>COUNTIF($B341:$AF341,"R")</f>
        <v>0</v>
      </c>
      <c r="AP341" s="56">
        <f>COUNTIF($B341:$AF341,4)</f>
        <v>0</v>
      </c>
      <c r="AQ341" s="56">
        <f>COUNTIF($B341:$AF341,5)</f>
        <v>0</v>
      </c>
      <c r="AR341" s="10">
        <f t="shared" ref="AR341" si="130">SUM(AK341:AQ341)</f>
        <v>2</v>
      </c>
      <c r="AS341" s="82">
        <f t="shared" ref="AS341" si="131">AQ341+AP341+AO341+AM341+AL341+AK341+((AH341+AI341)/2)</f>
        <v>1</v>
      </c>
    </row>
    <row r="342" spans="1:45">
      <c r="A342" s="20"/>
      <c r="B342" s="21"/>
      <c r="C342" s="21"/>
      <c r="D342" s="4">
        <v>3</v>
      </c>
      <c r="E342" s="22" t="s">
        <v>17</v>
      </c>
      <c r="F342" s="144" t="s">
        <v>22</v>
      </c>
      <c r="G342" s="144"/>
      <c r="H342" s="21" t="s">
        <v>17</v>
      </c>
      <c r="I342" s="145" t="s">
        <v>24</v>
      </c>
      <c r="J342" s="145"/>
      <c r="K342" s="22"/>
      <c r="L342" s="22"/>
      <c r="M342" s="7"/>
      <c r="N342" s="22"/>
      <c r="O342" s="23"/>
      <c r="P342" s="22"/>
      <c r="Q342" s="22"/>
      <c r="R342" s="22"/>
      <c r="S342" s="22"/>
      <c r="T342" s="21"/>
      <c r="U342" s="21"/>
      <c r="V342" s="21"/>
      <c r="W342" s="22"/>
      <c r="X342" s="48"/>
      <c r="Y342" s="21"/>
      <c r="Z342" s="21"/>
      <c r="AA342" s="49"/>
      <c r="AB342" s="21"/>
      <c r="AC342" s="22"/>
      <c r="AD342" s="22"/>
      <c r="AE342" s="22"/>
      <c r="AF342" s="22"/>
      <c r="AK342" s="56"/>
      <c r="AL342" s="56"/>
      <c r="AM342" s="56"/>
      <c r="AN342" s="56"/>
      <c r="AO342" s="56"/>
      <c r="AP342" s="56"/>
      <c r="AQ342" s="56"/>
      <c r="AR342" s="10"/>
      <c r="AS342" s="82"/>
    </row>
    <row r="343" spans="1:45">
      <c r="A343" s="20"/>
      <c r="B343" s="21"/>
      <c r="C343" s="21"/>
      <c r="K343" s="22"/>
      <c r="L343" s="22"/>
      <c r="M343" s="7"/>
      <c r="N343" s="22"/>
      <c r="O343" s="23"/>
      <c r="P343" s="22"/>
      <c r="Q343" s="22"/>
      <c r="R343" s="22"/>
      <c r="S343" s="22"/>
      <c r="T343" s="21"/>
      <c r="U343" s="21"/>
      <c r="V343" s="21"/>
      <c r="W343" s="22"/>
      <c r="X343" s="48"/>
      <c r="Y343" s="21"/>
      <c r="Z343" s="21"/>
      <c r="AA343" s="50"/>
      <c r="AB343" s="21"/>
      <c r="AC343" s="22"/>
      <c r="AD343" s="22"/>
      <c r="AE343" s="22"/>
      <c r="AF343" s="22"/>
      <c r="AI343">
        <f t="shared" si="125"/>
        <v>0</v>
      </c>
      <c r="AK343" s="56">
        <f>COUNTIF($B343:$AF343,3)</f>
        <v>0</v>
      </c>
      <c r="AL343" s="56">
        <f>COUNTIF($B343:$AF343,1)</f>
        <v>0</v>
      </c>
      <c r="AM343" s="56">
        <f>COUNTIF($B343:$AF343,2)</f>
        <v>0</v>
      </c>
      <c r="AN343" s="56">
        <f>COUNTIF($B343:$AF343,"DO")</f>
        <v>0</v>
      </c>
      <c r="AO343" s="56">
        <f>COUNTIF($B343:$AF343,"R")</f>
        <v>0</v>
      </c>
      <c r="AP343" s="56">
        <f>COUNTIF($B343:$AF343,4)</f>
        <v>0</v>
      </c>
      <c r="AQ343" s="56">
        <f>COUNTIF($B343:$AF343,5)</f>
        <v>0</v>
      </c>
      <c r="AR343" s="10">
        <f>SUM(AK343:AQ343)</f>
        <v>0</v>
      </c>
      <c r="AS343" s="82">
        <f t="shared" ref="AS343" si="132">AQ343+AP343+AO343+AM343+AL343+AK343+((AH343+AI343)/2)</f>
        <v>0</v>
      </c>
    </row>
    <row r="344" spans="1:45">
      <c r="A344" s="20"/>
      <c r="B344" s="21"/>
      <c r="C344" s="21"/>
      <c r="K344" s="22"/>
      <c r="L344" s="22"/>
      <c r="M344" s="7"/>
      <c r="N344" s="22"/>
      <c r="O344" s="23"/>
      <c r="P344" s="22"/>
      <c r="Q344" s="22"/>
      <c r="R344" s="22"/>
      <c r="S344" s="22"/>
      <c r="T344" s="21"/>
      <c r="U344" s="21"/>
      <c r="V344" s="21"/>
      <c r="W344" s="22"/>
      <c r="X344" s="47"/>
      <c r="Y344" s="21"/>
      <c r="Z344" s="21"/>
      <c r="AA344" s="49"/>
      <c r="AB344" s="21"/>
      <c r="AC344" s="22"/>
      <c r="AD344" s="22"/>
      <c r="AE344" s="22"/>
      <c r="AF344" s="22"/>
    </row>
    <row r="345" spans="1:45">
      <c r="A345" s="20"/>
      <c r="B345" s="21"/>
      <c r="C345" s="21"/>
      <c r="K345" s="22"/>
      <c r="L345" s="22"/>
      <c r="M345" s="21"/>
      <c r="N345" s="21"/>
      <c r="O345" s="21"/>
      <c r="P345" s="21"/>
      <c r="Q345" s="22"/>
      <c r="R345" s="22"/>
      <c r="S345" s="21"/>
      <c r="T345" s="21"/>
      <c r="U345" s="21"/>
      <c r="V345" s="21"/>
      <c r="W345" s="22"/>
      <c r="X345" s="47"/>
      <c r="Y345" s="21"/>
      <c r="Z345" s="21"/>
      <c r="AA345" s="50"/>
      <c r="AB345" s="21"/>
      <c r="AC345" s="22"/>
      <c r="AD345" s="22"/>
      <c r="AE345" s="22"/>
      <c r="AF345" s="22"/>
    </row>
    <row r="346" spans="1:45">
      <c r="A346" s="20" t="s">
        <v>25</v>
      </c>
      <c r="B346" s="21"/>
      <c r="C346" s="21"/>
      <c r="D346" s="21"/>
      <c r="E346" s="22"/>
      <c r="F346" s="22"/>
      <c r="G346" s="22"/>
      <c r="H346" s="21"/>
      <c r="I346" s="20"/>
      <c r="J346" s="21"/>
      <c r="K346" s="21"/>
      <c r="L346" s="21" t="s">
        <v>26</v>
      </c>
      <c r="M346" s="22"/>
      <c r="N346" s="22"/>
      <c r="O346" s="22"/>
      <c r="P346" s="21"/>
      <c r="Q346" s="22"/>
      <c r="R346" s="22"/>
      <c r="S346" s="21"/>
      <c r="T346" s="24"/>
      <c r="U346" s="24"/>
      <c r="V346" s="24"/>
      <c r="W346" s="24"/>
      <c r="X346" s="24"/>
      <c r="Y346" s="21" t="s">
        <v>27</v>
      </c>
      <c r="Z346" s="21"/>
      <c r="AA346" s="21"/>
      <c r="AB346" s="21"/>
      <c r="AC346" s="22"/>
      <c r="AD346" s="22"/>
      <c r="AE346" s="22"/>
      <c r="AF346" s="22"/>
    </row>
    <row r="347" spans="1:45">
      <c r="L347" s="25"/>
      <c r="M347" s="25"/>
      <c r="N347" s="25"/>
      <c r="O347" s="25"/>
      <c r="P347" s="25"/>
      <c r="Q347" s="25"/>
      <c r="X347" s="25"/>
      <c r="Y347" s="25"/>
      <c r="Z347" s="25"/>
      <c r="AA347" s="25"/>
      <c r="AB347" s="25"/>
      <c r="AC347" s="25"/>
    </row>
    <row r="348" spans="1:45">
      <c r="B348" s="146" t="s">
        <v>70</v>
      </c>
      <c r="C348" s="146"/>
      <c r="D348" s="146"/>
      <c r="E348" s="146"/>
      <c r="F348" s="146"/>
      <c r="G348" s="146"/>
      <c r="H348" s="25"/>
      <c r="J348" s="25"/>
      <c r="N348" s="146" t="s">
        <v>28</v>
      </c>
      <c r="O348" s="146"/>
      <c r="P348" s="146"/>
      <c r="Q348" s="146"/>
      <c r="R348" s="146"/>
      <c r="S348" s="146"/>
      <c r="T348" s="146"/>
      <c r="U348" s="146"/>
      <c r="AA348" s="146" t="s">
        <v>35</v>
      </c>
      <c r="AB348" s="146"/>
      <c r="AC348" s="146"/>
      <c r="AD348" s="146"/>
      <c r="AE348" s="146"/>
      <c r="AF348" s="146"/>
    </row>
    <row r="349" spans="1:45">
      <c r="B349" s="147" t="s">
        <v>29</v>
      </c>
      <c r="C349" s="147"/>
      <c r="D349" s="147"/>
      <c r="E349" s="147"/>
      <c r="F349" s="147"/>
      <c r="G349" s="147"/>
      <c r="N349" s="147" t="s">
        <v>30</v>
      </c>
      <c r="O349" s="147"/>
      <c r="P349" s="147"/>
      <c r="Q349" s="147"/>
      <c r="R349" s="147"/>
      <c r="S349" s="147"/>
      <c r="T349" s="147"/>
      <c r="AA349" s="148" t="s">
        <v>47</v>
      </c>
      <c r="AB349" s="148"/>
      <c r="AC349" s="148"/>
      <c r="AD349" s="148"/>
      <c r="AE349" s="148"/>
      <c r="AF349" s="148"/>
    </row>
    <row r="352" spans="1:45" ht="18.75">
      <c r="A352" s="149" t="s">
        <v>86</v>
      </c>
      <c r="B352" s="149"/>
      <c r="C352" s="149"/>
      <c r="D352" s="149"/>
      <c r="E352" s="149"/>
      <c r="F352" s="149"/>
      <c r="G352" s="149"/>
      <c r="H352" s="149"/>
      <c r="I352" s="149"/>
      <c r="J352" s="149"/>
      <c r="K352" s="149"/>
      <c r="L352" s="149"/>
      <c r="M352" s="149"/>
      <c r="N352" s="149"/>
      <c r="O352" s="149"/>
      <c r="P352" s="149"/>
      <c r="Q352" s="149"/>
      <c r="R352" s="149"/>
      <c r="S352" s="149"/>
      <c r="T352" s="149"/>
      <c r="U352" s="149"/>
      <c r="V352" s="149"/>
      <c r="W352" s="149"/>
      <c r="X352" s="149"/>
      <c r="Y352" s="149"/>
      <c r="Z352" s="149"/>
      <c r="AA352" s="149"/>
      <c r="AB352" s="149"/>
      <c r="AC352" s="149"/>
      <c r="AD352" s="149"/>
      <c r="AE352" s="149"/>
      <c r="AF352" s="149"/>
      <c r="AG352" s="149"/>
    </row>
    <row r="353" spans="1:45">
      <c r="A353" s="1" t="s">
        <v>1</v>
      </c>
      <c r="B353" s="2" t="s">
        <v>3</v>
      </c>
      <c r="C353" s="2" t="s">
        <v>4</v>
      </c>
      <c r="D353" s="84" t="s">
        <v>5</v>
      </c>
      <c r="E353" s="84" t="s">
        <v>6</v>
      </c>
      <c r="F353" s="2" t="s">
        <v>7</v>
      </c>
      <c r="G353" s="2" t="s">
        <v>8</v>
      </c>
      <c r="H353" s="2" t="s">
        <v>2</v>
      </c>
      <c r="I353" s="2" t="s">
        <v>3</v>
      </c>
      <c r="J353" s="2" t="s">
        <v>4</v>
      </c>
      <c r="K353" s="84" t="s">
        <v>5</v>
      </c>
      <c r="L353" s="84" t="s">
        <v>6</v>
      </c>
      <c r="M353" s="2" t="s">
        <v>7</v>
      </c>
      <c r="N353" s="2" t="s">
        <v>8</v>
      </c>
      <c r="O353" s="2" t="s">
        <v>2</v>
      </c>
      <c r="P353" s="2" t="s">
        <v>3</v>
      </c>
      <c r="Q353" s="2" t="s">
        <v>4</v>
      </c>
      <c r="R353" s="84" t="s">
        <v>5</v>
      </c>
      <c r="S353" s="84" t="s">
        <v>6</v>
      </c>
      <c r="T353" s="2" t="s">
        <v>7</v>
      </c>
      <c r="U353" s="2" t="s">
        <v>8</v>
      </c>
      <c r="V353" s="2" t="s">
        <v>2</v>
      </c>
      <c r="W353" s="2" t="s">
        <v>3</v>
      </c>
      <c r="X353" s="2" t="s">
        <v>4</v>
      </c>
      <c r="Y353" s="84" t="s">
        <v>5</v>
      </c>
      <c r="Z353" s="84" t="s">
        <v>6</v>
      </c>
      <c r="AA353" s="2" t="s">
        <v>7</v>
      </c>
      <c r="AB353" s="2" t="s">
        <v>8</v>
      </c>
      <c r="AC353" s="2" t="s">
        <v>2</v>
      </c>
      <c r="AD353" s="2" t="s">
        <v>3</v>
      </c>
      <c r="AE353" s="2" t="s">
        <v>4</v>
      </c>
      <c r="AF353" s="84" t="s">
        <v>5</v>
      </c>
      <c r="AG353" s="26"/>
    </row>
    <row r="354" spans="1:45">
      <c r="A354" s="3" t="s">
        <v>9</v>
      </c>
      <c r="B354" s="15">
        <v>1</v>
      </c>
      <c r="C354" s="4">
        <v>2</v>
      </c>
      <c r="D354" s="4">
        <v>3</v>
      </c>
      <c r="E354" s="8">
        <v>4</v>
      </c>
      <c r="F354" s="8">
        <v>5</v>
      </c>
      <c r="G354" s="4">
        <v>6</v>
      </c>
      <c r="H354" s="4">
        <v>7</v>
      </c>
      <c r="I354" s="4">
        <v>8</v>
      </c>
      <c r="J354" s="4">
        <v>9</v>
      </c>
      <c r="K354" s="4">
        <v>10</v>
      </c>
      <c r="L354" s="4">
        <v>11</v>
      </c>
      <c r="M354" s="4">
        <v>12</v>
      </c>
      <c r="N354" s="4">
        <v>13</v>
      </c>
      <c r="O354" s="4">
        <v>14</v>
      </c>
      <c r="P354" s="4">
        <v>15</v>
      </c>
      <c r="Q354" s="4">
        <v>16</v>
      </c>
      <c r="R354" s="4">
        <v>17</v>
      </c>
      <c r="S354" s="4">
        <v>18</v>
      </c>
      <c r="T354" s="4">
        <v>19</v>
      </c>
      <c r="U354" s="4">
        <v>20</v>
      </c>
      <c r="V354" s="4">
        <v>21</v>
      </c>
      <c r="W354" s="4">
        <v>22</v>
      </c>
      <c r="X354" s="4">
        <v>23</v>
      </c>
      <c r="Y354" s="4">
        <v>24</v>
      </c>
      <c r="Z354" s="4">
        <v>25</v>
      </c>
      <c r="AA354" s="4">
        <v>26</v>
      </c>
      <c r="AB354" s="4">
        <v>27</v>
      </c>
      <c r="AC354" s="4">
        <v>28</v>
      </c>
      <c r="AD354" s="4">
        <v>29</v>
      </c>
      <c r="AE354" s="4">
        <v>30</v>
      </c>
      <c r="AF354" s="4">
        <v>31</v>
      </c>
      <c r="AG354" s="27">
        <v>24</v>
      </c>
      <c r="AJ354" s="56"/>
      <c r="AK354" s="56">
        <v>3</v>
      </c>
      <c r="AL354" s="56">
        <v>1</v>
      </c>
      <c r="AM354" s="56">
        <v>2</v>
      </c>
      <c r="AN354" s="56" t="s">
        <v>10</v>
      </c>
      <c r="AO354" s="56" t="s">
        <v>11</v>
      </c>
      <c r="AP354" s="56">
        <v>4</v>
      </c>
      <c r="AQ354" s="56">
        <v>5</v>
      </c>
    </row>
    <row r="355" spans="1:45">
      <c r="A355" s="150" t="s">
        <v>12</v>
      </c>
      <c r="B355" s="9" t="s">
        <v>10</v>
      </c>
      <c r="C355" s="126">
        <v>3</v>
      </c>
      <c r="D355" s="126">
        <v>1</v>
      </c>
      <c r="E355" s="8"/>
      <c r="F355" s="8"/>
      <c r="G355" s="8"/>
      <c r="H355" s="8"/>
      <c r="I355" s="29"/>
      <c r="J355" s="29"/>
      <c r="K355" s="29"/>
      <c r="L355" s="29"/>
      <c r="M355" s="29"/>
      <c r="N355" s="29"/>
      <c r="O355" s="29"/>
      <c r="P355" s="8"/>
      <c r="Q355" s="8"/>
      <c r="R355" s="8"/>
      <c r="S355" s="8"/>
      <c r="T355" s="8"/>
      <c r="U355" s="8"/>
      <c r="V355" s="8"/>
      <c r="W355" s="8"/>
      <c r="X355" s="8"/>
      <c r="Y355" s="8"/>
      <c r="Z355" s="8"/>
      <c r="AA355" s="8"/>
      <c r="AB355" s="8"/>
      <c r="AC355" s="8"/>
      <c r="AD355" s="8"/>
      <c r="AE355" s="8"/>
      <c r="AF355" s="8"/>
      <c r="AG355" s="17">
        <f>AS355</f>
        <v>2</v>
      </c>
      <c r="AH355">
        <f>COUNTIF($B355:$AF355,4)</f>
        <v>0</v>
      </c>
      <c r="AI355">
        <f>COUNTIF($B355:$AF355,5)</f>
        <v>0</v>
      </c>
      <c r="AK355" s="56">
        <f>COUNTIF($B355:$AF355,3)</f>
        <v>1</v>
      </c>
      <c r="AL355" s="56">
        <f>COUNTIF($B355:$AF355,1)</f>
        <v>1</v>
      </c>
      <c r="AM355" s="56">
        <f>COUNTIF($B355:$AF355,2)</f>
        <v>0</v>
      </c>
      <c r="AN355" s="56">
        <f>COUNTIF($B355:$AF355,"DO")</f>
        <v>1</v>
      </c>
      <c r="AO355" s="56">
        <f>COUNTIF($B355:$AF355,"R")</f>
        <v>0</v>
      </c>
      <c r="AP355" s="56">
        <f>COUNTIF($B355:$AF355,4)</f>
        <v>0</v>
      </c>
      <c r="AQ355" s="56">
        <f>COUNTIF($B355:$AF355,5)</f>
        <v>0</v>
      </c>
      <c r="AR355" s="10">
        <f t="shared" ref="AR355" si="133">SUM(AK355:AQ355)</f>
        <v>3</v>
      </c>
      <c r="AS355" s="82">
        <f>AQ355+AP355+AO355+AM355+AL355+AK355+((AH355+AI355)/2)</f>
        <v>2</v>
      </c>
    </row>
    <row r="356" spans="1:45">
      <c r="A356" s="151"/>
      <c r="B356" s="15"/>
      <c r="C356" s="14"/>
      <c r="D356" s="14"/>
      <c r="E356" s="12"/>
      <c r="F356" s="11"/>
      <c r="G356" s="12"/>
      <c r="H356" s="12"/>
      <c r="I356" s="12"/>
      <c r="J356" s="152"/>
      <c r="K356" s="153"/>
      <c r="L356" s="153"/>
      <c r="M356" s="154"/>
      <c r="N356" s="11"/>
      <c r="O356" s="12"/>
      <c r="P356" s="12"/>
      <c r="Q356" s="12"/>
      <c r="R356" s="11"/>
      <c r="S356" s="12"/>
      <c r="T356" s="12"/>
      <c r="U356" s="12"/>
      <c r="V356" s="11"/>
      <c r="W356" s="12"/>
      <c r="X356" s="12"/>
      <c r="Y356" s="12"/>
      <c r="Z356" s="11"/>
      <c r="AA356" s="12"/>
      <c r="AB356" s="12"/>
      <c r="AC356" s="12"/>
      <c r="AD356" s="12"/>
      <c r="AE356" s="12"/>
      <c r="AF356" s="12"/>
      <c r="AG356" s="17"/>
      <c r="AK356" s="56"/>
      <c r="AL356" s="56"/>
      <c r="AM356" s="56"/>
      <c r="AN356" s="56"/>
      <c r="AO356" s="56"/>
      <c r="AP356" s="56"/>
      <c r="AQ356" s="56"/>
      <c r="AR356" s="10"/>
      <c r="AS356" s="82"/>
    </row>
    <row r="357" spans="1:45">
      <c r="A357" s="150" t="s">
        <v>13</v>
      </c>
      <c r="B357" s="126">
        <v>3</v>
      </c>
      <c r="C357" s="126">
        <v>1</v>
      </c>
      <c r="D357" s="126">
        <v>2</v>
      </c>
      <c r="E357" s="8"/>
      <c r="F357" s="9"/>
      <c r="G357" s="8"/>
      <c r="H357" s="29"/>
      <c r="I357" s="41"/>
      <c r="J357" s="30"/>
      <c r="K357" s="29"/>
      <c r="L357" s="30"/>
      <c r="M357" s="41"/>
      <c r="N357" s="9"/>
      <c r="O357" s="8"/>
      <c r="P357" s="30"/>
      <c r="Q357" s="29"/>
      <c r="R357" s="30"/>
      <c r="S357" s="29"/>
      <c r="T357" s="30"/>
      <c r="U357" s="29"/>
      <c r="V357" s="9"/>
      <c r="W357" s="8"/>
      <c r="X357" s="9"/>
      <c r="Y357" s="8"/>
      <c r="Z357" s="9"/>
      <c r="AA357" s="8"/>
      <c r="AB357" s="9"/>
      <c r="AC357" s="8"/>
      <c r="AD357" s="9"/>
      <c r="AE357" s="8"/>
      <c r="AF357" s="29"/>
      <c r="AG357" s="17">
        <f>AS357</f>
        <v>3</v>
      </c>
      <c r="AH357">
        <f t="shared" ref="AH357:AH359" si="134">COUNTIF($B357:$AF357,4)</f>
        <v>0</v>
      </c>
      <c r="AI357">
        <f t="shared" ref="AI357:AI359" si="135">COUNTIF($B357:$AF357,5)</f>
        <v>0</v>
      </c>
      <c r="AK357" s="56">
        <f>COUNTIF($B357:$AF357,3)</f>
        <v>1</v>
      </c>
      <c r="AL357" s="56">
        <f>COUNTIF($B357:$AF357,1)</f>
        <v>1</v>
      </c>
      <c r="AM357" s="56">
        <f>COUNTIF($B357:$AF357,2)</f>
        <v>1</v>
      </c>
      <c r="AN357" s="56">
        <f>COUNTIF($B357:$AF357,"DO")</f>
        <v>0</v>
      </c>
      <c r="AO357" s="56">
        <f>COUNTIF($B357:$AF357,"R")</f>
        <v>0</v>
      </c>
      <c r="AP357" s="56">
        <f>COUNTIF($B357:$AF357,4)</f>
        <v>0</v>
      </c>
      <c r="AQ357" s="56">
        <f>COUNTIF($B357:$AF357,5)</f>
        <v>0</v>
      </c>
      <c r="AR357" s="10">
        <f t="shared" ref="AR357" si="136">SUM(AK357:AQ357)</f>
        <v>3</v>
      </c>
      <c r="AS357" s="82">
        <f t="shared" ref="AS357" si="137">AQ357+AP357+AO357+AM357+AL357+AK357+((AH357+AI357)/2)</f>
        <v>3</v>
      </c>
    </row>
    <row r="358" spans="1:45">
      <c r="A358" s="151"/>
      <c r="B358" s="126"/>
      <c r="C358" s="126"/>
      <c r="D358" s="126"/>
      <c r="E358" s="12"/>
      <c r="F358" s="12"/>
      <c r="G358" s="12"/>
      <c r="H358" s="28"/>
      <c r="I358" s="12"/>
      <c r="J358" s="28"/>
      <c r="K358" s="12"/>
      <c r="L358" s="12"/>
      <c r="M358" s="12"/>
      <c r="N358" s="4"/>
      <c r="O358" s="12"/>
      <c r="P358" s="12"/>
      <c r="Q358" s="12"/>
      <c r="R358" s="12"/>
      <c r="S358" s="12"/>
      <c r="T358" s="4"/>
      <c r="U358" s="12"/>
      <c r="V358" s="12"/>
      <c r="W358" s="12"/>
      <c r="X358" s="12"/>
      <c r="Y358" s="12"/>
      <c r="Z358" s="4"/>
      <c r="AA358" s="12"/>
      <c r="AB358" s="12"/>
      <c r="AC358" s="12"/>
      <c r="AD358" s="34"/>
      <c r="AE358" s="12"/>
      <c r="AF358" s="12"/>
      <c r="AG358" s="17"/>
      <c r="AK358" s="56"/>
      <c r="AL358" s="56"/>
      <c r="AM358" s="56"/>
      <c r="AN358" s="56"/>
      <c r="AO358" s="56"/>
      <c r="AP358" s="56"/>
      <c r="AQ358" s="56"/>
      <c r="AR358" s="10"/>
      <c r="AS358" s="82"/>
    </row>
    <row r="359" spans="1:45">
      <c r="A359" s="150" t="s">
        <v>14</v>
      </c>
      <c r="B359" s="9">
        <v>3</v>
      </c>
      <c r="C359" s="126">
        <v>1</v>
      </c>
      <c r="D359" s="126" t="s">
        <v>10</v>
      </c>
      <c r="E359" s="41"/>
      <c r="F359" s="41"/>
      <c r="G359" s="41"/>
      <c r="H359" s="8"/>
      <c r="I359" s="29"/>
      <c r="J359" s="41"/>
      <c r="K359" s="8"/>
      <c r="L359" s="9"/>
      <c r="M359" s="29"/>
      <c r="N359" s="29"/>
      <c r="O359" s="29"/>
      <c r="P359" s="41"/>
      <c r="Q359" s="29"/>
      <c r="R359" s="30"/>
      <c r="S359" s="8"/>
      <c r="T359" s="29"/>
      <c r="U359" s="29"/>
      <c r="V359" s="8"/>
      <c r="W359" s="8"/>
      <c r="X359" s="30"/>
      <c r="Y359" s="29"/>
      <c r="Z359" s="29"/>
      <c r="AA359" s="29"/>
      <c r="AB359" s="29"/>
      <c r="AC359" s="29"/>
      <c r="AD359" s="30"/>
      <c r="AE359" s="29"/>
      <c r="AF359" s="30"/>
      <c r="AG359" s="17">
        <f>AS359</f>
        <v>2</v>
      </c>
      <c r="AH359">
        <f t="shared" si="134"/>
        <v>0</v>
      </c>
      <c r="AI359">
        <f t="shared" si="135"/>
        <v>0</v>
      </c>
      <c r="AK359" s="56">
        <f>COUNTIF($B359:$AF359,3)</f>
        <v>1</v>
      </c>
      <c r="AL359" s="56">
        <f>COUNTIF($B359:$AF359,1)</f>
        <v>1</v>
      </c>
      <c r="AM359" s="56">
        <f>COUNTIF($B359:$AF359,2)</f>
        <v>0</v>
      </c>
      <c r="AN359" s="56">
        <f>COUNTIF($B359:$AF359,"DO")</f>
        <v>1</v>
      </c>
      <c r="AO359" s="56">
        <f>COUNTIF($B359:$AF359,"R")</f>
        <v>0</v>
      </c>
      <c r="AP359" s="56">
        <f>COUNTIF($B359:$AF359,4)</f>
        <v>0</v>
      </c>
      <c r="AQ359" s="56">
        <f>COUNTIF($B359:$AF359,5)</f>
        <v>0</v>
      </c>
      <c r="AR359" s="10">
        <f t="shared" ref="AR359" si="138">SUM(AK359:AQ359)</f>
        <v>3</v>
      </c>
      <c r="AS359" s="82">
        <f t="shared" ref="AS359" si="139">AQ359+AP359+AO359+AM359+AL359+AK359+((AH359+AI359)/2)</f>
        <v>2</v>
      </c>
    </row>
    <row r="360" spans="1:45">
      <c r="A360" s="151"/>
      <c r="B360" s="15"/>
      <c r="C360" s="142"/>
      <c r="D360" s="14"/>
      <c r="E360" s="12"/>
      <c r="F360" s="12"/>
      <c r="G360" s="12"/>
      <c r="H360" s="12"/>
      <c r="I360" s="12"/>
      <c r="J360" s="12"/>
      <c r="K360" s="12"/>
      <c r="L360" s="12"/>
      <c r="M360" s="12"/>
      <c r="N360" s="12"/>
      <c r="O360" s="12"/>
      <c r="P360" s="12"/>
      <c r="Q360" s="12"/>
      <c r="R360" s="12"/>
      <c r="S360" s="12"/>
      <c r="T360" s="12"/>
      <c r="U360" s="12"/>
      <c r="V360" s="12"/>
      <c r="W360" s="12"/>
      <c r="X360" s="33"/>
      <c r="Y360" s="33"/>
      <c r="Z360" s="33"/>
      <c r="AA360" s="33"/>
      <c r="AB360" s="33"/>
      <c r="AC360" s="33"/>
      <c r="AD360" s="42"/>
      <c r="AE360" s="33"/>
      <c r="AF360" s="43"/>
      <c r="AG360" s="17"/>
      <c r="AJ360" s="56"/>
      <c r="AK360" s="56"/>
      <c r="AL360" s="56"/>
      <c r="AM360" s="56"/>
      <c r="AN360" s="56"/>
      <c r="AO360" s="56"/>
      <c r="AP360" s="56"/>
      <c r="AQ360" s="56"/>
      <c r="AR360" s="10"/>
      <c r="AS360" s="10"/>
    </row>
    <row r="361" spans="1:45">
      <c r="A361" s="150" t="s">
        <v>15</v>
      </c>
      <c r="B361" s="126" t="s">
        <v>10</v>
      </c>
      <c r="C361" s="126">
        <v>3</v>
      </c>
      <c r="D361" s="126">
        <v>1</v>
      </c>
      <c r="E361" s="41"/>
      <c r="F361" s="41"/>
      <c r="G361" s="41"/>
      <c r="H361" s="8"/>
      <c r="I361" s="29"/>
      <c r="J361" s="29"/>
      <c r="K361" s="8"/>
      <c r="L361" s="9"/>
      <c r="M361" s="29"/>
      <c r="N361" s="29"/>
      <c r="O361" s="29"/>
      <c r="P361" s="29"/>
      <c r="Q361" s="8"/>
      <c r="R361" s="9"/>
      <c r="S361" s="8"/>
      <c r="T361" s="8"/>
      <c r="U361" s="29"/>
      <c r="V361" s="29"/>
      <c r="W361" s="29"/>
      <c r="X361" s="30"/>
      <c r="Y361" s="29"/>
      <c r="Z361" s="29"/>
      <c r="AA361" s="29"/>
      <c r="AB361" s="29"/>
      <c r="AC361" s="29"/>
      <c r="AD361" s="30"/>
      <c r="AE361" s="41"/>
      <c r="AF361" s="30"/>
      <c r="AG361" s="17">
        <f>AS361</f>
        <v>2</v>
      </c>
      <c r="AH361">
        <v>4</v>
      </c>
      <c r="AJ361" s="56"/>
      <c r="AK361" s="56">
        <f>COUNTIF($B361:$AF361,3)</f>
        <v>1</v>
      </c>
      <c r="AL361" s="56">
        <f>COUNTIF($B361:$AF361,1)</f>
        <v>1</v>
      </c>
      <c r="AM361" s="56">
        <f>COUNTIF($B361:$AF361,2)</f>
        <v>0</v>
      </c>
      <c r="AN361" s="56">
        <f>COUNTIF($B361:$AF361,"DO")</f>
        <v>1</v>
      </c>
      <c r="AO361" s="56">
        <f>COUNTIF($B361:$AF361,"R")</f>
        <v>0</v>
      </c>
      <c r="AP361" s="56">
        <f>COUNTIF($B361:$AF361,4)</f>
        <v>0</v>
      </c>
      <c r="AQ361" s="56">
        <f>COUNTIF($B361:$AF361,5)</f>
        <v>0</v>
      </c>
      <c r="AR361" s="10">
        <f>SUM(AK361:AO361)</f>
        <v>3</v>
      </c>
      <c r="AS361" s="10">
        <f>AQ361+AP361+AO361+AM361+AL361+AK361</f>
        <v>2</v>
      </c>
    </row>
    <row r="362" spans="1:45">
      <c r="A362" s="151"/>
      <c r="B362" s="15"/>
      <c r="C362" s="14"/>
      <c r="D362" s="14"/>
      <c r="E362" s="12"/>
      <c r="F362" s="12"/>
      <c r="G362" s="4"/>
      <c r="H362" s="12"/>
      <c r="I362" s="12"/>
      <c r="J362" s="12"/>
      <c r="K362" s="12"/>
      <c r="L362" s="12"/>
      <c r="M362" s="4"/>
      <c r="N362" s="12"/>
      <c r="O362" s="12"/>
      <c r="P362" s="12"/>
      <c r="Q362" s="12"/>
      <c r="R362" s="12"/>
      <c r="S362" s="4"/>
      <c r="T362" s="12"/>
      <c r="U362" s="94"/>
      <c r="V362" s="94"/>
      <c r="W362" s="94"/>
      <c r="X362" s="12"/>
      <c r="Y362" s="4"/>
      <c r="Z362" s="12"/>
      <c r="AA362" s="12"/>
      <c r="AB362" s="12"/>
      <c r="AC362" s="14"/>
      <c r="AD362" s="12"/>
      <c r="AE362" s="34"/>
      <c r="AF362" s="12"/>
      <c r="AG362" s="17"/>
      <c r="AJ362" s="56"/>
      <c r="AK362" s="56"/>
      <c r="AL362" s="56"/>
      <c r="AM362" s="56"/>
      <c r="AN362" s="56"/>
      <c r="AO362" s="56"/>
      <c r="AP362" s="56"/>
      <c r="AQ362" s="56"/>
      <c r="AR362" s="10"/>
      <c r="AS362" s="10"/>
    </row>
    <row r="363" spans="1:45">
      <c r="A363" s="150" t="s">
        <v>15</v>
      </c>
      <c r="B363" s="126">
        <v>1</v>
      </c>
      <c r="C363" s="126">
        <v>2</v>
      </c>
      <c r="D363" s="126" t="s">
        <v>10</v>
      </c>
      <c r="E363" s="29"/>
      <c r="F363" s="41"/>
      <c r="G363" s="29"/>
      <c r="H363" s="41"/>
      <c r="I363" s="30"/>
      <c r="J363" s="29"/>
      <c r="K363" s="30"/>
      <c r="L363" s="29"/>
      <c r="M363" s="30"/>
      <c r="N363" s="30"/>
      <c r="O363" s="30"/>
      <c r="P363" s="30"/>
      <c r="Q363" s="29"/>
      <c r="R363" s="30"/>
      <c r="S363" s="29"/>
      <c r="T363" s="30"/>
      <c r="U363" s="29"/>
      <c r="V363" s="30"/>
      <c r="W363" s="29"/>
      <c r="X363" s="9"/>
      <c r="Y363" s="29"/>
      <c r="Z363" s="30"/>
      <c r="AA363" s="29"/>
      <c r="AB363" s="30"/>
      <c r="AC363" s="29"/>
      <c r="AD363" s="30"/>
      <c r="AE363" s="29"/>
      <c r="AF363" s="41"/>
      <c r="AG363" s="17">
        <f>AS363</f>
        <v>2</v>
      </c>
      <c r="AH363">
        <f>COUNTIF($B363:$AF363,4)</f>
        <v>0</v>
      </c>
      <c r="AI363">
        <f>COUNTIF($B363:$AF363,5)</f>
        <v>0</v>
      </c>
      <c r="AK363" s="56">
        <f>COUNTIF($B363:$AF363,3)</f>
        <v>0</v>
      </c>
      <c r="AL363" s="56">
        <f>COUNTIF($B363:$AF363,1)</f>
        <v>1</v>
      </c>
      <c r="AM363" s="56">
        <f>COUNTIF($B363:$AF363,2)</f>
        <v>1</v>
      </c>
      <c r="AN363" s="56">
        <f>COUNTIF($B363:$AF363,"DO")</f>
        <v>1</v>
      </c>
      <c r="AO363" s="56">
        <f>COUNTIF($B363:$AF363,"R")</f>
        <v>0</v>
      </c>
      <c r="AP363" s="56">
        <f>COUNTIF($B363:$AF363,4)</f>
        <v>0</v>
      </c>
      <c r="AQ363" s="56">
        <f>COUNTIF($B363:$AF363,5)</f>
        <v>0</v>
      </c>
      <c r="AR363" s="10">
        <f t="shared" ref="AR363" si="140">SUM(AK363:AQ363)</f>
        <v>3</v>
      </c>
      <c r="AS363" s="82">
        <f>AQ363+AP363+AO363+AM363+AL363+AK363+((AH363+AI363)/2)</f>
        <v>2</v>
      </c>
    </row>
    <row r="364" spans="1:45">
      <c r="A364" s="151"/>
      <c r="B364" s="4"/>
      <c r="C364" s="4"/>
      <c r="D364" s="4"/>
      <c r="E364" s="12"/>
      <c r="F364" s="12"/>
      <c r="G364" s="4"/>
      <c r="H364" s="33"/>
      <c r="I364" s="29"/>
      <c r="J364" s="12"/>
      <c r="K364" s="19"/>
      <c r="L364" s="12"/>
      <c r="M364" s="4"/>
      <c r="N364" s="12"/>
      <c r="O364" s="4"/>
      <c r="P364" s="12"/>
      <c r="Q364" s="12"/>
      <c r="R364" s="12"/>
      <c r="S364" s="4"/>
      <c r="T364" s="12"/>
      <c r="U364" s="4"/>
      <c r="V364" s="12"/>
      <c r="W364" s="12"/>
      <c r="X364" s="12"/>
      <c r="Y364" s="4"/>
      <c r="Z364" s="12"/>
      <c r="AA364" s="4"/>
      <c r="AB364" s="12"/>
      <c r="AC364" s="12"/>
      <c r="AD364" s="12"/>
      <c r="AE364" s="12"/>
      <c r="AF364" s="12"/>
      <c r="AG364" s="17"/>
      <c r="AK364" s="56"/>
      <c r="AL364" s="56"/>
      <c r="AM364" s="56"/>
      <c r="AN364" s="56"/>
      <c r="AO364" s="56"/>
      <c r="AP364" s="56"/>
      <c r="AQ364" s="56"/>
      <c r="AR364" s="10"/>
      <c r="AS364" s="82"/>
    </row>
    <row r="365" spans="1:45">
      <c r="A365" s="150" t="s">
        <v>16</v>
      </c>
      <c r="B365" s="9">
        <v>2</v>
      </c>
      <c r="C365" s="126" t="s">
        <v>11</v>
      </c>
      <c r="D365" s="126" t="s">
        <v>11</v>
      </c>
      <c r="E365" s="29"/>
      <c r="F365" s="30"/>
      <c r="G365" s="29"/>
      <c r="H365" s="30"/>
      <c r="I365" s="29"/>
      <c r="J365" s="30"/>
      <c r="K365" s="29"/>
      <c r="L365" s="9"/>
      <c r="M365" s="29"/>
      <c r="N365" s="30"/>
      <c r="O365" s="29"/>
      <c r="P365" s="29"/>
      <c r="Q365" s="29"/>
      <c r="R365" s="29"/>
      <c r="S365" s="29"/>
      <c r="T365" s="29"/>
      <c r="U365" s="29"/>
      <c r="V365" s="29"/>
      <c r="W365" s="41"/>
      <c r="X365" s="30"/>
      <c r="Y365" s="8"/>
      <c r="Z365" s="9"/>
      <c r="AA365" s="8"/>
      <c r="AB365" s="9"/>
      <c r="AC365" s="8"/>
      <c r="AD365" s="9"/>
      <c r="AE365" s="29"/>
      <c r="AF365" s="9"/>
      <c r="AG365" s="17">
        <f>AS365</f>
        <v>3</v>
      </c>
      <c r="AH365">
        <f t="shared" ref="AH365" si="141">COUNTIF($B365:$AF365,4)</f>
        <v>0</v>
      </c>
      <c r="AI365">
        <f t="shared" ref="AI365:AI375" si="142">COUNTIF($B365:$AF365,5)</f>
        <v>0</v>
      </c>
      <c r="AK365" s="56">
        <f>COUNTIF($B365:$AF365,3)</f>
        <v>0</v>
      </c>
      <c r="AL365" s="56">
        <f>COUNTIF($B365:$AF365,1)</f>
        <v>0</v>
      </c>
      <c r="AM365" s="56">
        <f>COUNTIF($B365:$AF365,2)</f>
        <v>1</v>
      </c>
      <c r="AN365" s="56">
        <f>COUNTIF($B365:$AF365,"DO")</f>
        <v>0</v>
      </c>
      <c r="AO365" s="56">
        <f>COUNTIF($B365:$AF365,"R")</f>
        <v>2</v>
      </c>
      <c r="AP365" s="56">
        <f>COUNTIF($B365:$AF365,4)</f>
        <v>0</v>
      </c>
      <c r="AQ365" s="56">
        <f>COUNTIF($B365:$AF365,5)</f>
        <v>0</v>
      </c>
      <c r="AR365" s="10">
        <f t="shared" ref="AR365" si="143">SUM(AK365:AQ365)</f>
        <v>3</v>
      </c>
      <c r="AS365" s="82">
        <f t="shared" ref="AS365" si="144">AQ365+AP365+AO365+AM365+AL365+AK365+((AH365+AI365)/2)</f>
        <v>3</v>
      </c>
    </row>
    <row r="366" spans="1:45">
      <c r="A366" s="151"/>
      <c r="B366" s="28"/>
      <c r="C366" s="4"/>
      <c r="D366" s="4"/>
      <c r="E366" s="12"/>
      <c r="F366" s="12"/>
      <c r="G366" s="4"/>
      <c r="H366" s="12"/>
      <c r="I366" s="18"/>
      <c r="J366" s="12"/>
      <c r="K366" s="19"/>
      <c r="L366" s="12"/>
      <c r="M366" s="4"/>
      <c r="N366" s="12"/>
      <c r="O366" s="4"/>
      <c r="P366" s="12"/>
      <c r="Q366" s="12"/>
      <c r="R366" s="12"/>
      <c r="S366" s="4"/>
      <c r="T366" s="12"/>
      <c r="U366" s="4"/>
      <c r="V366" s="12"/>
      <c r="W366" s="12"/>
      <c r="X366" s="12"/>
      <c r="Y366" s="4"/>
      <c r="Z366" s="12"/>
      <c r="AA366" s="4"/>
      <c r="AB366" s="12"/>
      <c r="AC366" s="12"/>
      <c r="AD366" s="12"/>
      <c r="AE366" s="12"/>
      <c r="AF366" s="12"/>
      <c r="AG366" s="71"/>
      <c r="AK366" s="56"/>
      <c r="AL366" s="56"/>
      <c r="AM366" s="56"/>
      <c r="AN366" s="56"/>
      <c r="AO366" s="56"/>
      <c r="AP366" s="56"/>
      <c r="AQ366" s="56"/>
      <c r="AR366" s="10"/>
      <c r="AS366" s="82"/>
    </row>
    <row r="367" spans="1:45">
      <c r="A367" s="150" t="s">
        <v>71</v>
      </c>
      <c r="B367" s="30" t="s">
        <v>11</v>
      </c>
      <c r="C367" s="30" t="s">
        <v>11</v>
      </c>
      <c r="D367" s="30" t="s">
        <v>11</v>
      </c>
      <c r="E367" s="30" t="s">
        <v>11</v>
      </c>
      <c r="F367" s="30" t="s">
        <v>11</v>
      </c>
      <c r="G367" s="8" t="s">
        <v>10</v>
      </c>
      <c r="H367" s="8" t="s">
        <v>10</v>
      </c>
      <c r="I367" s="115" t="s">
        <v>11</v>
      </c>
      <c r="J367" s="115" t="s">
        <v>11</v>
      </c>
      <c r="K367" s="115" t="s">
        <v>11</v>
      </c>
      <c r="L367" s="115" t="s">
        <v>11</v>
      </c>
      <c r="M367" s="115" t="s">
        <v>11</v>
      </c>
      <c r="N367" s="115">
        <v>3</v>
      </c>
      <c r="O367" s="115">
        <v>1</v>
      </c>
      <c r="P367" s="8" t="s">
        <v>11</v>
      </c>
      <c r="Q367" s="8" t="s">
        <v>11</v>
      </c>
      <c r="R367" s="8" t="s">
        <v>11</v>
      </c>
      <c r="S367" s="8" t="s">
        <v>11</v>
      </c>
      <c r="T367" s="8" t="s">
        <v>11</v>
      </c>
      <c r="U367" s="8" t="s">
        <v>10</v>
      </c>
      <c r="V367" s="8" t="s">
        <v>10</v>
      </c>
      <c r="W367" s="8" t="s">
        <v>11</v>
      </c>
      <c r="X367" s="8" t="s">
        <v>11</v>
      </c>
      <c r="Y367" s="8" t="s">
        <v>11</v>
      </c>
      <c r="Z367" s="8" t="s">
        <v>11</v>
      </c>
      <c r="AA367" s="8" t="s">
        <v>11</v>
      </c>
      <c r="AB367" s="8">
        <v>3</v>
      </c>
      <c r="AC367" s="8">
        <v>1</v>
      </c>
      <c r="AD367" s="8" t="s">
        <v>11</v>
      </c>
      <c r="AE367" s="8" t="s">
        <v>11</v>
      </c>
      <c r="AF367" s="8" t="s">
        <v>11</v>
      </c>
      <c r="AG367" s="17">
        <f>AS367</f>
        <v>27</v>
      </c>
      <c r="AI367">
        <f t="shared" si="142"/>
        <v>0</v>
      </c>
      <c r="AK367" s="56">
        <f>COUNTIF($B367:$AF367,3)</f>
        <v>2</v>
      </c>
      <c r="AL367" s="56">
        <f>COUNTIF($B367:$AF367,1)</f>
        <v>2</v>
      </c>
      <c r="AM367" s="56">
        <f>COUNTIF($B367:$AF367,2)</f>
        <v>0</v>
      </c>
      <c r="AN367" s="56">
        <f>COUNTIF($B367:$AF367,"DO")</f>
        <v>4</v>
      </c>
      <c r="AO367" s="56">
        <f>COUNTIF($B367:$AF367,"R")</f>
        <v>23</v>
      </c>
      <c r="AP367" s="56">
        <f>COUNTIF($B367:$AF367,4)</f>
        <v>0</v>
      </c>
      <c r="AQ367" s="56">
        <f>COUNTIF($B367:$AF367,5)</f>
        <v>0</v>
      </c>
      <c r="AR367" s="10">
        <f t="shared" ref="AR367" si="145">SUM(AK367:AQ367)</f>
        <v>31</v>
      </c>
      <c r="AS367" s="82">
        <f t="shared" ref="AS367" si="146">AQ367+AP367+AO367+AM367+AL367+AK367+((AH367+AI367)/2)</f>
        <v>27</v>
      </c>
    </row>
    <row r="368" spans="1:45">
      <c r="A368" s="151"/>
      <c r="B368" s="11"/>
      <c r="C368" s="12"/>
      <c r="D368" s="12"/>
      <c r="E368" s="12"/>
      <c r="F368" s="11"/>
      <c r="G368" s="12"/>
      <c r="H368" s="12"/>
      <c r="I368" s="12"/>
      <c r="J368" s="95"/>
      <c r="K368" s="96"/>
      <c r="L368" s="96"/>
      <c r="M368" s="97"/>
      <c r="N368" s="11"/>
      <c r="O368" s="12"/>
      <c r="P368" s="12"/>
      <c r="Q368" s="12"/>
      <c r="R368" s="11"/>
      <c r="S368" s="12"/>
      <c r="T368" s="12"/>
      <c r="U368" s="12"/>
      <c r="V368" s="11"/>
      <c r="W368" s="12"/>
      <c r="X368" s="12"/>
      <c r="Y368" s="12"/>
      <c r="Z368" s="11"/>
      <c r="AA368" s="12"/>
      <c r="AB368" s="12"/>
      <c r="AC368" s="12"/>
      <c r="AD368" s="12"/>
      <c r="AE368" s="12"/>
      <c r="AF368" s="12"/>
      <c r="AG368" s="17"/>
      <c r="AK368" s="56"/>
      <c r="AL368" s="56"/>
      <c r="AM368" s="56"/>
      <c r="AN368" s="56"/>
      <c r="AO368" s="56"/>
      <c r="AP368" s="56"/>
      <c r="AQ368" s="56"/>
      <c r="AR368" s="10"/>
      <c r="AS368" s="82"/>
    </row>
    <row r="369" spans="1:45">
      <c r="A369" s="150" t="s">
        <v>73</v>
      </c>
      <c r="B369" s="4" t="s">
        <v>11</v>
      </c>
      <c r="C369" s="12" t="s">
        <v>11</v>
      </c>
      <c r="D369" s="8" t="s">
        <v>11</v>
      </c>
      <c r="E369" s="8" t="s">
        <v>11</v>
      </c>
      <c r="F369" s="8" t="s">
        <v>11</v>
      </c>
      <c r="G369" s="12">
        <v>3</v>
      </c>
      <c r="H369" s="8">
        <v>1</v>
      </c>
      <c r="I369" s="12" t="s">
        <v>11</v>
      </c>
      <c r="J369" s="8" t="s">
        <v>11</v>
      </c>
      <c r="K369" s="8" t="s">
        <v>11</v>
      </c>
      <c r="L369" s="8" t="s">
        <v>11</v>
      </c>
      <c r="M369" s="8" t="s">
        <v>11</v>
      </c>
      <c r="N369" s="8" t="s">
        <v>10</v>
      </c>
      <c r="O369" s="8" t="s">
        <v>10</v>
      </c>
      <c r="P369" s="12" t="s">
        <v>11</v>
      </c>
      <c r="Q369" s="12" t="s">
        <v>11</v>
      </c>
      <c r="R369" s="8" t="s">
        <v>11</v>
      </c>
      <c r="S369" s="8" t="s">
        <v>11</v>
      </c>
      <c r="T369" s="8" t="s">
        <v>11</v>
      </c>
      <c r="U369" s="12">
        <v>3</v>
      </c>
      <c r="V369" s="12">
        <v>1</v>
      </c>
      <c r="W369" s="12" t="s">
        <v>11</v>
      </c>
      <c r="X369" s="12" t="s">
        <v>11</v>
      </c>
      <c r="Y369" s="8" t="s">
        <v>11</v>
      </c>
      <c r="Z369" s="8" t="s">
        <v>11</v>
      </c>
      <c r="AA369" s="8" t="s">
        <v>11</v>
      </c>
      <c r="AB369" s="8" t="s">
        <v>10</v>
      </c>
      <c r="AC369" s="8" t="s">
        <v>10</v>
      </c>
      <c r="AD369" s="98" t="s">
        <v>11</v>
      </c>
      <c r="AE369" s="12" t="s">
        <v>11</v>
      </c>
      <c r="AF369" s="12" t="s">
        <v>11</v>
      </c>
      <c r="AG369" s="17">
        <f>AS369</f>
        <v>0</v>
      </c>
      <c r="AK369" s="56"/>
      <c r="AL369" s="56"/>
      <c r="AM369" s="56"/>
      <c r="AN369" s="56"/>
      <c r="AO369" s="56"/>
      <c r="AP369" s="56"/>
      <c r="AQ369" s="56"/>
      <c r="AR369" s="10"/>
      <c r="AS369" s="82"/>
    </row>
    <row r="370" spans="1:45">
      <c r="A370" s="151"/>
      <c r="B370" s="32"/>
      <c r="C370" s="33"/>
      <c r="D370" s="33"/>
      <c r="E370" s="12"/>
      <c r="F370" s="12"/>
      <c r="G370" s="12"/>
      <c r="H370" s="28"/>
      <c r="I370" s="12"/>
      <c r="J370" s="28"/>
      <c r="K370" s="12"/>
      <c r="L370" s="12"/>
      <c r="M370" s="12"/>
      <c r="N370" s="4"/>
      <c r="O370" s="12"/>
      <c r="P370" s="12"/>
      <c r="Q370" s="12"/>
      <c r="R370" s="12"/>
      <c r="S370" s="12"/>
      <c r="T370" s="4"/>
      <c r="U370" s="12"/>
      <c r="V370" s="12"/>
      <c r="W370" s="12"/>
      <c r="X370" s="12"/>
      <c r="Y370" s="12"/>
      <c r="Z370" s="4"/>
      <c r="AA370" s="12"/>
      <c r="AB370" s="12"/>
      <c r="AC370" s="12"/>
      <c r="AD370" s="34"/>
      <c r="AE370" s="12"/>
      <c r="AF370" s="12"/>
      <c r="AG370" s="17"/>
      <c r="AK370" s="56"/>
      <c r="AL370" s="56"/>
      <c r="AM370" s="56"/>
      <c r="AN370" s="56"/>
      <c r="AO370" s="56"/>
      <c r="AP370" s="56"/>
      <c r="AQ370" s="56"/>
      <c r="AR370" s="10"/>
      <c r="AS370" s="82"/>
    </row>
    <row r="371" spans="1:45">
      <c r="A371" s="31"/>
      <c r="B371" s="139"/>
      <c r="C371" s="139"/>
      <c r="D371" s="139"/>
      <c r="E371" s="140"/>
      <c r="F371" s="140"/>
      <c r="G371" s="139"/>
      <c r="H371" s="139"/>
      <c r="L371" s="140"/>
      <c r="M371" s="139"/>
      <c r="N371" s="139"/>
      <c r="O371" s="139"/>
      <c r="P371" s="139"/>
      <c r="Q371" s="140"/>
      <c r="R371" s="140"/>
      <c r="S371" s="139"/>
      <c r="T371" s="139"/>
      <c r="U371" s="139"/>
      <c r="V371" s="139"/>
      <c r="W371" s="140"/>
      <c r="X371" s="140"/>
      <c r="Y371" s="139"/>
      <c r="Z371" s="139"/>
      <c r="AA371" s="139"/>
      <c r="AB371" s="139"/>
      <c r="AC371" s="140"/>
      <c r="AK371" s="56"/>
      <c r="AL371" s="56"/>
      <c r="AM371" s="56"/>
      <c r="AN371" s="56"/>
      <c r="AO371" s="56"/>
      <c r="AP371" s="56"/>
      <c r="AQ371" s="56"/>
      <c r="AR371" s="10"/>
      <c r="AS371" s="82"/>
    </row>
    <row r="372" spans="1:45">
      <c r="A372" s="20" t="s">
        <v>18</v>
      </c>
      <c r="B372" s="21"/>
      <c r="C372" s="21"/>
      <c r="D372" s="4">
        <v>1</v>
      </c>
      <c r="E372" s="22" t="s">
        <v>17</v>
      </c>
      <c r="F372" s="144" t="s">
        <v>19</v>
      </c>
      <c r="G372" s="144"/>
      <c r="H372" s="21" t="s">
        <v>17</v>
      </c>
      <c r="I372" s="145" t="s">
        <v>20</v>
      </c>
      <c r="J372" s="145"/>
      <c r="K372" s="22"/>
      <c r="L372" s="22"/>
      <c r="M372" s="21" t="s">
        <v>11</v>
      </c>
      <c r="N372" s="21" t="s">
        <v>17</v>
      </c>
      <c r="O372" s="145" t="s">
        <v>20</v>
      </c>
      <c r="P372" s="145"/>
      <c r="Q372" s="22" t="s">
        <v>17</v>
      </c>
      <c r="R372" s="144" t="s">
        <v>21</v>
      </c>
      <c r="S372" s="144"/>
      <c r="T372" s="21"/>
      <c r="U372" s="21"/>
      <c r="V372" s="21"/>
      <c r="W372" s="22"/>
      <c r="AD372" s="22"/>
      <c r="AE372" s="22"/>
      <c r="AF372" s="22"/>
      <c r="AK372" s="56"/>
      <c r="AL372" s="56"/>
      <c r="AM372" s="56"/>
      <c r="AN372" s="56"/>
      <c r="AO372" s="56"/>
      <c r="AP372" s="56"/>
      <c r="AQ372" s="56"/>
      <c r="AR372" s="10"/>
      <c r="AS372" s="82"/>
    </row>
    <row r="373" spans="1:45">
      <c r="A373" s="20"/>
      <c r="B373" s="21"/>
      <c r="C373" s="21"/>
      <c r="D373" s="4">
        <v>2</v>
      </c>
      <c r="E373" s="22" t="s">
        <v>17</v>
      </c>
      <c r="F373" s="144" t="s">
        <v>20</v>
      </c>
      <c r="G373" s="144"/>
      <c r="H373" s="21" t="s">
        <v>17</v>
      </c>
      <c r="I373" s="145" t="s">
        <v>22</v>
      </c>
      <c r="J373" s="145"/>
      <c r="K373" s="22"/>
      <c r="L373" s="22"/>
      <c r="M373" s="21" t="s">
        <v>10</v>
      </c>
      <c r="N373" s="21" t="s">
        <v>17</v>
      </c>
      <c r="O373" s="145" t="s">
        <v>23</v>
      </c>
      <c r="P373" s="145"/>
      <c r="Q373" s="22"/>
      <c r="R373" s="22"/>
      <c r="S373" s="21"/>
      <c r="T373" s="21"/>
      <c r="U373" s="21"/>
      <c r="V373" s="21"/>
      <c r="W373" s="22"/>
      <c r="X373" s="47"/>
      <c r="Y373" s="21"/>
      <c r="Z373" s="21"/>
      <c r="AA373" s="49"/>
      <c r="AB373" s="21"/>
      <c r="AC373" s="22"/>
      <c r="AD373" s="22"/>
      <c r="AE373" s="22"/>
      <c r="AF373" s="22"/>
      <c r="AI373">
        <f t="shared" si="142"/>
        <v>0</v>
      </c>
      <c r="AK373" s="56">
        <f>COUNTIF($B373:$AF373,3)</f>
        <v>0</v>
      </c>
      <c r="AL373" s="56">
        <f>COUNTIF($B373:$AF373,1)</f>
        <v>0</v>
      </c>
      <c r="AM373" s="56">
        <f>COUNTIF($B373:$AF373,2)</f>
        <v>1</v>
      </c>
      <c r="AN373" s="56">
        <f>COUNTIF($B373:$AF373,"DO")</f>
        <v>1</v>
      </c>
      <c r="AO373" s="56">
        <f>COUNTIF($B373:$AF373,"R")</f>
        <v>0</v>
      </c>
      <c r="AP373" s="56">
        <f>COUNTIF($B373:$AF373,4)</f>
        <v>0</v>
      </c>
      <c r="AQ373" s="56">
        <f>COUNTIF($B373:$AF373,5)</f>
        <v>0</v>
      </c>
      <c r="AR373" s="10">
        <f t="shared" ref="AR373" si="147">SUM(AK373:AQ373)</f>
        <v>2</v>
      </c>
      <c r="AS373" s="82">
        <f t="shared" ref="AS373" si="148">AQ373+AP373+AO373+AM373+AL373+AK373+((AH373+AI373)/2)</f>
        <v>1</v>
      </c>
    </row>
    <row r="374" spans="1:45">
      <c r="A374" s="20"/>
      <c r="B374" s="21"/>
      <c r="C374" s="21"/>
      <c r="D374" s="4">
        <v>3</v>
      </c>
      <c r="E374" s="22" t="s">
        <v>17</v>
      </c>
      <c r="F374" s="144" t="s">
        <v>22</v>
      </c>
      <c r="G374" s="144"/>
      <c r="H374" s="21" t="s">
        <v>17</v>
      </c>
      <c r="I374" s="145" t="s">
        <v>24</v>
      </c>
      <c r="J374" s="145"/>
      <c r="K374" s="22"/>
      <c r="L374" s="22"/>
      <c r="M374" s="7"/>
      <c r="N374" s="22"/>
      <c r="O374" s="23"/>
      <c r="P374" s="22"/>
      <c r="Q374" s="22"/>
      <c r="R374" s="22"/>
      <c r="S374" s="22"/>
      <c r="T374" s="21"/>
      <c r="U374" s="21"/>
      <c r="V374" s="21"/>
      <c r="W374" s="22"/>
      <c r="X374" s="48"/>
      <c r="Y374" s="21"/>
      <c r="Z374" s="21"/>
      <c r="AA374" s="49"/>
      <c r="AB374" s="21"/>
      <c r="AC374" s="22"/>
      <c r="AD374" s="22"/>
      <c r="AE374" s="22"/>
      <c r="AF374" s="22"/>
      <c r="AK374" s="56"/>
      <c r="AL374" s="56"/>
      <c r="AM374" s="56"/>
      <c r="AN374" s="56"/>
      <c r="AO374" s="56"/>
      <c r="AP374" s="56"/>
      <c r="AQ374" s="56"/>
      <c r="AR374" s="10"/>
      <c r="AS374" s="82"/>
    </row>
    <row r="375" spans="1:45">
      <c r="A375" s="20"/>
      <c r="B375" s="21"/>
      <c r="C375" s="21"/>
      <c r="K375" s="22"/>
      <c r="L375" s="22"/>
      <c r="M375" s="7"/>
      <c r="N375" s="22"/>
      <c r="O375" s="23"/>
      <c r="P375" s="22"/>
      <c r="Q375" s="22"/>
      <c r="R375" s="22"/>
      <c r="S375" s="22"/>
      <c r="T375" s="21"/>
      <c r="U375" s="21"/>
      <c r="V375" s="21"/>
      <c r="W375" s="22"/>
      <c r="X375" s="48"/>
      <c r="Y375" s="21"/>
      <c r="Z375" s="21"/>
      <c r="AA375" s="50"/>
      <c r="AB375" s="21"/>
      <c r="AC375" s="22"/>
      <c r="AD375" s="22"/>
      <c r="AE375" s="22"/>
      <c r="AF375" s="22"/>
      <c r="AI375">
        <f t="shared" si="142"/>
        <v>0</v>
      </c>
      <c r="AK375" s="56">
        <f>COUNTIF($B375:$AF375,3)</f>
        <v>0</v>
      </c>
      <c r="AL375" s="56">
        <f>COUNTIF($B375:$AF375,1)</f>
        <v>0</v>
      </c>
      <c r="AM375" s="56">
        <f>COUNTIF($B375:$AF375,2)</f>
        <v>0</v>
      </c>
      <c r="AN375" s="56">
        <f>COUNTIF($B375:$AF375,"DO")</f>
        <v>0</v>
      </c>
      <c r="AO375" s="56">
        <f>COUNTIF($B375:$AF375,"R")</f>
        <v>0</v>
      </c>
      <c r="AP375" s="56">
        <f>COUNTIF($B375:$AF375,4)</f>
        <v>0</v>
      </c>
      <c r="AQ375" s="56">
        <f>COUNTIF($B375:$AF375,5)</f>
        <v>0</v>
      </c>
      <c r="AR375" s="10">
        <f>SUM(AK375:AQ375)</f>
        <v>0</v>
      </c>
      <c r="AS375" s="82">
        <f t="shared" ref="AS375" si="149">AQ375+AP375+AO375+AM375+AL375+AK375+((AH375+AI375)/2)</f>
        <v>0</v>
      </c>
    </row>
    <row r="376" spans="1:45">
      <c r="A376" s="20"/>
      <c r="B376" s="21"/>
      <c r="C376" s="21"/>
      <c r="K376" s="22"/>
      <c r="L376" s="22"/>
      <c r="M376" s="7"/>
      <c r="N376" s="22"/>
      <c r="O376" s="23"/>
      <c r="P376" s="22"/>
      <c r="Q376" s="22"/>
      <c r="R376" s="22"/>
      <c r="S376" s="22"/>
      <c r="T376" s="21"/>
      <c r="U376" s="21"/>
      <c r="V376" s="21"/>
      <c r="W376" s="22"/>
      <c r="X376" s="47"/>
      <c r="Y376" s="21"/>
      <c r="Z376" s="21"/>
      <c r="AA376" s="49"/>
      <c r="AB376" s="21"/>
      <c r="AC376" s="22"/>
      <c r="AD376" s="22"/>
      <c r="AE376" s="22"/>
      <c r="AF376" s="22"/>
    </row>
    <row r="377" spans="1:45">
      <c r="A377" s="20"/>
      <c r="B377" s="21"/>
      <c r="C377" s="21"/>
      <c r="D377" s="21"/>
      <c r="E377" s="22"/>
      <c r="F377" s="22"/>
      <c r="G377" s="22"/>
      <c r="H377" s="21"/>
      <c r="I377" s="21"/>
      <c r="J377" s="21"/>
      <c r="K377" s="22"/>
      <c r="L377" s="22"/>
      <c r="M377" s="21"/>
      <c r="N377" s="21"/>
      <c r="O377" s="21"/>
      <c r="P377" s="21"/>
      <c r="Q377" s="22"/>
      <c r="R377" s="22"/>
      <c r="S377" s="21"/>
      <c r="T377" s="21"/>
      <c r="U377" s="21"/>
      <c r="V377" s="21"/>
      <c r="W377" s="22"/>
      <c r="X377" s="47"/>
      <c r="Y377" s="21"/>
      <c r="Z377" s="21"/>
      <c r="AA377" s="50"/>
      <c r="AB377" s="21"/>
      <c r="AC377" s="22"/>
      <c r="AD377" s="22"/>
      <c r="AE377" s="22"/>
      <c r="AF377" s="22"/>
    </row>
    <row r="378" spans="1:45">
      <c r="A378" s="20" t="s">
        <v>25</v>
      </c>
      <c r="B378" s="21"/>
      <c r="C378" s="21"/>
      <c r="D378" s="21"/>
      <c r="E378" s="22"/>
      <c r="F378" s="22"/>
      <c r="G378" s="22"/>
      <c r="H378" s="21"/>
      <c r="I378" s="20"/>
      <c r="J378" s="21"/>
      <c r="K378" s="21"/>
      <c r="L378" s="21" t="s">
        <v>26</v>
      </c>
      <c r="M378" s="22"/>
      <c r="N378" s="22"/>
      <c r="O378" s="22"/>
      <c r="P378" s="21"/>
      <c r="Q378" s="22"/>
      <c r="R378" s="22"/>
      <c r="S378" s="21"/>
      <c r="T378" s="24"/>
      <c r="U378" s="24"/>
      <c r="V378" s="24"/>
      <c r="W378" s="24"/>
      <c r="X378" s="24"/>
      <c r="Y378" s="21" t="s">
        <v>27</v>
      </c>
      <c r="Z378" s="21"/>
      <c r="AA378" s="21"/>
      <c r="AB378" s="21"/>
      <c r="AC378" s="22"/>
      <c r="AD378" s="22"/>
      <c r="AE378" s="22"/>
      <c r="AF378" s="22"/>
    </row>
    <row r="379" spans="1:45">
      <c r="L379" s="25"/>
      <c r="M379" s="25"/>
      <c r="N379" s="25"/>
      <c r="O379" s="25"/>
      <c r="P379" s="25"/>
      <c r="Q379" s="25"/>
      <c r="X379" s="25"/>
      <c r="Y379" s="25"/>
      <c r="Z379" s="25"/>
      <c r="AA379" s="25"/>
      <c r="AB379" s="25"/>
      <c r="AC379" s="25"/>
    </row>
    <row r="380" spans="1:45">
      <c r="B380" s="146" t="s">
        <v>70</v>
      </c>
      <c r="C380" s="146"/>
      <c r="D380" s="146"/>
      <c r="E380" s="146"/>
      <c r="F380" s="146"/>
      <c r="G380" s="146"/>
      <c r="H380" s="25"/>
      <c r="J380" s="25"/>
      <c r="N380" s="146" t="s">
        <v>28</v>
      </c>
      <c r="O380" s="146"/>
      <c r="P380" s="146"/>
      <c r="Q380" s="146"/>
      <c r="R380" s="146"/>
      <c r="S380" s="146"/>
      <c r="T380" s="146"/>
      <c r="U380" s="146"/>
      <c r="AA380" s="146" t="s">
        <v>35</v>
      </c>
      <c r="AB380" s="146"/>
      <c r="AC380" s="146"/>
      <c r="AD380" s="146"/>
      <c r="AE380" s="146"/>
      <c r="AF380" s="146"/>
    </row>
    <row r="381" spans="1:45">
      <c r="B381" s="147" t="s">
        <v>29</v>
      </c>
      <c r="C381" s="147"/>
      <c r="D381" s="147"/>
      <c r="E381" s="147"/>
      <c r="F381" s="147"/>
      <c r="G381" s="147"/>
      <c r="N381" s="147" t="s">
        <v>30</v>
      </c>
      <c r="O381" s="147"/>
      <c r="P381" s="147"/>
      <c r="Q381" s="147"/>
      <c r="R381" s="147"/>
      <c r="S381" s="147"/>
      <c r="T381" s="147"/>
      <c r="AA381" s="148" t="s">
        <v>47</v>
      </c>
      <c r="AB381" s="148"/>
      <c r="AC381" s="148"/>
      <c r="AD381" s="148"/>
      <c r="AE381" s="148"/>
      <c r="AF381" s="148"/>
    </row>
    <row r="384" spans="1:45" ht="18.75">
      <c r="A384" s="149" t="s">
        <v>105</v>
      </c>
      <c r="B384" s="149"/>
      <c r="C384" s="149"/>
      <c r="D384" s="149"/>
      <c r="E384" s="149"/>
      <c r="F384" s="149"/>
      <c r="G384" s="149"/>
      <c r="H384" s="149"/>
      <c r="I384" s="149"/>
      <c r="J384" s="149"/>
      <c r="K384" s="149"/>
      <c r="L384" s="149"/>
      <c r="M384" s="149"/>
      <c r="N384" s="149"/>
      <c r="O384" s="149"/>
      <c r="P384" s="149"/>
      <c r="Q384" s="149"/>
      <c r="R384" s="149"/>
      <c r="S384" s="149"/>
      <c r="T384" s="149"/>
      <c r="U384" s="149"/>
      <c r="V384" s="149"/>
      <c r="W384" s="149"/>
      <c r="X384" s="149"/>
      <c r="Y384" s="149"/>
      <c r="Z384" s="149"/>
      <c r="AA384" s="149"/>
      <c r="AB384" s="149"/>
      <c r="AC384" s="149"/>
      <c r="AD384" s="149"/>
      <c r="AE384" s="149"/>
      <c r="AF384" s="149"/>
      <c r="AG384" s="149"/>
    </row>
    <row r="385" spans="1:45" ht="23.25">
      <c r="A385" s="1" t="s">
        <v>1</v>
      </c>
      <c r="B385" s="84" t="s">
        <v>6</v>
      </c>
      <c r="C385" s="2" t="s">
        <v>7</v>
      </c>
      <c r="D385" s="2" t="s">
        <v>8</v>
      </c>
      <c r="E385" s="2" t="s">
        <v>2</v>
      </c>
      <c r="F385" s="2" t="s">
        <v>3</v>
      </c>
      <c r="G385" s="2" t="s">
        <v>4</v>
      </c>
      <c r="H385" s="84" t="s">
        <v>5</v>
      </c>
      <c r="I385" s="84" t="s">
        <v>6</v>
      </c>
      <c r="J385" s="2" t="s">
        <v>7</v>
      </c>
      <c r="K385" s="2" t="s">
        <v>8</v>
      </c>
      <c r="L385" s="2" t="s">
        <v>2</v>
      </c>
      <c r="M385" s="2" t="s">
        <v>3</v>
      </c>
      <c r="N385" s="2" t="s">
        <v>4</v>
      </c>
      <c r="O385" s="84" t="s">
        <v>5</v>
      </c>
      <c r="P385" s="84" t="s">
        <v>6</v>
      </c>
      <c r="Q385" s="2" t="s">
        <v>7</v>
      </c>
      <c r="R385" s="2" t="s">
        <v>8</v>
      </c>
      <c r="S385" s="2" t="s">
        <v>2</v>
      </c>
      <c r="T385" s="2" t="s">
        <v>3</v>
      </c>
      <c r="U385" s="2" t="s">
        <v>4</v>
      </c>
      <c r="V385" s="84" t="s">
        <v>5</v>
      </c>
      <c r="W385" s="84" t="s">
        <v>6</v>
      </c>
      <c r="X385" s="2" t="s">
        <v>7</v>
      </c>
      <c r="Y385" s="2" t="s">
        <v>8</v>
      </c>
      <c r="Z385" s="2" t="s">
        <v>2</v>
      </c>
      <c r="AA385" s="2" t="s">
        <v>3</v>
      </c>
      <c r="AB385" s="2" t="s">
        <v>4</v>
      </c>
      <c r="AC385" s="84" t="s">
        <v>5</v>
      </c>
      <c r="AD385" s="84" t="s">
        <v>6</v>
      </c>
      <c r="AE385" s="2" t="s">
        <v>7</v>
      </c>
      <c r="AF385" s="2" t="s">
        <v>8</v>
      </c>
      <c r="AG385" s="171" t="s">
        <v>111</v>
      </c>
    </row>
    <row r="386" spans="1:45">
      <c r="A386" s="143" t="s">
        <v>112</v>
      </c>
      <c r="B386" s="15">
        <v>1</v>
      </c>
      <c r="C386" s="4">
        <v>2</v>
      </c>
      <c r="D386" s="4">
        <v>3</v>
      </c>
      <c r="E386" s="8">
        <v>4</v>
      </c>
      <c r="F386" s="8">
        <v>5</v>
      </c>
      <c r="G386" s="4">
        <v>6</v>
      </c>
      <c r="H386" s="4">
        <v>7</v>
      </c>
      <c r="I386" s="4">
        <v>8</v>
      </c>
      <c r="J386" s="4">
        <v>9</v>
      </c>
      <c r="K386" s="4">
        <v>10</v>
      </c>
      <c r="L386" s="4">
        <v>11</v>
      </c>
      <c r="M386" s="4">
        <v>12</v>
      </c>
      <c r="N386" s="4">
        <v>13</v>
      </c>
      <c r="O386" s="4">
        <v>14</v>
      </c>
      <c r="P386" s="4">
        <v>15</v>
      </c>
      <c r="Q386" s="4">
        <v>16</v>
      </c>
      <c r="R386" s="4">
        <v>17</v>
      </c>
      <c r="S386" s="4">
        <v>18</v>
      </c>
      <c r="T386" s="4">
        <v>19</v>
      </c>
      <c r="U386" s="4">
        <v>20</v>
      </c>
      <c r="V386" s="4">
        <v>21</v>
      </c>
      <c r="W386" s="4">
        <v>22</v>
      </c>
      <c r="X386" s="4">
        <v>23</v>
      </c>
      <c r="Y386" s="4">
        <v>24</v>
      </c>
      <c r="Z386" s="4">
        <v>25</v>
      </c>
      <c r="AA386" s="4">
        <v>26</v>
      </c>
      <c r="AB386" s="4">
        <v>27</v>
      </c>
      <c r="AC386" s="4">
        <v>28</v>
      </c>
      <c r="AD386" s="4">
        <v>29</v>
      </c>
      <c r="AE386" s="4">
        <v>30</v>
      </c>
      <c r="AF386" s="4">
        <v>31</v>
      </c>
      <c r="AG386" s="27">
        <v>24</v>
      </c>
      <c r="AJ386" s="56"/>
      <c r="AK386" s="56">
        <v>3</v>
      </c>
      <c r="AL386" s="56">
        <v>1</v>
      </c>
      <c r="AM386" s="56">
        <v>2</v>
      </c>
      <c r="AN386" s="56" t="s">
        <v>10</v>
      </c>
      <c r="AO386" s="56" t="s">
        <v>11</v>
      </c>
      <c r="AP386" s="56">
        <v>4</v>
      </c>
      <c r="AQ386" s="56">
        <v>5</v>
      </c>
    </row>
    <row r="387" spans="1:45">
      <c r="A387" s="150" t="s">
        <v>108</v>
      </c>
      <c r="B387" s="9">
        <v>3</v>
      </c>
      <c r="C387" s="126">
        <v>1</v>
      </c>
      <c r="D387" s="126">
        <v>2</v>
      </c>
      <c r="E387" s="126" t="s">
        <v>10</v>
      </c>
      <c r="F387" s="9">
        <v>3</v>
      </c>
      <c r="G387" s="126">
        <v>1</v>
      </c>
      <c r="H387" s="126">
        <v>2</v>
      </c>
      <c r="I387" s="126" t="s">
        <v>10</v>
      </c>
      <c r="J387" s="9">
        <v>3</v>
      </c>
      <c r="K387" s="126">
        <v>1</v>
      </c>
      <c r="L387" s="126">
        <v>2</v>
      </c>
      <c r="M387" s="126" t="s">
        <v>10</v>
      </c>
      <c r="N387" s="9">
        <v>3</v>
      </c>
      <c r="O387" s="126">
        <v>1</v>
      </c>
      <c r="P387" s="126">
        <v>2</v>
      </c>
      <c r="Q387" s="126" t="s">
        <v>10</v>
      </c>
      <c r="R387" s="9">
        <v>3</v>
      </c>
      <c r="S387" s="126">
        <v>1</v>
      </c>
      <c r="T387" s="126">
        <v>2</v>
      </c>
      <c r="U387" s="126" t="s">
        <v>10</v>
      </c>
      <c r="V387" s="9">
        <v>3</v>
      </c>
      <c r="W387" s="126">
        <v>1</v>
      </c>
      <c r="X387" s="126">
        <v>2</v>
      </c>
      <c r="Y387" s="126" t="s">
        <v>10</v>
      </c>
      <c r="Z387" s="9">
        <v>3</v>
      </c>
      <c r="AA387" s="126">
        <v>1</v>
      </c>
      <c r="AB387" s="126">
        <v>2</v>
      </c>
      <c r="AC387" s="126" t="s">
        <v>10</v>
      </c>
      <c r="AD387" s="9">
        <v>3</v>
      </c>
      <c r="AE387" s="126">
        <v>1</v>
      </c>
      <c r="AF387" s="8">
        <v>2</v>
      </c>
      <c r="AG387" s="17">
        <f>AS387</f>
        <v>24</v>
      </c>
      <c r="AH387">
        <f>COUNTIF($B387:$AF387,4)</f>
        <v>0</v>
      </c>
      <c r="AI387">
        <f>COUNTIF($B387:$AF387,5)</f>
        <v>0</v>
      </c>
      <c r="AK387" s="56">
        <f>COUNTIF($B387:$AF387,3)</f>
        <v>8</v>
      </c>
      <c r="AL387" s="56">
        <f>COUNTIF($B387:$AF387,1)</f>
        <v>8</v>
      </c>
      <c r="AM387" s="56">
        <f>COUNTIF($B387:$AF387,2)</f>
        <v>8</v>
      </c>
      <c r="AN387" s="56">
        <f>COUNTIF($B387:$AF387,"DO")</f>
        <v>7</v>
      </c>
      <c r="AO387" s="56">
        <f>COUNTIF($B387:$AF387,"R")</f>
        <v>0</v>
      </c>
      <c r="AP387" s="56">
        <f>COUNTIF($B387:$AF387,4)</f>
        <v>0</v>
      </c>
      <c r="AQ387" s="56">
        <f>COUNTIF($B387:$AF387,5)</f>
        <v>0</v>
      </c>
      <c r="AR387" s="10">
        <f t="shared" ref="AR387" si="150">SUM(AK387:AQ387)</f>
        <v>31</v>
      </c>
      <c r="AS387" s="82">
        <f>AQ387+AP387+AO387+AM387+AL387+AK387+((AH387+AI387)/2)</f>
        <v>24</v>
      </c>
    </row>
    <row r="388" spans="1:45">
      <c r="A388" s="151"/>
      <c r="B388" s="15"/>
      <c r="C388" s="14"/>
      <c r="D388" s="14"/>
      <c r="E388" s="12"/>
      <c r="F388" s="15"/>
      <c r="G388" s="14"/>
      <c r="H388" s="14"/>
      <c r="I388" s="12"/>
      <c r="J388" s="15"/>
      <c r="K388" s="14"/>
      <c r="L388" s="14"/>
      <c r="M388" s="12"/>
      <c r="N388" s="15"/>
      <c r="O388" s="14"/>
      <c r="P388" s="14"/>
      <c r="Q388" s="12"/>
      <c r="R388" s="15"/>
      <c r="S388" s="14"/>
      <c r="T388" s="14"/>
      <c r="U388" s="12"/>
      <c r="V388" s="15"/>
      <c r="W388" s="14"/>
      <c r="X388" s="14"/>
      <c r="Y388" s="12"/>
      <c r="Z388" s="15"/>
      <c r="AA388" s="14"/>
      <c r="AB388" s="14"/>
      <c r="AC388" s="12"/>
      <c r="AD388" s="15"/>
      <c r="AE388" s="14"/>
      <c r="AF388" s="12"/>
      <c r="AG388" s="17"/>
      <c r="AK388" s="56"/>
      <c r="AL388" s="56"/>
      <c r="AM388" s="56"/>
      <c r="AN388" s="56"/>
      <c r="AO388" s="56"/>
      <c r="AP388" s="56"/>
      <c r="AQ388" s="56"/>
      <c r="AR388" s="10"/>
      <c r="AS388" s="82"/>
    </row>
    <row r="389" spans="1:45">
      <c r="A389" s="150" t="s">
        <v>107</v>
      </c>
      <c r="B389" s="126" t="s">
        <v>10</v>
      </c>
      <c r="C389" s="9">
        <v>3</v>
      </c>
      <c r="D389" s="126">
        <v>1</v>
      </c>
      <c r="E389" s="126">
        <v>2</v>
      </c>
      <c r="F389" s="126" t="s">
        <v>10</v>
      </c>
      <c r="G389" s="9">
        <v>3</v>
      </c>
      <c r="H389" s="126">
        <v>1</v>
      </c>
      <c r="I389" s="126">
        <v>2</v>
      </c>
      <c r="J389" s="126" t="s">
        <v>10</v>
      </c>
      <c r="K389" s="9">
        <v>3</v>
      </c>
      <c r="L389" s="126">
        <v>1</v>
      </c>
      <c r="M389" s="126">
        <v>2</v>
      </c>
      <c r="N389" s="126" t="s">
        <v>10</v>
      </c>
      <c r="O389" s="9">
        <v>3</v>
      </c>
      <c r="P389" s="126">
        <v>1</v>
      </c>
      <c r="Q389" s="126">
        <v>2</v>
      </c>
      <c r="R389" s="126" t="s">
        <v>10</v>
      </c>
      <c r="S389" s="9">
        <v>3</v>
      </c>
      <c r="T389" s="126">
        <v>1</v>
      </c>
      <c r="U389" s="126">
        <v>2</v>
      </c>
      <c r="V389" s="126" t="s">
        <v>10</v>
      </c>
      <c r="W389" s="9">
        <v>3</v>
      </c>
      <c r="X389" s="126">
        <v>1</v>
      </c>
      <c r="Y389" s="126">
        <v>2</v>
      </c>
      <c r="Z389" s="126" t="s">
        <v>10</v>
      </c>
      <c r="AA389" s="9">
        <v>3</v>
      </c>
      <c r="AB389" s="126">
        <v>1</v>
      </c>
      <c r="AC389" s="126">
        <v>2</v>
      </c>
      <c r="AD389" s="126" t="s">
        <v>10</v>
      </c>
      <c r="AE389" s="9">
        <v>3</v>
      </c>
      <c r="AF389" s="29">
        <v>1</v>
      </c>
      <c r="AG389" s="17">
        <f>AS389</f>
        <v>23</v>
      </c>
      <c r="AH389">
        <f t="shared" ref="AH389:AH393" si="151">COUNTIF($B389:$AF389,4)</f>
        <v>0</v>
      </c>
      <c r="AI389">
        <f t="shared" ref="AI389:AI391" si="152">COUNTIF($B389:$AF389,5)</f>
        <v>0</v>
      </c>
      <c r="AK389" s="56">
        <f>COUNTIF($B389:$AF389,3)</f>
        <v>8</v>
      </c>
      <c r="AL389" s="56">
        <f>COUNTIF($B389:$AF389,1)</f>
        <v>8</v>
      </c>
      <c r="AM389" s="56">
        <f>COUNTIF($B389:$AF389,2)</f>
        <v>7</v>
      </c>
      <c r="AN389" s="56">
        <f>COUNTIF($B389:$AF389,"DO")</f>
        <v>8</v>
      </c>
      <c r="AO389" s="56">
        <f>COUNTIF($B389:$AF389,"R")</f>
        <v>0</v>
      </c>
      <c r="AP389" s="56">
        <f>COUNTIF($B389:$AF389,4)</f>
        <v>0</v>
      </c>
      <c r="AQ389" s="56">
        <f>COUNTIF($B389:$AF389,5)</f>
        <v>0</v>
      </c>
      <c r="AR389" s="10">
        <f t="shared" ref="AR389" si="153">SUM(AK389:AQ389)</f>
        <v>31</v>
      </c>
      <c r="AS389" s="82">
        <f t="shared" ref="AS389" si="154">AQ389+AP389+AO389+AM389+AL389+AK389+((AH389+AI389)/2)</f>
        <v>23</v>
      </c>
    </row>
    <row r="390" spans="1:45">
      <c r="A390" s="151"/>
      <c r="B390" s="126"/>
      <c r="C390" s="126"/>
      <c r="D390" s="126"/>
      <c r="E390" s="12"/>
      <c r="F390" s="126"/>
      <c r="G390" s="126"/>
      <c r="H390" s="126"/>
      <c r="I390" s="12"/>
      <c r="J390" s="126"/>
      <c r="K390" s="126"/>
      <c r="L390" s="126"/>
      <c r="M390" s="12"/>
      <c r="N390" s="126"/>
      <c r="O390" s="126"/>
      <c r="P390" s="126"/>
      <c r="Q390" s="12"/>
      <c r="R390" s="126"/>
      <c r="S390" s="126"/>
      <c r="T390" s="126"/>
      <c r="U390" s="12"/>
      <c r="V390" s="126"/>
      <c r="W390" s="126"/>
      <c r="X390" s="126"/>
      <c r="Y390" s="12"/>
      <c r="Z390" s="126"/>
      <c r="AA390" s="126"/>
      <c r="AB390" s="126"/>
      <c r="AC390" s="12"/>
      <c r="AD390" s="126"/>
      <c r="AE390" s="126"/>
      <c r="AF390" s="12"/>
      <c r="AG390" s="17"/>
      <c r="AK390" s="56"/>
      <c r="AL390" s="56"/>
      <c r="AM390" s="56"/>
      <c r="AN390" s="56"/>
      <c r="AO390" s="56"/>
      <c r="AP390" s="56"/>
      <c r="AQ390" s="56"/>
      <c r="AR390" s="10"/>
      <c r="AS390" s="82"/>
    </row>
    <row r="391" spans="1:45">
      <c r="A391" s="150" t="s">
        <v>106</v>
      </c>
      <c r="B391" s="9">
        <v>2</v>
      </c>
      <c r="C391" s="126" t="s">
        <v>10</v>
      </c>
      <c r="D391" s="9">
        <v>3</v>
      </c>
      <c r="E391" s="126">
        <v>1</v>
      </c>
      <c r="F391" s="9">
        <v>2</v>
      </c>
      <c r="G391" s="126" t="s">
        <v>10</v>
      </c>
      <c r="H391" s="9">
        <v>3</v>
      </c>
      <c r="I391" s="126">
        <v>1</v>
      </c>
      <c r="J391" s="9">
        <v>2</v>
      </c>
      <c r="K391" s="126" t="s">
        <v>10</v>
      </c>
      <c r="L391" s="9">
        <v>3</v>
      </c>
      <c r="M391" s="126">
        <v>1</v>
      </c>
      <c r="N391" s="9">
        <v>2</v>
      </c>
      <c r="O391" s="126" t="s">
        <v>10</v>
      </c>
      <c r="P391" s="9">
        <v>3</v>
      </c>
      <c r="Q391" s="126">
        <v>1</v>
      </c>
      <c r="R391" s="9">
        <v>2</v>
      </c>
      <c r="S391" s="126" t="s">
        <v>10</v>
      </c>
      <c r="T391" s="9">
        <v>3</v>
      </c>
      <c r="U391" s="126">
        <v>1</v>
      </c>
      <c r="V391" s="9">
        <v>2</v>
      </c>
      <c r="W391" s="126" t="s">
        <v>10</v>
      </c>
      <c r="X391" s="9">
        <v>3</v>
      </c>
      <c r="Y391" s="126">
        <v>1</v>
      </c>
      <c r="Z391" s="9">
        <v>2</v>
      </c>
      <c r="AA391" s="126" t="s">
        <v>10</v>
      </c>
      <c r="AB391" s="9">
        <v>3</v>
      </c>
      <c r="AC391" s="126">
        <v>1</v>
      </c>
      <c r="AD391" s="9">
        <v>2</v>
      </c>
      <c r="AE391" s="126" t="s">
        <v>10</v>
      </c>
      <c r="AF391" s="30">
        <v>3</v>
      </c>
      <c r="AG391" s="17">
        <f>AS391</f>
        <v>23</v>
      </c>
      <c r="AH391">
        <f t="shared" si="151"/>
        <v>0</v>
      </c>
      <c r="AI391">
        <f t="shared" si="152"/>
        <v>0</v>
      </c>
      <c r="AK391" s="56">
        <f>COUNTIF($B391:$AF391,3)</f>
        <v>8</v>
      </c>
      <c r="AL391" s="56">
        <f>COUNTIF($B391:$AF391,1)</f>
        <v>7</v>
      </c>
      <c r="AM391" s="56">
        <f>COUNTIF($B391:$AF391,2)</f>
        <v>8</v>
      </c>
      <c r="AN391" s="56">
        <f>COUNTIF($B391:$AF391,"DO")</f>
        <v>8</v>
      </c>
      <c r="AO391" s="56">
        <f>COUNTIF($B391:$AF391,"R")</f>
        <v>0</v>
      </c>
      <c r="AP391" s="56">
        <f>COUNTIF($B391:$AF391,4)</f>
        <v>0</v>
      </c>
      <c r="AQ391" s="56">
        <f>COUNTIF($B391:$AF391,5)</f>
        <v>0</v>
      </c>
      <c r="AR391" s="10">
        <f t="shared" ref="AR391" si="155">SUM(AK391:AQ391)</f>
        <v>31</v>
      </c>
      <c r="AS391" s="82">
        <f t="shared" ref="AS391" si="156">AQ391+AP391+AO391+AM391+AL391+AK391+((AH391+AI391)/2)</f>
        <v>23</v>
      </c>
    </row>
    <row r="392" spans="1:45">
      <c r="A392" s="151"/>
      <c r="B392" s="15"/>
      <c r="C392" s="142"/>
      <c r="D392" s="14"/>
      <c r="E392" s="12"/>
      <c r="F392" s="15"/>
      <c r="G392" s="142"/>
      <c r="H392" s="14"/>
      <c r="I392" s="12"/>
      <c r="J392" s="15"/>
      <c r="K392" s="142"/>
      <c r="L392" s="14"/>
      <c r="M392" s="12"/>
      <c r="N392" s="15"/>
      <c r="O392" s="142"/>
      <c r="P392" s="14"/>
      <c r="Q392" s="12"/>
      <c r="R392" s="15"/>
      <c r="S392" s="142"/>
      <c r="T392" s="14"/>
      <c r="U392" s="12"/>
      <c r="V392" s="15"/>
      <c r="W392" s="142"/>
      <c r="X392" s="14"/>
      <c r="Y392" s="12"/>
      <c r="Z392" s="15"/>
      <c r="AA392" s="142"/>
      <c r="AB392" s="14"/>
      <c r="AC392" s="12"/>
      <c r="AD392" s="15"/>
      <c r="AE392" s="142"/>
      <c r="AF392" s="43"/>
      <c r="AG392" s="17"/>
      <c r="AJ392" s="56"/>
      <c r="AK392" s="56"/>
      <c r="AL392" s="56"/>
      <c r="AM392" s="56"/>
      <c r="AN392" s="56"/>
      <c r="AO392" s="56"/>
      <c r="AP392" s="56"/>
      <c r="AQ392" s="56"/>
      <c r="AR392" s="10"/>
      <c r="AS392" s="10"/>
    </row>
    <row r="393" spans="1:45">
      <c r="A393" s="150" t="s">
        <v>109</v>
      </c>
      <c r="B393" s="15">
        <v>1</v>
      </c>
      <c r="C393" s="14">
        <v>2</v>
      </c>
      <c r="D393" s="126" t="s">
        <v>10</v>
      </c>
      <c r="E393" s="9">
        <v>3</v>
      </c>
      <c r="F393" s="15">
        <v>1</v>
      </c>
      <c r="G393" s="14">
        <v>2</v>
      </c>
      <c r="H393" s="126" t="s">
        <v>10</v>
      </c>
      <c r="I393" s="9">
        <v>3</v>
      </c>
      <c r="J393" s="15">
        <v>1</v>
      </c>
      <c r="K393" s="14">
        <v>2</v>
      </c>
      <c r="L393" s="126" t="s">
        <v>10</v>
      </c>
      <c r="M393" s="9">
        <v>3</v>
      </c>
      <c r="N393" s="15">
        <v>1</v>
      </c>
      <c r="O393" s="14">
        <v>2</v>
      </c>
      <c r="P393" s="126" t="s">
        <v>10</v>
      </c>
      <c r="Q393" s="9">
        <v>3</v>
      </c>
      <c r="R393" s="15">
        <v>1</v>
      </c>
      <c r="S393" s="14">
        <v>2</v>
      </c>
      <c r="T393" s="126" t="s">
        <v>10</v>
      </c>
      <c r="U393" s="9">
        <v>3</v>
      </c>
      <c r="V393" s="15">
        <v>1</v>
      </c>
      <c r="W393" s="14">
        <v>2</v>
      </c>
      <c r="X393" s="126" t="s">
        <v>10</v>
      </c>
      <c r="Y393" s="9">
        <v>3</v>
      </c>
      <c r="Z393" s="15">
        <v>1</v>
      </c>
      <c r="AA393" s="14">
        <v>2</v>
      </c>
      <c r="AB393" s="126" t="s">
        <v>10</v>
      </c>
      <c r="AC393" s="9">
        <v>3</v>
      </c>
      <c r="AD393" s="15">
        <v>1</v>
      </c>
      <c r="AE393" s="14">
        <v>2</v>
      </c>
      <c r="AF393" s="126" t="s">
        <v>10</v>
      </c>
      <c r="AG393" s="17">
        <f>AS393</f>
        <v>23</v>
      </c>
      <c r="AH393">
        <f t="shared" si="151"/>
        <v>0</v>
      </c>
      <c r="AJ393" s="56"/>
      <c r="AK393" s="56">
        <f>COUNTIF($B393:$AF393,3)</f>
        <v>7</v>
      </c>
      <c r="AL393" s="56">
        <f>COUNTIF($B393:$AF393,1)</f>
        <v>8</v>
      </c>
      <c r="AM393" s="56">
        <f>COUNTIF($B393:$AF393,2)</f>
        <v>8</v>
      </c>
      <c r="AN393" s="56">
        <f>COUNTIF($B393:$AF393,"DO")</f>
        <v>8</v>
      </c>
      <c r="AO393" s="56">
        <f>COUNTIF($B393:$AF393,"R")</f>
        <v>0</v>
      </c>
      <c r="AP393" s="56">
        <f>COUNTIF($B393:$AF393,4)</f>
        <v>0</v>
      </c>
      <c r="AQ393" s="56">
        <f>COUNTIF($B393:$AF393,5)</f>
        <v>0</v>
      </c>
      <c r="AR393" s="10">
        <f>SUM(AK393:AO393)</f>
        <v>31</v>
      </c>
      <c r="AS393" s="10">
        <f>AQ393+AP393+AO393+AM393+AL393+AK393</f>
        <v>23</v>
      </c>
    </row>
    <row r="394" spans="1:45">
      <c r="A394" s="151"/>
      <c r="B394" s="15"/>
      <c r="C394" s="14"/>
      <c r="D394" s="14"/>
      <c r="E394" s="12"/>
      <c r="F394" s="12"/>
      <c r="G394" s="4"/>
      <c r="H394" s="12"/>
      <c r="I394" s="12"/>
      <c r="J394" s="12"/>
      <c r="K394" s="12"/>
      <c r="L394" s="12"/>
      <c r="M394" s="4"/>
      <c r="N394" s="12"/>
      <c r="O394" s="12"/>
      <c r="P394" s="12"/>
      <c r="Q394" s="12"/>
      <c r="R394" s="12"/>
      <c r="S394" s="4"/>
      <c r="T394" s="12"/>
      <c r="U394" s="12"/>
      <c r="V394" s="12"/>
      <c r="W394" s="12"/>
      <c r="X394" s="12"/>
      <c r="Y394" s="4"/>
      <c r="Z394" s="12"/>
      <c r="AA394" s="12"/>
      <c r="AB394" s="12"/>
      <c r="AC394" s="12"/>
      <c r="AD394" s="12"/>
      <c r="AE394" s="34"/>
      <c r="AF394" s="12"/>
      <c r="AG394" s="17"/>
      <c r="AJ394" s="56"/>
      <c r="AK394" s="56"/>
      <c r="AL394" s="56"/>
      <c r="AM394" s="56"/>
      <c r="AN394" s="56"/>
      <c r="AO394" s="56"/>
      <c r="AP394" s="56"/>
      <c r="AQ394" s="56"/>
      <c r="AR394" s="10"/>
      <c r="AS394" s="10"/>
    </row>
    <row r="395" spans="1:45">
      <c r="A395" s="150" t="s">
        <v>110</v>
      </c>
      <c r="B395" s="126" t="s">
        <v>10</v>
      </c>
      <c r="C395" s="170" t="s">
        <v>11</v>
      </c>
      <c r="D395" s="170" t="s">
        <v>11</v>
      </c>
      <c r="E395" s="170" t="s">
        <v>11</v>
      </c>
      <c r="F395" s="170" t="s">
        <v>11</v>
      </c>
      <c r="G395" s="170" t="s">
        <v>11</v>
      </c>
      <c r="H395" s="126" t="s">
        <v>10</v>
      </c>
      <c r="I395" s="126" t="s">
        <v>10</v>
      </c>
      <c r="J395" s="170" t="s">
        <v>11</v>
      </c>
      <c r="K395" s="170" t="s">
        <v>11</v>
      </c>
      <c r="L395" s="170" t="s">
        <v>11</v>
      </c>
      <c r="M395" s="170" t="s">
        <v>11</v>
      </c>
      <c r="N395" s="170" t="s">
        <v>11</v>
      </c>
      <c r="O395" s="126" t="s">
        <v>10</v>
      </c>
      <c r="P395" s="126" t="s">
        <v>10</v>
      </c>
      <c r="Q395" s="170" t="s">
        <v>11</v>
      </c>
      <c r="R395" s="170" t="s">
        <v>11</v>
      </c>
      <c r="S395" s="170" t="s">
        <v>11</v>
      </c>
      <c r="T395" s="170" t="s">
        <v>11</v>
      </c>
      <c r="U395" s="170" t="s">
        <v>11</v>
      </c>
      <c r="V395" s="126" t="s">
        <v>10</v>
      </c>
      <c r="W395" s="126" t="s">
        <v>10</v>
      </c>
      <c r="X395" s="170" t="s">
        <v>11</v>
      </c>
      <c r="Y395" s="170" t="s">
        <v>11</v>
      </c>
      <c r="Z395" s="170" t="s">
        <v>11</v>
      </c>
      <c r="AA395" s="170" t="s">
        <v>11</v>
      </c>
      <c r="AB395" s="170" t="s">
        <v>11</v>
      </c>
      <c r="AC395" s="126" t="s">
        <v>10</v>
      </c>
      <c r="AD395" s="126" t="s">
        <v>10</v>
      </c>
      <c r="AE395" s="170" t="s">
        <v>11</v>
      </c>
      <c r="AF395" s="170" t="s">
        <v>11</v>
      </c>
      <c r="AG395" s="17">
        <f>AS395</f>
        <v>22</v>
      </c>
      <c r="AH395">
        <f>COUNTIF($B395:$AF395,4)</f>
        <v>0</v>
      </c>
      <c r="AI395">
        <f>COUNTIF($B395:$AF395,5)</f>
        <v>0</v>
      </c>
      <c r="AK395" s="56">
        <f>COUNTIF($B395:$AF395,3)</f>
        <v>0</v>
      </c>
      <c r="AL395" s="56">
        <f>COUNTIF($B395:$AF395,1)</f>
        <v>0</v>
      </c>
      <c r="AM395" s="56">
        <f>COUNTIF($B395:$AF395,2)</f>
        <v>0</v>
      </c>
      <c r="AN395" s="56">
        <f>COUNTIF($B395:$AF395,"DO")</f>
        <v>9</v>
      </c>
      <c r="AO395" s="56">
        <f>COUNTIF($B395:$AF395,"R")</f>
        <v>22</v>
      </c>
      <c r="AP395" s="56">
        <f>COUNTIF($B395:$AF395,4)</f>
        <v>0</v>
      </c>
      <c r="AQ395" s="56">
        <f>COUNTIF($B395:$AF395,5)</f>
        <v>0</v>
      </c>
      <c r="AR395" s="10">
        <f t="shared" ref="AR395" si="157">SUM(AK395:AQ395)</f>
        <v>31</v>
      </c>
      <c r="AS395" s="82">
        <f>AQ395+AP395+AO395+AM395+AL395+AK395+((AH395+AI395)/2)</f>
        <v>22</v>
      </c>
    </row>
    <row r="396" spans="1:45">
      <c r="A396" s="151"/>
      <c r="B396" s="4"/>
      <c r="C396" s="4"/>
      <c r="D396" s="4"/>
      <c r="E396" s="12"/>
      <c r="F396" s="12"/>
      <c r="G396" s="4"/>
      <c r="H396" s="33"/>
      <c r="I396" s="29"/>
      <c r="J396" s="12"/>
      <c r="K396" s="19"/>
      <c r="L396" s="12"/>
      <c r="M396" s="4"/>
      <c r="N396" s="12"/>
      <c r="O396" s="4"/>
      <c r="P396" s="12"/>
      <c r="Q396" s="12"/>
      <c r="R396" s="12"/>
      <c r="S396" s="4"/>
      <c r="T396" s="12"/>
      <c r="U396" s="4"/>
      <c r="V396" s="12"/>
      <c r="W396" s="12"/>
      <c r="X396" s="12"/>
      <c r="Y396" s="4"/>
      <c r="Z396" s="12"/>
      <c r="AA396" s="4"/>
      <c r="AB396" s="12"/>
      <c r="AC396" s="12"/>
      <c r="AD396" s="12"/>
      <c r="AE396" s="12"/>
      <c r="AF396" s="12"/>
      <c r="AG396" s="17"/>
      <c r="AK396" s="56"/>
      <c r="AL396" s="56"/>
      <c r="AM396" s="56"/>
      <c r="AN396" s="56"/>
      <c r="AO396" s="56"/>
      <c r="AP396" s="56"/>
      <c r="AQ396" s="56"/>
      <c r="AR396" s="10"/>
      <c r="AS396" s="82"/>
    </row>
    <row r="397" spans="1:45">
      <c r="A397" s="20" t="s">
        <v>18</v>
      </c>
      <c r="B397" s="21"/>
      <c r="C397" s="21"/>
      <c r="D397" s="4">
        <v>1</v>
      </c>
      <c r="E397" s="22" t="s">
        <v>17</v>
      </c>
      <c r="F397" s="144" t="s">
        <v>19</v>
      </c>
      <c r="G397" s="144"/>
      <c r="H397" s="21" t="s">
        <v>17</v>
      </c>
      <c r="I397" s="145" t="s">
        <v>20</v>
      </c>
      <c r="J397" s="145"/>
      <c r="K397" s="22"/>
      <c r="L397" s="22"/>
      <c r="M397" s="21" t="s">
        <v>11</v>
      </c>
      <c r="N397" s="21" t="s">
        <v>17</v>
      </c>
      <c r="O397" s="145" t="s">
        <v>20</v>
      </c>
      <c r="P397" s="145"/>
      <c r="Q397" s="22" t="s">
        <v>17</v>
      </c>
      <c r="R397" s="144" t="s">
        <v>21</v>
      </c>
      <c r="S397" s="144"/>
      <c r="T397" s="21"/>
      <c r="U397" s="21"/>
      <c r="V397" s="21"/>
      <c r="W397" s="22"/>
      <c r="AD397" s="22"/>
      <c r="AE397" s="22"/>
      <c r="AF397" s="22"/>
      <c r="AK397" s="56"/>
      <c r="AL397" s="56"/>
      <c r="AM397" s="56"/>
      <c r="AN397" s="56"/>
      <c r="AO397" s="56"/>
      <c r="AP397" s="56"/>
      <c r="AQ397" s="56"/>
      <c r="AR397" s="10"/>
      <c r="AS397" s="82"/>
    </row>
    <row r="398" spans="1:45">
      <c r="A398" s="20"/>
      <c r="B398" s="21"/>
      <c r="C398" s="21"/>
      <c r="D398" s="4">
        <v>2</v>
      </c>
      <c r="E398" s="22" t="s">
        <v>17</v>
      </c>
      <c r="F398" s="144" t="s">
        <v>20</v>
      </c>
      <c r="G398" s="144"/>
      <c r="H398" s="21" t="s">
        <v>17</v>
      </c>
      <c r="I398" s="145" t="s">
        <v>22</v>
      </c>
      <c r="J398" s="145"/>
      <c r="K398" s="22"/>
      <c r="L398" s="22"/>
      <c r="M398" s="21" t="s">
        <v>10</v>
      </c>
      <c r="N398" s="21" t="s">
        <v>17</v>
      </c>
      <c r="O398" s="145" t="s">
        <v>23</v>
      </c>
      <c r="P398" s="145"/>
      <c r="Q398" s="22"/>
      <c r="R398" s="22"/>
      <c r="S398" s="21"/>
      <c r="T398" s="21"/>
      <c r="U398" s="21"/>
      <c r="V398" s="21"/>
      <c r="W398" s="22"/>
      <c r="X398" s="47"/>
      <c r="Y398" s="21"/>
      <c r="Z398" s="21"/>
      <c r="AA398" s="49"/>
      <c r="AB398" s="21"/>
      <c r="AC398" s="22"/>
      <c r="AD398" s="22"/>
      <c r="AE398" s="22"/>
      <c r="AF398" s="22"/>
      <c r="AI398" t="e">
        <f>AG387+AG389+AG391+AG393+AG395+#REF!</f>
        <v>#REF!</v>
      </c>
      <c r="AK398" s="56">
        <f>COUNTIF($B398:$AF398,3)</f>
        <v>0</v>
      </c>
      <c r="AL398" s="56">
        <f>COUNTIF($B398:$AF398,1)</f>
        <v>0</v>
      </c>
      <c r="AM398" s="56">
        <f>COUNTIF($B398:$AF398,2)</f>
        <v>1</v>
      </c>
      <c r="AN398" s="56">
        <f>COUNTIF($B398:$AF398,"DO")</f>
        <v>1</v>
      </c>
      <c r="AO398" s="56">
        <f>COUNTIF($B398:$AF398,"R")</f>
        <v>0</v>
      </c>
      <c r="AP398" s="56">
        <f>COUNTIF($B398:$AF398,4)</f>
        <v>0</v>
      </c>
      <c r="AQ398" s="56">
        <f>COUNTIF($B398:$AF398,5)</f>
        <v>0</v>
      </c>
      <c r="AR398" s="10">
        <f t="shared" ref="AR398" si="158">SUM(AK398:AQ398)</f>
        <v>2</v>
      </c>
      <c r="AS398" s="82" t="e">
        <f t="shared" ref="AS398" si="159">AQ398+AP398+AO398+AM398+AL398+AK398+((AH398+AI398)/2)</f>
        <v>#REF!</v>
      </c>
    </row>
    <row r="399" spans="1:45">
      <c r="A399" s="20"/>
      <c r="B399" s="21"/>
      <c r="C399" s="21"/>
      <c r="D399" s="4">
        <v>3</v>
      </c>
      <c r="E399" s="22" t="s">
        <v>17</v>
      </c>
      <c r="F399" s="144" t="s">
        <v>22</v>
      </c>
      <c r="G399" s="144"/>
      <c r="H399" s="21" t="s">
        <v>17</v>
      </c>
      <c r="I399" s="145" t="s">
        <v>24</v>
      </c>
      <c r="J399" s="145"/>
      <c r="K399" s="22"/>
      <c r="L399" s="22"/>
      <c r="M399" s="7"/>
      <c r="N399" s="22"/>
      <c r="O399" s="23"/>
      <c r="P399" s="22"/>
      <c r="Q399" s="22"/>
      <c r="R399" s="22"/>
      <c r="S399" s="22"/>
      <c r="T399" s="21"/>
      <c r="U399" s="21"/>
      <c r="V399" s="21"/>
      <c r="W399" s="22"/>
      <c r="X399" s="48"/>
      <c r="Y399" s="21"/>
      <c r="Z399" s="21"/>
      <c r="AA399" s="49"/>
      <c r="AB399" s="21"/>
      <c r="AC399" s="22"/>
      <c r="AD399" s="22"/>
      <c r="AE399" s="22"/>
      <c r="AF399" s="22"/>
      <c r="AI399" t="e">
        <f>AG387+AG389+AG391+AG393+AG395+#REF!</f>
        <v>#REF!</v>
      </c>
      <c r="AK399" s="56"/>
      <c r="AL399" s="56"/>
      <c r="AM399" s="56"/>
      <c r="AN399" s="56"/>
      <c r="AO399" s="56"/>
      <c r="AP399" s="56"/>
      <c r="AQ399" s="56"/>
      <c r="AR399" s="10"/>
      <c r="AS399" s="82"/>
    </row>
    <row r="400" spans="1:45">
      <c r="A400" s="20"/>
      <c r="B400" s="21"/>
      <c r="C400" s="21"/>
      <c r="K400" s="22"/>
      <c r="L400" s="22"/>
      <c r="M400" s="7"/>
      <c r="N400" s="22"/>
      <c r="O400" s="23"/>
      <c r="P400" s="22"/>
      <c r="Q400" s="22"/>
      <c r="R400" s="22"/>
      <c r="S400" s="22"/>
      <c r="T400" s="21"/>
      <c r="U400" s="21"/>
      <c r="V400" s="21"/>
      <c r="W400" s="22"/>
      <c r="X400" s="48"/>
      <c r="Y400" s="21"/>
      <c r="Z400" s="21"/>
      <c r="AA400" s="50"/>
      <c r="AB400" s="21"/>
      <c r="AC400" s="22"/>
      <c r="AD400" s="22"/>
      <c r="AE400" s="22"/>
      <c r="AF400" s="22"/>
      <c r="AI400">
        <f t="shared" ref="AI400" si="160">COUNTIF($B400:$AF400,5)</f>
        <v>0</v>
      </c>
      <c r="AK400" s="56">
        <f>COUNTIF($B400:$AF400,3)</f>
        <v>0</v>
      </c>
      <c r="AL400" s="56">
        <f>COUNTIF($B400:$AF400,1)</f>
        <v>0</v>
      </c>
      <c r="AM400" s="56">
        <f>COUNTIF($B400:$AF400,2)</f>
        <v>0</v>
      </c>
      <c r="AN400" s="56">
        <f>COUNTIF($B400:$AF400,"DO")</f>
        <v>0</v>
      </c>
      <c r="AO400" s="56">
        <f>COUNTIF($B400:$AF400,"R")</f>
        <v>0</v>
      </c>
      <c r="AP400" s="56">
        <f>COUNTIF($B400:$AF400,4)</f>
        <v>0</v>
      </c>
      <c r="AQ400" s="56">
        <f>COUNTIF($B400:$AF400,5)</f>
        <v>0</v>
      </c>
      <c r="AR400" s="10">
        <f>SUM(AK400:AQ400)</f>
        <v>0</v>
      </c>
      <c r="AS400" s="82">
        <f t="shared" ref="AS400" si="161">AQ400+AP400+AO400+AM400+AL400+AK400+((AH400+AI400)/2)</f>
        <v>0</v>
      </c>
    </row>
    <row r="401" spans="1:45">
      <c r="A401" s="20"/>
      <c r="B401" s="21"/>
      <c r="C401" s="21"/>
      <c r="K401" s="22"/>
      <c r="L401" s="22"/>
      <c r="M401" s="7"/>
      <c r="N401" s="22"/>
      <c r="O401" s="23"/>
      <c r="P401" s="22"/>
      <c r="Q401" s="22"/>
      <c r="R401" s="22"/>
      <c r="S401" s="22"/>
      <c r="T401" s="21"/>
      <c r="U401" s="21"/>
      <c r="V401" s="21"/>
      <c r="W401" s="22"/>
      <c r="X401" s="47"/>
      <c r="Y401" s="21"/>
      <c r="Z401" s="21"/>
      <c r="AA401" s="49"/>
      <c r="AB401" s="21"/>
      <c r="AC401" s="22"/>
      <c r="AD401" s="22"/>
      <c r="AE401" s="22"/>
      <c r="AF401" s="22"/>
    </row>
    <row r="402" spans="1:45">
      <c r="A402" s="20"/>
      <c r="B402" s="21"/>
      <c r="C402" s="21"/>
      <c r="D402" s="21"/>
      <c r="E402" s="22"/>
      <c r="F402" s="22"/>
      <c r="G402" s="22"/>
      <c r="H402" s="21"/>
      <c r="I402" s="21"/>
      <c r="J402" s="21"/>
      <c r="K402" s="22"/>
      <c r="L402" s="22"/>
      <c r="M402" s="21"/>
      <c r="N402" s="21"/>
      <c r="O402" s="21"/>
      <c r="P402" s="21"/>
      <c r="Q402" s="22"/>
      <c r="R402" s="22"/>
      <c r="S402" s="21"/>
      <c r="T402" s="21"/>
      <c r="U402" s="21"/>
      <c r="V402" s="21"/>
      <c r="W402" s="22"/>
      <c r="X402" s="47"/>
      <c r="Y402" s="21"/>
      <c r="Z402" s="21"/>
      <c r="AA402" s="50"/>
      <c r="AB402" s="21"/>
      <c r="AC402" s="22"/>
      <c r="AD402" s="22"/>
      <c r="AE402" s="22"/>
      <c r="AF402" s="22"/>
    </row>
    <row r="403" spans="1:45">
      <c r="A403" s="20" t="s">
        <v>25</v>
      </c>
      <c r="B403" s="21"/>
      <c r="C403" s="21"/>
      <c r="D403" s="21"/>
      <c r="E403" s="22"/>
      <c r="F403" s="22"/>
      <c r="G403" s="22"/>
      <c r="H403" s="21"/>
      <c r="I403" s="20"/>
      <c r="J403" s="21"/>
      <c r="K403" s="21"/>
      <c r="L403" s="21" t="s">
        <v>26</v>
      </c>
      <c r="M403" s="22"/>
      <c r="N403" s="22"/>
      <c r="O403" s="22"/>
      <c r="P403" s="21"/>
      <c r="Q403" s="22"/>
      <c r="R403" s="22"/>
      <c r="S403" s="21"/>
      <c r="T403" s="24"/>
      <c r="U403" s="24"/>
      <c r="V403" s="24"/>
      <c r="W403" s="24"/>
      <c r="X403" s="24"/>
      <c r="Y403" s="21" t="s">
        <v>27</v>
      </c>
      <c r="Z403" s="21"/>
      <c r="AA403" s="21"/>
      <c r="AB403" s="21"/>
      <c r="AC403" s="22"/>
      <c r="AD403" s="22"/>
      <c r="AE403" s="22"/>
      <c r="AF403" s="22"/>
    </row>
    <row r="404" spans="1:45">
      <c r="L404" s="25"/>
      <c r="M404" s="25"/>
      <c r="N404" s="25"/>
      <c r="O404" s="25"/>
      <c r="P404" s="25"/>
      <c r="Q404" s="25"/>
      <c r="X404" s="25"/>
      <c r="Y404" s="25"/>
      <c r="Z404" s="25"/>
      <c r="AA404" s="25"/>
      <c r="AB404" s="25"/>
      <c r="AC404" s="25"/>
    </row>
    <row r="405" spans="1:45">
      <c r="B405" s="146" t="s">
        <v>70</v>
      </c>
      <c r="C405" s="146"/>
      <c r="D405" s="146"/>
      <c r="E405" s="146"/>
      <c r="F405" s="146"/>
      <c r="G405" s="146"/>
      <c r="H405" s="25"/>
      <c r="J405" s="25"/>
      <c r="N405" s="146" t="s">
        <v>28</v>
      </c>
      <c r="O405" s="146"/>
      <c r="P405" s="146"/>
      <c r="Q405" s="146"/>
      <c r="R405" s="146"/>
      <c r="S405" s="146"/>
      <c r="T405" s="146"/>
      <c r="U405" s="146"/>
      <c r="AA405" s="146" t="s">
        <v>35</v>
      </c>
      <c r="AB405" s="146"/>
      <c r="AC405" s="146"/>
      <c r="AD405" s="146"/>
      <c r="AE405" s="146"/>
      <c r="AF405" s="146"/>
    </row>
    <row r="406" spans="1:45">
      <c r="B406" s="147" t="s">
        <v>29</v>
      </c>
      <c r="C406" s="147"/>
      <c r="D406" s="147"/>
      <c r="E406" s="147"/>
      <c r="F406" s="147"/>
      <c r="G406" s="147"/>
      <c r="N406" s="147" t="s">
        <v>30</v>
      </c>
      <c r="O406" s="147"/>
      <c r="P406" s="147"/>
      <c r="Q406" s="147"/>
      <c r="R406" s="147"/>
      <c r="S406" s="147"/>
      <c r="T406" s="147"/>
      <c r="AA406" s="148" t="s">
        <v>47</v>
      </c>
      <c r="AB406" s="148"/>
      <c r="AC406" s="148"/>
      <c r="AD406" s="148"/>
      <c r="AE406" s="148"/>
      <c r="AF406" s="148"/>
    </row>
    <row r="409" spans="1:45" ht="18.75">
      <c r="A409" s="149" t="s">
        <v>91</v>
      </c>
      <c r="B409" s="149"/>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c r="AA409" s="149"/>
      <c r="AB409" s="149"/>
      <c r="AC409" s="149"/>
      <c r="AD409" s="149"/>
      <c r="AE409" s="149"/>
      <c r="AF409" s="149"/>
      <c r="AG409" s="149"/>
    </row>
    <row r="410" spans="1:45">
      <c r="A410" s="1" t="s">
        <v>1</v>
      </c>
      <c r="B410" s="2" t="s">
        <v>3</v>
      </c>
      <c r="C410" s="2" t="s">
        <v>4</v>
      </c>
      <c r="D410" s="84" t="s">
        <v>5</v>
      </c>
      <c r="E410" s="84" t="s">
        <v>6</v>
      </c>
      <c r="F410" s="2" t="s">
        <v>7</v>
      </c>
      <c r="G410" s="2" t="s">
        <v>8</v>
      </c>
      <c r="H410" s="2" t="s">
        <v>2</v>
      </c>
      <c r="I410" s="2" t="s">
        <v>3</v>
      </c>
      <c r="J410" s="2" t="s">
        <v>4</v>
      </c>
      <c r="K410" s="84" t="s">
        <v>5</v>
      </c>
      <c r="L410" s="84" t="s">
        <v>6</v>
      </c>
      <c r="M410" s="2" t="s">
        <v>7</v>
      </c>
      <c r="N410" s="2" t="s">
        <v>8</v>
      </c>
      <c r="O410" s="2" t="s">
        <v>2</v>
      </c>
      <c r="P410" s="2" t="s">
        <v>3</v>
      </c>
      <c r="Q410" s="2" t="s">
        <v>4</v>
      </c>
      <c r="R410" s="84" t="s">
        <v>5</v>
      </c>
      <c r="S410" s="84" t="s">
        <v>6</v>
      </c>
      <c r="T410" s="2" t="s">
        <v>7</v>
      </c>
      <c r="U410" s="2" t="s">
        <v>8</v>
      </c>
      <c r="V410" s="2" t="s">
        <v>2</v>
      </c>
      <c r="W410" s="2" t="s">
        <v>3</v>
      </c>
      <c r="X410" s="2" t="s">
        <v>4</v>
      </c>
      <c r="Y410" s="84" t="s">
        <v>5</v>
      </c>
      <c r="Z410" s="84" t="s">
        <v>6</v>
      </c>
      <c r="AA410" s="2" t="s">
        <v>7</v>
      </c>
      <c r="AB410" s="2" t="s">
        <v>8</v>
      </c>
      <c r="AC410" s="2" t="s">
        <v>2</v>
      </c>
      <c r="AD410" s="2" t="s">
        <v>3</v>
      </c>
      <c r="AE410" s="2" t="s">
        <v>4</v>
      </c>
      <c r="AF410" s="84" t="s">
        <v>5</v>
      </c>
      <c r="AG410" s="26"/>
    </row>
    <row r="411" spans="1:45">
      <c r="A411" s="3" t="s">
        <v>9</v>
      </c>
      <c r="B411" s="15">
        <v>1</v>
      </c>
      <c r="C411" s="4">
        <v>2</v>
      </c>
      <c r="D411" s="4">
        <v>3</v>
      </c>
      <c r="E411" s="8">
        <v>4</v>
      </c>
      <c r="F411" s="8">
        <v>5</v>
      </c>
      <c r="G411" s="4">
        <v>6</v>
      </c>
      <c r="H411" s="4">
        <v>7</v>
      </c>
      <c r="I411" s="4">
        <v>8</v>
      </c>
      <c r="J411" s="4">
        <v>9</v>
      </c>
      <c r="K411" s="4">
        <v>10</v>
      </c>
      <c r="L411" s="4">
        <v>11</v>
      </c>
      <c r="M411" s="4">
        <v>12</v>
      </c>
      <c r="N411" s="4">
        <v>13</v>
      </c>
      <c r="O411" s="4">
        <v>14</v>
      </c>
      <c r="P411" s="4">
        <v>15</v>
      </c>
      <c r="Q411" s="4">
        <v>16</v>
      </c>
      <c r="R411" s="4">
        <v>17</v>
      </c>
      <c r="S411" s="4">
        <v>18</v>
      </c>
      <c r="T411" s="4">
        <v>19</v>
      </c>
      <c r="U411" s="4">
        <v>20</v>
      </c>
      <c r="V411" s="4">
        <v>21</v>
      </c>
      <c r="W411" s="4">
        <v>22</v>
      </c>
      <c r="X411" s="4">
        <v>23</v>
      </c>
      <c r="Y411" s="4">
        <v>24</v>
      </c>
      <c r="Z411" s="4">
        <v>25</v>
      </c>
      <c r="AA411" s="4">
        <v>26</v>
      </c>
      <c r="AB411" s="4">
        <v>27</v>
      </c>
      <c r="AC411" s="4">
        <v>28</v>
      </c>
      <c r="AD411" s="4">
        <v>29</v>
      </c>
      <c r="AE411" s="4">
        <v>30</v>
      </c>
      <c r="AF411" s="4">
        <v>31</v>
      </c>
      <c r="AG411" s="27">
        <v>24</v>
      </c>
      <c r="AJ411" s="56"/>
      <c r="AK411" s="56">
        <v>3</v>
      </c>
      <c r="AL411" s="56">
        <v>1</v>
      </c>
      <c r="AM411" s="56">
        <v>2</v>
      </c>
      <c r="AN411" s="56" t="s">
        <v>10</v>
      </c>
      <c r="AO411" s="56" t="s">
        <v>11</v>
      </c>
      <c r="AP411" s="56">
        <v>4</v>
      </c>
      <c r="AQ411" s="56">
        <v>5</v>
      </c>
    </row>
    <row r="412" spans="1:45">
      <c r="A412" s="150" t="s">
        <v>12</v>
      </c>
      <c r="B412" s="30"/>
      <c r="C412" s="8"/>
      <c r="D412" s="8"/>
      <c r="E412" s="8"/>
      <c r="F412" s="8"/>
      <c r="G412" s="8"/>
      <c r="H412" s="8"/>
      <c r="I412" s="29"/>
      <c r="J412" s="29"/>
      <c r="K412" s="29"/>
      <c r="L412" s="29"/>
      <c r="M412" s="29"/>
      <c r="N412" s="29"/>
      <c r="O412" s="29"/>
      <c r="P412" s="8"/>
      <c r="Q412" s="8"/>
      <c r="R412" s="8"/>
      <c r="S412" s="8"/>
      <c r="T412" s="8"/>
      <c r="U412" s="8"/>
      <c r="V412" s="8"/>
      <c r="W412" s="8"/>
      <c r="X412" s="8"/>
      <c r="Y412" s="8"/>
      <c r="Z412" s="8"/>
      <c r="AA412" s="8"/>
      <c r="AB412" s="8"/>
      <c r="AC412" s="8"/>
      <c r="AD412" s="8"/>
      <c r="AE412" s="8"/>
      <c r="AF412" s="8"/>
      <c r="AG412" s="17">
        <f>AS412</f>
        <v>0</v>
      </c>
      <c r="AH412">
        <f>COUNTIF($B412:$AF412,4)</f>
        <v>0</v>
      </c>
      <c r="AI412">
        <f>COUNTIF($B412:$AF412,5)</f>
        <v>0</v>
      </c>
      <c r="AK412" s="56">
        <f>COUNTIF($B412:$AF412,3)</f>
        <v>0</v>
      </c>
      <c r="AL412" s="56">
        <f>COUNTIF($B412:$AF412,1)</f>
        <v>0</v>
      </c>
      <c r="AM412" s="56">
        <f>COUNTIF($B412:$AF412,2)</f>
        <v>0</v>
      </c>
      <c r="AN412" s="56">
        <f>COUNTIF($B412:$AF412,"DO")</f>
        <v>0</v>
      </c>
      <c r="AO412" s="56">
        <f>COUNTIF($B412:$AF412,"R")</f>
        <v>0</v>
      </c>
      <c r="AP412" s="56">
        <f>COUNTIF($B412:$AF412,4)</f>
        <v>0</v>
      </c>
      <c r="AQ412" s="56">
        <f>COUNTIF($B412:$AF412,5)</f>
        <v>0</v>
      </c>
      <c r="AR412" s="10">
        <f t="shared" ref="AR412" si="162">SUM(AK412:AQ412)</f>
        <v>0</v>
      </c>
      <c r="AS412" s="82">
        <f>AQ412+AP412+AO412+AM412+AL412+AK412+((AH412+AI412)/2)</f>
        <v>0</v>
      </c>
    </row>
    <row r="413" spans="1:45">
      <c r="A413" s="151"/>
      <c r="B413" s="11"/>
      <c r="C413" s="12"/>
      <c r="D413" s="12"/>
      <c r="E413" s="12"/>
      <c r="F413" s="11"/>
      <c r="G413" s="12"/>
      <c r="H413" s="12"/>
      <c r="I413" s="12"/>
      <c r="J413" s="152"/>
      <c r="K413" s="153"/>
      <c r="L413" s="153"/>
      <c r="M413" s="154"/>
      <c r="N413" s="11"/>
      <c r="O413" s="12"/>
      <c r="P413" s="12"/>
      <c r="Q413" s="12"/>
      <c r="R413" s="11"/>
      <c r="S413" s="12"/>
      <c r="T413" s="12"/>
      <c r="U413" s="12"/>
      <c r="V413" s="11"/>
      <c r="W413" s="12"/>
      <c r="X413" s="12"/>
      <c r="Y413" s="12"/>
      <c r="Z413" s="11"/>
      <c r="AA413" s="12"/>
      <c r="AB413" s="12"/>
      <c r="AC413" s="12"/>
      <c r="AD413" s="12"/>
      <c r="AE413" s="12"/>
      <c r="AF413" s="12"/>
      <c r="AG413" s="17"/>
      <c r="AK413" s="56"/>
      <c r="AL413" s="56"/>
      <c r="AM413" s="56"/>
      <c r="AN413" s="56"/>
      <c r="AO413" s="56"/>
      <c r="AP413" s="56"/>
      <c r="AQ413" s="56"/>
      <c r="AR413" s="10"/>
      <c r="AS413" s="82"/>
    </row>
    <row r="414" spans="1:45">
      <c r="A414" s="150" t="s">
        <v>31</v>
      </c>
      <c r="B414" s="30"/>
      <c r="C414" s="29"/>
      <c r="D414" s="29"/>
      <c r="E414" s="8"/>
      <c r="F414" s="9"/>
      <c r="G414" s="8"/>
      <c r="H414" s="29"/>
      <c r="I414" s="41"/>
      <c r="J414" s="30"/>
      <c r="K414" s="29"/>
      <c r="L414" s="30"/>
      <c r="M414" s="41"/>
      <c r="N414" s="9"/>
      <c r="O414" s="8"/>
      <c r="P414" s="30"/>
      <c r="Q414" s="29"/>
      <c r="R414" s="30"/>
      <c r="S414" s="29"/>
      <c r="T414" s="30"/>
      <c r="U414" s="29"/>
      <c r="V414" s="9"/>
      <c r="W414" s="8"/>
      <c r="X414" s="9"/>
      <c r="Y414" s="8"/>
      <c r="Z414" s="9"/>
      <c r="AA414" s="8"/>
      <c r="AB414" s="9"/>
      <c r="AC414" s="8"/>
      <c r="AD414" s="9"/>
      <c r="AE414" s="8"/>
      <c r="AF414" s="29"/>
      <c r="AG414" s="17">
        <f>AS414</f>
        <v>0</v>
      </c>
      <c r="AH414">
        <f t="shared" ref="AH414:AH416" si="163">COUNTIF($B414:$AF414,4)</f>
        <v>0</v>
      </c>
      <c r="AI414">
        <f t="shared" ref="AI414:AI416" si="164">COUNTIF($B414:$AF414,5)</f>
        <v>0</v>
      </c>
      <c r="AK414" s="56">
        <f>COUNTIF($B414:$AF414,3)</f>
        <v>0</v>
      </c>
      <c r="AL414" s="56">
        <f>COUNTIF($B414:$AF414,1)</f>
        <v>0</v>
      </c>
      <c r="AM414" s="56">
        <f>COUNTIF($B414:$AF414,2)</f>
        <v>0</v>
      </c>
      <c r="AN414" s="56">
        <f>COUNTIF($B414:$AF414,"DO")</f>
        <v>0</v>
      </c>
      <c r="AO414" s="56">
        <f>COUNTIF($B414:$AF414,"R")</f>
        <v>0</v>
      </c>
      <c r="AP414" s="56">
        <f>COUNTIF($B414:$AF414,4)</f>
        <v>0</v>
      </c>
      <c r="AQ414" s="56">
        <f>COUNTIF($B414:$AF414,5)</f>
        <v>0</v>
      </c>
      <c r="AR414" s="10">
        <f t="shared" ref="AR414" si="165">SUM(AK414:AQ414)</f>
        <v>0</v>
      </c>
      <c r="AS414" s="82">
        <f t="shared" ref="AS414" si="166">AQ414+AP414+AO414+AM414+AL414+AK414+((AH414+AI414)/2)</f>
        <v>0</v>
      </c>
    </row>
    <row r="415" spans="1:45">
      <c r="A415" s="151"/>
      <c r="B415" s="32"/>
      <c r="C415" s="33"/>
      <c r="D415" s="33"/>
      <c r="E415" s="12"/>
      <c r="F415" s="12"/>
      <c r="G415" s="12"/>
      <c r="H415" s="28"/>
      <c r="I415" s="12"/>
      <c r="J415" s="28"/>
      <c r="K415" s="12"/>
      <c r="L415" s="12"/>
      <c r="M415" s="12"/>
      <c r="N415" s="4"/>
      <c r="O415" s="12"/>
      <c r="P415" s="12"/>
      <c r="Q415" s="12"/>
      <c r="R415" s="12"/>
      <c r="S415" s="12"/>
      <c r="T415" s="4"/>
      <c r="U415" s="12"/>
      <c r="V415" s="12"/>
      <c r="W415" s="12"/>
      <c r="X415" s="12"/>
      <c r="Y415" s="12"/>
      <c r="Z415" s="4"/>
      <c r="AA415" s="12"/>
      <c r="AB415" s="12"/>
      <c r="AC415" s="12"/>
      <c r="AD415" s="34"/>
      <c r="AE415" s="12"/>
      <c r="AF415" s="12"/>
      <c r="AG415" s="17"/>
      <c r="AK415" s="56"/>
      <c r="AL415" s="56"/>
      <c r="AM415" s="56"/>
      <c r="AN415" s="56"/>
      <c r="AO415" s="56"/>
      <c r="AP415" s="56"/>
      <c r="AQ415" s="56"/>
      <c r="AR415" s="10"/>
      <c r="AS415" s="82"/>
    </row>
    <row r="416" spans="1:45">
      <c r="A416" s="150" t="s">
        <v>16</v>
      </c>
      <c r="B416" s="29"/>
      <c r="C416" s="41"/>
      <c r="D416" s="41"/>
      <c r="E416" s="41"/>
      <c r="F416" s="41"/>
      <c r="G416" s="41"/>
      <c r="H416" s="8"/>
      <c r="I416" s="29"/>
      <c r="J416" s="41"/>
      <c r="K416" s="8"/>
      <c r="L416" s="9"/>
      <c r="M416" s="29"/>
      <c r="N416" s="29"/>
      <c r="O416" s="29"/>
      <c r="P416" s="41"/>
      <c r="Q416" s="29"/>
      <c r="R416" s="30"/>
      <c r="S416" s="8"/>
      <c r="T416" s="29"/>
      <c r="U416" s="29"/>
      <c r="V416" s="8"/>
      <c r="W416" s="8"/>
      <c r="X416" s="30"/>
      <c r="Y416" s="29"/>
      <c r="Z416" s="29"/>
      <c r="AA416" s="29"/>
      <c r="AB416" s="29"/>
      <c r="AC416" s="29"/>
      <c r="AD416" s="30"/>
      <c r="AE416" s="29"/>
      <c r="AF416" s="30"/>
      <c r="AG416" s="17">
        <f>AS416</f>
        <v>0</v>
      </c>
      <c r="AH416">
        <f t="shared" si="163"/>
        <v>0</v>
      </c>
      <c r="AI416">
        <f t="shared" si="164"/>
        <v>0</v>
      </c>
      <c r="AK416" s="56">
        <f>COUNTIF($B416:$AF416,3)</f>
        <v>0</v>
      </c>
      <c r="AL416" s="56">
        <f>COUNTIF($B416:$AF416,1)</f>
        <v>0</v>
      </c>
      <c r="AM416" s="56">
        <f>COUNTIF($B416:$AF416,2)</f>
        <v>0</v>
      </c>
      <c r="AN416" s="56">
        <f>COUNTIF($B416:$AF416,"DO")</f>
        <v>0</v>
      </c>
      <c r="AO416" s="56">
        <f>COUNTIF($B416:$AF416,"R")</f>
        <v>0</v>
      </c>
      <c r="AP416" s="56">
        <f>COUNTIF($B416:$AF416,4)</f>
        <v>0</v>
      </c>
      <c r="AQ416" s="56">
        <f>COUNTIF($B416:$AF416,5)</f>
        <v>0</v>
      </c>
      <c r="AR416" s="10">
        <f t="shared" ref="AR416" si="167">SUM(AK416:AQ416)</f>
        <v>0</v>
      </c>
      <c r="AS416" s="82">
        <f t="shared" ref="AS416" si="168">AQ416+AP416+AO416+AM416+AL416+AK416+((AH416+AI416)/2)</f>
        <v>0</v>
      </c>
    </row>
    <row r="417" spans="1:45">
      <c r="A417" s="151"/>
      <c r="B417" s="4"/>
      <c r="C417" s="35"/>
      <c r="D417" s="12"/>
      <c r="E417" s="12"/>
      <c r="F417" s="12"/>
      <c r="G417" s="12"/>
      <c r="H417" s="12"/>
      <c r="I417" s="12"/>
      <c r="J417" s="12"/>
      <c r="K417" s="12"/>
      <c r="L417" s="12"/>
      <c r="M417" s="12"/>
      <c r="N417" s="12"/>
      <c r="O417" s="12"/>
      <c r="P417" s="12"/>
      <c r="Q417" s="12"/>
      <c r="R417" s="12"/>
      <c r="S417" s="12"/>
      <c r="T417" s="12"/>
      <c r="U417" s="12"/>
      <c r="V417" s="12"/>
      <c r="W417" s="12"/>
      <c r="X417" s="33"/>
      <c r="Y417" s="33"/>
      <c r="Z417" s="33"/>
      <c r="AA417" s="33"/>
      <c r="AB417" s="33"/>
      <c r="AC417" s="33"/>
      <c r="AD417" s="42"/>
      <c r="AE417" s="33"/>
      <c r="AF417" s="43"/>
      <c r="AG417" s="17"/>
      <c r="AJ417" s="56"/>
      <c r="AK417" s="56"/>
      <c r="AL417" s="56"/>
      <c r="AM417" s="56"/>
      <c r="AN417" s="56"/>
      <c r="AO417" s="56"/>
      <c r="AP417" s="56"/>
      <c r="AQ417" s="56"/>
      <c r="AR417" s="10"/>
      <c r="AS417" s="10"/>
    </row>
    <row r="418" spans="1:45">
      <c r="A418" s="150" t="s">
        <v>13</v>
      </c>
      <c r="B418" s="29"/>
      <c r="C418" s="41"/>
      <c r="D418" s="41"/>
      <c r="E418" s="41"/>
      <c r="F418" s="41"/>
      <c r="G418" s="41"/>
      <c r="H418" s="8"/>
      <c r="I418" s="29"/>
      <c r="J418" s="29"/>
      <c r="K418" s="8"/>
      <c r="L418" s="9"/>
      <c r="M418" s="29"/>
      <c r="N418" s="29"/>
      <c r="O418" s="29"/>
      <c r="P418" s="29"/>
      <c r="Q418" s="8"/>
      <c r="R418" s="9"/>
      <c r="S418" s="8"/>
      <c r="T418" s="8"/>
      <c r="U418" s="29"/>
      <c r="V418" s="29"/>
      <c r="W418" s="29"/>
      <c r="X418" s="30"/>
      <c r="Y418" s="29"/>
      <c r="Z418" s="29"/>
      <c r="AA418" s="29"/>
      <c r="AB418" s="29"/>
      <c r="AC418" s="29"/>
      <c r="AD418" s="30"/>
      <c r="AE418" s="41"/>
      <c r="AF418" s="30"/>
      <c r="AG418" s="17">
        <f>AS418</f>
        <v>0</v>
      </c>
      <c r="AH418">
        <v>4</v>
      </c>
      <c r="AJ418" s="56"/>
      <c r="AK418" s="56">
        <f>COUNTIF($B418:$AF418,3)</f>
        <v>0</v>
      </c>
      <c r="AL418" s="56">
        <f>COUNTIF($B418:$AF418,1)</f>
        <v>0</v>
      </c>
      <c r="AM418" s="56">
        <f>COUNTIF($B418:$AF418,2)</f>
        <v>0</v>
      </c>
      <c r="AN418" s="56">
        <f>COUNTIF($B418:$AF418,"DO")</f>
        <v>0</v>
      </c>
      <c r="AO418" s="56">
        <f>COUNTIF($B418:$AF418,"R")</f>
        <v>0</v>
      </c>
      <c r="AP418" s="56">
        <f>COUNTIF($B418:$AF418,4)</f>
        <v>0</v>
      </c>
      <c r="AQ418" s="56">
        <f>COUNTIF($B418:$AF418,5)</f>
        <v>0</v>
      </c>
      <c r="AR418" s="10">
        <f>SUM(AK418:AO418)</f>
        <v>0</v>
      </c>
      <c r="AS418" s="10">
        <f>AQ418+AP418+AO418+AM418+AL418+AK418</f>
        <v>0</v>
      </c>
    </row>
    <row r="419" spans="1:45">
      <c r="A419" s="151"/>
      <c r="B419" s="4"/>
      <c r="C419" s="12"/>
      <c r="D419" s="12"/>
      <c r="E419" s="12"/>
      <c r="F419" s="12"/>
      <c r="G419" s="4"/>
      <c r="H419" s="12"/>
      <c r="I419" s="12"/>
      <c r="J419" s="12"/>
      <c r="K419" s="12"/>
      <c r="L419" s="12"/>
      <c r="M419" s="4"/>
      <c r="N419" s="12"/>
      <c r="O419" s="12"/>
      <c r="P419" s="12"/>
      <c r="Q419" s="12"/>
      <c r="R419" s="12"/>
      <c r="S419" s="4"/>
      <c r="T419" s="12"/>
      <c r="U419" s="94"/>
      <c r="V419" s="94"/>
      <c r="W419" s="94"/>
      <c r="X419" s="12"/>
      <c r="Y419" s="4"/>
      <c r="Z419" s="12"/>
      <c r="AA419" s="12"/>
      <c r="AB419" s="12"/>
      <c r="AC419" s="14"/>
      <c r="AD419" s="12"/>
      <c r="AE419" s="34"/>
      <c r="AF419" s="12"/>
      <c r="AG419" s="17"/>
      <c r="AJ419" s="56"/>
      <c r="AK419" s="56"/>
      <c r="AL419" s="56"/>
      <c r="AM419" s="56"/>
      <c r="AN419" s="56"/>
      <c r="AO419" s="56"/>
      <c r="AP419" s="56"/>
      <c r="AQ419" s="56"/>
      <c r="AR419" s="10"/>
      <c r="AS419" s="10"/>
    </row>
    <row r="420" spans="1:45">
      <c r="A420" s="150" t="s">
        <v>14</v>
      </c>
      <c r="B420" s="29"/>
      <c r="C420" s="29"/>
      <c r="D420" s="29"/>
      <c r="E420" s="29"/>
      <c r="F420" s="41"/>
      <c r="G420" s="29"/>
      <c r="H420" s="41"/>
      <c r="I420" s="30"/>
      <c r="J420" s="29"/>
      <c r="K420" s="30"/>
      <c r="L420" s="29"/>
      <c r="M420" s="30"/>
      <c r="N420" s="30"/>
      <c r="O420" s="30"/>
      <c r="P420" s="30"/>
      <c r="Q420" s="29"/>
      <c r="R420" s="30"/>
      <c r="S420" s="29"/>
      <c r="T420" s="30"/>
      <c r="U420" s="29"/>
      <c r="V420" s="30"/>
      <c r="W420" s="29"/>
      <c r="X420" s="9"/>
      <c r="Y420" s="29"/>
      <c r="Z420" s="30"/>
      <c r="AA420" s="29"/>
      <c r="AB420" s="30"/>
      <c r="AC420" s="29"/>
      <c r="AD420" s="30"/>
      <c r="AE420" s="29"/>
      <c r="AF420" s="41"/>
      <c r="AG420" s="17">
        <f>AS420</f>
        <v>0</v>
      </c>
      <c r="AH420">
        <f>COUNTIF($B420:$AF420,4)</f>
        <v>0</v>
      </c>
      <c r="AI420">
        <f>COUNTIF($B420:$AF420,5)</f>
        <v>0</v>
      </c>
      <c r="AK420" s="56">
        <f>COUNTIF($B420:$AF420,3)</f>
        <v>0</v>
      </c>
      <c r="AL420" s="56">
        <f>COUNTIF($B420:$AF420,1)</f>
        <v>0</v>
      </c>
      <c r="AM420" s="56">
        <f>COUNTIF($B420:$AF420,2)</f>
        <v>0</v>
      </c>
      <c r="AN420" s="56">
        <f>COUNTIF($B420:$AF420,"DO")</f>
        <v>0</v>
      </c>
      <c r="AO420" s="56">
        <f>COUNTIF($B420:$AF420,"R")</f>
        <v>0</v>
      </c>
      <c r="AP420" s="56">
        <f>COUNTIF($B420:$AF420,4)</f>
        <v>0</v>
      </c>
      <c r="AQ420" s="56">
        <f>COUNTIF($B420:$AF420,5)</f>
        <v>0</v>
      </c>
      <c r="AR420" s="10">
        <f t="shared" ref="AR420" si="169">SUM(AK420:AQ420)</f>
        <v>0</v>
      </c>
      <c r="AS420" s="82">
        <f>AQ420+AP420+AO420+AM420+AL420+AK420+((AH420+AI420)/2)</f>
        <v>0</v>
      </c>
    </row>
    <row r="421" spans="1:45">
      <c r="A421" s="151"/>
      <c r="B421" s="4"/>
      <c r="C421" s="4"/>
      <c r="D421" s="4"/>
      <c r="E421" s="12"/>
      <c r="F421" s="12"/>
      <c r="G421" s="4"/>
      <c r="H421" s="33"/>
      <c r="I421" s="29"/>
      <c r="J421" s="12"/>
      <c r="K421" s="19"/>
      <c r="L421" s="12"/>
      <c r="M421" s="4"/>
      <c r="N421" s="12"/>
      <c r="O421" s="4"/>
      <c r="P421" s="12"/>
      <c r="Q421" s="12"/>
      <c r="R421" s="12"/>
      <c r="S421" s="4"/>
      <c r="T421" s="12"/>
      <c r="U421" s="4"/>
      <c r="V421" s="12"/>
      <c r="W421" s="12"/>
      <c r="X421" s="12"/>
      <c r="Y421" s="4"/>
      <c r="Z421" s="12"/>
      <c r="AA421" s="4"/>
      <c r="AB421" s="12"/>
      <c r="AC421" s="12"/>
      <c r="AD421" s="12"/>
      <c r="AE421" s="12"/>
      <c r="AF421" s="12"/>
      <c r="AG421" s="17"/>
      <c r="AK421" s="56"/>
      <c r="AL421" s="56"/>
      <c r="AM421" s="56"/>
      <c r="AN421" s="56"/>
      <c r="AO421" s="56"/>
      <c r="AP421" s="56"/>
      <c r="AQ421" s="56"/>
      <c r="AR421" s="10"/>
      <c r="AS421" s="82"/>
    </row>
    <row r="422" spans="1:45">
      <c r="A422" s="150" t="s">
        <v>15</v>
      </c>
      <c r="B422" s="29" t="s">
        <v>10</v>
      </c>
      <c r="C422" s="29" t="s">
        <v>10</v>
      </c>
      <c r="D422" s="29">
        <v>3</v>
      </c>
      <c r="E422" s="29">
        <v>1</v>
      </c>
      <c r="F422" s="30"/>
      <c r="G422" s="29"/>
      <c r="H422" s="30"/>
      <c r="I422" s="29"/>
      <c r="J422" s="30"/>
      <c r="K422" s="29"/>
      <c r="L422" s="9"/>
      <c r="M422" s="29"/>
      <c r="N422" s="30"/>
      <c r="O422" s="29"/>
      <c r="P422" s="29"/>
      <c r="Q422" s="29"/>
      <c r="R422" s="29"/>
      <c r="S422" s="29"/>
      <c r="T422" s="29"/>
      <c r="U422" s="29"/>
      <c r="V422" s="29"/>
      <c r="W422" s="41"/>
      <c r="X422" s="30"/>
      <c r="Y422" s="8"/>
      <c r="Z422" s="9"/>
      <c r="AA422" s="8"/>
      <c r="AB422" s="9"/>
      <c r="AC422" s="8"/>
      <c r="AD422" s="9"/>
      <c r="AE422" s="29"/>
      <c r="AF422" s="9"/>
      <c r="AG422" s="17">
        <f>AS422</f>
        <v>2</v>
      </c>
      <c r="AH422">
        <f t="shared" ref="AH422" si="170">COUNTIF($B422:$AF422,4)</f>
        <v>0</v>
      </c>
      <c r="AI422">
        <f t="shared" ref="AI422:AI428" si="171">COUNTIF($B422:$AF422,5)</f>
        <v>0</v>
      </c>
      <c r="AK422" s="56">
        <f>COUNTIF($B422:$AF422,3)</f>
        <v>1</v>
      </c>
      <c r="AL422" s="56">
        <f>COUNTIF($B422:$AF422,1)</f>
        <v>1</v>
      </c>
      <c r="AM422" s="56">
        <f>COUNTIF($B422:$AF422,2)</f>
        <v>0</v>
      </c>
      <c r="AN422" s="56">
        <f>COUNTIF($B422:$AF422,"DO")</f>
        <v>2</v>
      </c>
      <c r="AO422" s="56">
        <f>COUNTIF($B422:$AF422,"R")</f>
        <v>0</v>
      </c>
      <c r="AP422" s="56">
        <f>COUNTIF($B422:$AF422,4)</f>
        <v>0</v>
      </c>
      <c r="AQ422" s="56">
        <f>COUNTIF($B422:$AF422,5)</f>
        <v>0</v>
      </c>
      <c r="AR422" s="10">
        <f t="shared" ref="AR422" si="172">SUM(AK422:AQ422)</f>
        <v>4</v>
      </c>
      <c r="AS422" s="82">
        <f t="shared" ref="AS422" si="173">AQ422+AP422+AO422+AM422+AL422+AK422+((AH422+AI422)/2)</f>
        <v>2</v>
      </c>
    </row>
    <row r="423" spans="1:45">
      <c r="A423" s="151"/>
      <c r="B423" s="28"/>
      <c r="C423" s="4"/>
      <c r="D423" s="4"/>
      <c r="E423" s="12"/>
      <c r="F423" s="12"/>
      <c r="G423" s="4"/>
      <c r="H423" s="12"/>
      <c r="I423" s="18"/>
      <c r="J423" s="12"/>
      <c r="K423" s="19"/>
      <c r="L423" s="12"/>
      <c r="M423" s="4"/>
      <c r="N423" s="12"/>
      <c r="O423" s="4"/>
      <c r="P423" s="12"/>
      <c r="Q423" s="12"/>
      <c r="R423" s="12"/>
      <c r="S423" s="4"/>
      <c r="T423" s="12"/>
      <c r="U423" s="4"/>
      <c r="V423" s="12"/>
      <c r="W423" s="12"/>
      <c r="X423" s="12"/>
      <c r="Y423" s="4"/>
      <c r="Z423" s="12"/>
      <c r="AA423" s="4"/>
      <c r="AB423" s="12"/>
      <c r="AC423" s="12"/>
      <c r="AD423" s="12"/>
      <c r="AE423" s="12"/>
      <c r="AF423" s="12"/>
      <c r="AG423" s="71"/>
      <c r="AK423" s="56"/>
      <c r="AL423" s="56"/>
      <c r="AM423" s="56"/>
      <c r="AN423" s="56"/>
      <c r="AO423" s="56"/>
      <c r="AP423" s="56"/>
      <c r="AQ423" s="56"/>
      <c r="AR423" s="10"/>
      <c r="AS423" s="82"/>
    </row>
    <row r="424" spans="1:45">
      <c r="A424" s="31"/>
      <c r="B424" s="21"/>
      <c r="C424" s="21"/>
      <c r="D424" s="21"/>
      <c r="E424" s="22"/>
      <c r="F424" s="22"/>
      <c r="G424" s="21"/>
      <c r="H424" s="21"/>
      <c r="L424" s="22"/>
      <c r="M424" s="21"/>
      <c r="N424" s="21"/>
      <c r="O424" s="21"/>
      <c r="P424" s="21"/>
      <c r="Q424" s="22"/>
      <c r="R424" s="22"/>
      <c r="S424" s="21"/>
      <c r="T424" s="21"/>
      <c r="U424" s="21"/>
      <c r="V424" s="21"/>
      <c r="W424" s="22"/>
      <c r="X424" s="22"/>
      <c r="Y424" s="21"/>
      <c r="Z424" s="21"/>
      <c r="AA424" s="21"/>
      <c r="AB424" s="21"/>
      <c r="AC424" s="22"/>
      <c r="AI424">
        <f t="shared" si="171"/>
        <v>0</v>
      </c>
      <c r="AK424" s="56">
        <f>COUNTIF($B424:$AF424,3)</f>
        <v>0</v>
      </c>
      <c r="AL424" s="56">
        <f>COUNTIF($B424:$AF424,1)</f>
        <v>0</v>
      </c>
      <c r="AM424" s="56">
        <f>COUNTIF($B424:$AF424,2)</f>
        <v>0</v>
      </c>
      <c r="AN424" s="56">
        <f>COUNTIF($B424:$AF424,"DO")</f>
        <v>0</v>
      </c>
      <c r="AO424" s="56">
        <f>COUNTIF($B424:$AF424,"R")</f>
        <v>0</v>
      </c>
      <c r="AP424" s="56">
        <f>COUNTIF($B424:$AF424,4)</f>
        <v>0</v>
      </c>
      <c r="AQ424" s="56">
        <f>COUNTIF($B424:$AF424,5)</f>
        <v>0</v>
      </c>
      <c r="AR424" s="10">
        <f t="shared" ref="AR424" si="174">SUM(AK424:AQ424)</f>
        <v>0</v>
      </c>
      <c r="AS424" s="82">
        <f t="shared" ref="AS424" si="175">AQ424+AP424+AO424+AM424+AL424+AK424+((AH424+AI424)/2)</f>
        <v>0</v>
      </c>
    </row>
    <row r="425" spans="1:45">
      <c r="A425" s="20" t="s">
        <v>18</v>
      </c>
      <c r="B425" s="21"/>
      <c r="C425" s="21"/>
      <c r="D425" s="4">
        <v>1</v>
      </c>
      <c r="E425" s="22" t="s">
        <v>17</v>
      </c>
      <c r="F425" s="144" t="s">
        <v>19</v>
      </c>
      <c r="G425" s="144"/>
      <c r="H425" s="21" t="s">
        <v>17</v>
      </c>
      <c r="I425" s="145" t="s">
        <v>20</v>
      </c>
      <c r="J425" s="145"/>
      <c r="K425" s="22"/>
      <c r="L425" s="22"/>
      <c r="M425" s="21" t="s">
        <v>11</v>
      </c>
      <c r="N425" s="21" t="s">
        <v>17</v>
      </c>
      <c r="O425" s="145" t="s">
        <v>20</v>
      </c>
      <c r="P425" s="145"/>
      <c r="Q425" s="22" t="s">
        <v>17</v>
      </c>
      <c r="R425" s="144" t="s">
        <v>21</v>
      </c>
      <c r="S425" s="144"/>
      <c r="T425" s="21"/>
      <c r="U425" s="21"/>
      <c r="V425" s="21"/>
      <c r="W425" s="22"/>
      <c r="AD425" s="22"/>
      <c r="AE425" s="22"/>
      <c r="AF425" s="22"/>
      <c r="AK425" s="56"/>
      <c r="AL425" s="56"/>
      <c r="AM425" s="56"/>
      <c r="AN425" s="56"/>
      <c r="AO425" s="56"/>
      <c r="AP425" s="56"/>
      <c r="AQ425" s="56"/>
      <c r="AR425" s="10"/>
      <c r="AS425" s="82"/>
    </row>
    <row r="426" spans="1:45">
      <c r="A426" s="20"/>
      <c r="B426" s="21"/>
      <c r="C426" s="21"/>
      <c r="D426" s="4">
        <v>2</v>
      </c>
      <c r="E426" s="22" t="s">
        <v>17</v>
      </c>
      <c r="F426" s="144" t="s">
        <v>20</v>
      </c>
      <c r="G426" s="144"/>
      <c r="H426" s="21" t="s">
        <v>17</v>
      </c>
      <c r="I426" s="145" t="s">
        <v>22</v>
      </c>
      <c r="J426" s="145"/>
      <c r="K426" s="22"/>
      <c r="L426" s="22"/>
      <c r="M426" s="21" t="s">
        <v>10</v>
      </c>
      <c r="N426" s="21" t="s">
        <v>17</v>
      </c>
      <c r="O426" s="145" t="s">
        <v>23</v>
      </c>
      <c r="P426" s="145"/>
      <c r="Q426" s="22"/>
      <c r="R426" s="22"/>
      <c r="S426" s="21"/>
      <c r="T426" s="21"/>
      <c r="U426" s="21"/>
      <c r="V426" s="21"/>
      <c r="W426" s="22"/>
      <c r="X426" s="47"/>
      <c r="Y426" s="21"/>
      <c r="Z426" s="21"/>
      <c r="AA426" s="49"/>
      <c r="AB426" s="21"/>
      <c r="AC426" s="22"/>
      <c r="AD426" s="22"/>
      <c r="AE426" s="22"/>
      <c r="AF426" s="22"/>
      <c r="AI426">
        <f t="shared" si="171"/>
        <v>0</v>
      </c>
      <c r="AK426" s="56">
        <f>COUNTIF($B426:$AF426,3)</f>
        <v>0</v>
      </c>
      <c r="AL426" s="56">
        <f>COUNTIF($B426:$AF426,1)</f>
        <v>0</v>
      </c>
      <c r="AM426" s="56">
        <f>COUNTIF($B426:$AF426,2)</f>
        <v>1</v>
      </c>
      <c r="AN426" s="56">
        <f>COUNTIF($B426:$AF426,"DO")</f>
        <v>1</v>
      </c>
      <c r="AO426" s="56">
        <f>COUNTIF($B426:$AF426,"R")</f>
        <v>0</v>
      </c>
      <c r="AP426" s="56">
        <f>COUNTIF($B426:$AF426,4)</f>
        <v>0</v>
      </c>
      <c r="AQ426" s="56">
        <f>COUNTIF($B426:$AF426,5)</f>
        <v>0</v>
      </c>
      <c r="AR426" s="10">
        <f t="shared" ref="AR426" si="176">SUM(AK426:AQ426)</f>
        <v>2</v>
      </c>
      <c r="AS426" s="82">
        <f t="shared" ref="AS426" si="177">AQ426+AP426+AO426+AM426+AL426+AK426+((AH426+AI426)/2)</f>
        <v>1</v>
      </c>
    </row>
    <row r="427" spans="1:45">
      <c r="A427" s="20"/>
      <c r="B427" s="21"/>
      <c r="C427" s="21"/>
      <c r="D427" s="4">
        <v>3</v>
      </c>
      <c r="E427" s="22" t="s">
        <v>17</v>
      </c>
      <c r="F427" s="144" t="s">
        <v>22</v>
      </c>
      <c r="G427" s="144"/>
      <c r="H427" s="21" t="s">
        <v>17</v>
      </c>
      <c r="I427" s="145" t="s">
        <v>24</v>
      </c>
      <c r="J427" s="145"/>
      <c r="K427" s="22"/>
      <c r="L427" s="22"/>
      <c r="M427" s="7"/>
      <c r="N427" s="22"/>
      <c r="O427" s="23"/>
      <c r="P427" s="22"/>
      <c r="Q427" s="22"/>
      <c r="R427" s="22"/>
      <c r="S427" s="22"/>
      <c r="T427" s="21"/>
      <c r="U427" s="21"/>
      <c r="V427" s="21"/>
      <c r="W427" s="22"/>
      <c r="X427" s="48"/>
      <c r="Y427" s="21"/>
      <c r="Z427" s="21"/>
      <c r="AA427" s="49"/>
      <c r="AB427" s="21"/>
      <c r="AC427" s="22"/>
      <c r="AD427" s="22"/>
      <c r="AE427" s="22"/>
      <c r="AF427" s="22"/>
      <c r="AK427" s="56"/>
      <c r="AL427" s="56"/>
      <c r="AM427" s="56"/>
      <c r="AN427" s="56"/>
      <c r="AO427" s="56"/>
      <c r="AP427" s="56"/>
      <c r="AQ427" s="56"/>
      <c r="AR427" s="10"/>
      <c r="AS427" s="82"/>
    </row>
    <row r="428" spans="1:45">
      <c r="A428" s="20"/>
      <c r="B428" s="21"/>
      <c r="C428" s="21"/>
      <c r="K428" s="22"/>
      <c r="L428" s="22"/>
      <c r="M428" s="7"/>
      <c r="N428" s="22"/>
      <c r="O428" s="23"/>
      <c r="P428" s="22"/>
      <c r="Q428" s="22"/>
      <c r="R428" s="22"/>
      <c r="S428" s="22"/>
      <c r="T428" s="21"/>
      <c r="U428" s="21"/>
      <c r="V428" s="21"/>
      <c r="W428" s="22"/>
      <c r="X428" s="48"/>
      <c r="Y428" s="21"/>
      <c r="Z428" s="21"/>
      <c r="AA428" s="50"/>
      <c r="AB428" s="21"/>
      <c r="AC428" s="22"/>
      <c r="AD428" s="22"/>
      <c r="AE428" s="22"/>
      <c r="AF428" s="22"/>
      <c r="AI428">
        <f t="shared" si="171"/>
        <v>0</v>
      </c>
      <c r="AK428" s="56">
        <f>COUNTIF($B428:$AF428,3)</f>
        <v>0</v>
      </c>
      <c r="AL428" s="56">
        <f>COUNTIF($B428:$AF428,1)</f>
        <v>0</v>
      </c>
      <c r="AM428" s="56">
        <f>COUNTIF($B428:$AF428,2)</f>
        <v>0</v>
      </c>
      <c r="AN428" s="56">
        <f>COUNTIF($B428:$AF428,"DO")</f>
        <v>0</v>
      </c>
      <c r="AO428" s="56">
        <f>COUNTIF($B428:$AF428,"R")</f>
        <v>0</v>
      </c>
      <c r="AP428" s="56">
        <f>COUNTIF($B428:$AF428,4)</f>
        <v>0</v>
      </c>
      <c r="AQ428" s="56">
        <f>COUNTIF($B428:$AF428,5)</f>
        <v>0</v>
      </c>
      <c r="AR428" s="10">
        <f>SUM(AK428:AQ428)</f>
        <v>0</v>
      </c>
      <c r="AS428" s="82">
        <f t="shared" ref="AS428" si="178">AQ428+AP428+AO428+AM428+AL428+AK428+((AH428+AI428)/2)</f>
        <v>0</v>
      </c>
    </row>
    <row r="429" spans="1:45">
      <c r="A429" s="20"/>
      <c r="B429" s="21"/>
      <c r="C429" s="21"/>
      <c r="K429" s="22"/>
      <c r="L429" s="22"/>
      <c r="M429" s="7"/>
      <c r="N429" s="22"/>
      <c r="O429" s="23"/>
      <c r="P429" s="22"/>
      <c r="Q429" s="22"/>
      <c r="R429" s="22"/>
      <c r="S429" s="22"/>
      <c r="T429" s="21"/>
      <c r="U429" s="21"/>
      <c r="V429" s="21"/>
      <c r="W429" s="22"/>
      <c r="X429" s="47"/>
      <c r="Y429" s="21"/>
      <c r="Z429" s="21"/>
      <c r="AA429" s="49"/>
      <c r="AB429" s="21"/>
      <c r="AC429" s="22"/>
      <c r="AD429" s="22"/>
      <c r="AE429" s="22"/>
      <c r="AF429" s="22"/>
    </row>
    <row r="430" spans="1:45">
      <c r="A430" s="20"/>
      <c r="B430" s="21"/>
      <c r="C430" s="21"/>
      <c r="D430" s="21"/>
      <c r="E430" s="22"/>
      <c r="F430" s="22"/>
      <c r="G430" s="22"/>
      <c r="H430" s="21"/>
      <c r="I430" s="21"/>
      <c r="J430" s="21"/>
      <c r="K430" s="22"/>
      <c r="L430" s="22"/>
      <c r="M430" s="21"/>
      <c r="N430" s="21"/>
      <c r="O430" s="21"/>
      <c r="P430" s="21"/>
      <c r="Q430" s="22"/>
      <c r="R430" s="22"/>
      <c r="S430" s="21"/>
      <c r="T430" s="21"/>
      <c r="U430" s="21"/>
      <c r="V430" s="21"/>
      <c r="W430" s="22"/>
      <c r="X430" s="47"/>
      <c r="Y430" s="21"/>
      <c r="Z430" s="21"/>
      <c r="AA430" s="50"/>
      <c r="AB430" s="21"/>
      <c r="AC430" s="22"/>
      <c r="AD430" s="22"/>
      <c r="AE430" s="22"/>
      <c r="AF430" s="22"/>
    </row>
    <row r="431" spans="1:45">
      <c r="A431" s="20" t="s">
        <v>25</v>
      </c>
      <c r="B431" s="21"/>
      <c r="C431" s="21"/>
      <c r="D431" s="21"/>
      <c r="E431" s="22"/>
      <c r="F431" s="22"/>
      <c r="G431" s="22"/>
      <c r="H431" s="21"/>
      <c r="I431" s="20"/>
      <c r="J431" s="21"/>
      <c r="K431" s="21"/>
      <c r="L431" s="21" t="s">
        <v>26</v>
      </c>
      <c r="M431" s="22"/>
      <c r="N431" s="22"/>
      <c r="O431" s="22"/>
      <c r="P431" s="21"/>
      <c r="Q431" s="22"/>
      <c r="R431" s="22"/>
      <c r="S431" s="21"/>
      <c r="T431" s="24"/>
      <c r="U431" s="24"/>
      <c r="V431" s="24"/>
      <c r="W431" s="24"/>
      <c r="X431" s="24"/>
      <c r="Y431" s="21" t="s">
        <v>27</v>
      </c>
      <c r="Z431" s="21"/>
      <c r="AA431" s="21"/>
      <c r="AB431" s="21"/>
      <c r="AC431" s="22"/>
      <c r="AD431" s="22"/>
      <c r="AE431" s="22"/>
      <c r="AF431" s="22"/>
    </row>
    <row r="432" spans="1:45">
      <c r="L432" s="25"/>
      <c r="M432" s="25"/>
      <c r="N432" s="25"/>
      <c r="O432" s="25"/>
      <c r="P432" s="25"/>
      <c r="Q432" s="25"/>
      <c r="X432" s="25"/>
      <c r="Y432" s="25"/>
      <c r="Z432" s="25"/>
      <c r="AA432" s="25"/>
      <c r="AB432" s="25"/>
      <c r="AC432" s="25"/>
    </row>
    <row r="433" spans="1:45">
      <c r="B433" s="146" t="s">
        <v>70</v>
      </c>
      <c r="C433" s="146"/>
      <c r="D433" s="146"/>
      <c r="E433" s="146"/>
      <c r="F433" s="146"/>
      <c r="G433" s="146"/>
      <c r="H433" s="25"/>
      <c r="J433" s="25"/>
      <c r="N433" s="146" t="s">
        <v>28</v>
      </c>
      <c r="O433" s="146"/>
      <c r="P433" s="146"/>
      <c r="Q433" s="146"/>
      <c r="R433" s="146"/>
      <c r="S433" s="146"/>
      <c r="T433" s="146"/>
      <c r="U433" s="146"/>
      <c r="AA433" s="146" t="s">
        <v>35</v>
      </c>
      <c r="AB433" s="146"/>
      <c r="AC433" s="146"/>
      <c r="AD433" s="146"/>
      <c r="AE433" s="146"/>
      <c r="AF433" s="146"/>
    </row>
    <row r="434" spans="1:45">
      <c r="B434" s="147" t="s">
        <v>29</v>
      </c>
      <c r="C434" s="147"/>
      <c r="D434" s="147"/>
      <c r="E434" s="147"/>
      <c r="F434" s="147"/>
      <c r="G434" s="147"/>
      <c r="N434" s="147" t="s">
        <v>30</v>
      </c>
      <c r="O434" s="147"/>
      <c r="P434" s="147"/>
      <c r="Q434" s="147"/>
      <c r="R434" s="147"/>
      <c r="S434" s="147"/>
      <c r="T434" s="147"/>
      <c r="AA434" s="148" t="s">
        <v>47</v>
      </c>
      <c r="AB434" s="148"/>
      <c r="AC434" s="148"/>
      <c r="AD434" s="148"/>
      <c r="AE434" s="148"/>
      <c r="AF434" s="148"/>
    </row>
    <row r="437" spans="1:45" ht="18.75">
      <c r="A437" s="149" t="s">
        <v>92</v>
      </c>
      <c r="B437" s="149"/>
      <c r="C437" s="149"/>
      <c r="D437" s="149"/>
      <c r="E437" s="149"/>
      <c r="F437" s="149"/>
      <c r="G437" s="149"/>
      <c r="H437" s="149"/>
      <c r="I437" s="149"/>
      <c r="J437" s="149"/>
      <c r="K437" s="149"/>
      <c r="L437" s="149"/>
      <c r="M437" s="149"/>
      <c r="N437" s="149"/>
      <c r="O437" s="149"/>
      <c r="P437" s="149"/>
      <c r="Q437" s="149"/>
      <c r="R437" s="149"/>
      <c r="S437" s="149"/>
      <c r="T437" s="149"/>
      <c r="U437" s="149"/>
      <c r="V437" s="149"/>
      <c r="W437" s="149"/>
      <c r="X437" s="149"/>
      <c r="Y437" s="149"/>
      <c r="Z437" s="149"/>
      <c r="AA437" s="149"/>
      <c r="AB437" s="149"/>
      <c r="AC437" s="149"/>
      <c r="AD437" s="149"/>
      <c r="AE437" s="149"/>
      <c r="AF437" s="149"/>
      <c r="AG437" s="149"/>
    </row>
    <row r="438" spans="1:45">
      <c r="A438" s="1" t="s">
        <v>1</v>
      </c>
      <c r="B438" s="84" t="s">
        <v>5</v>
      </c>
      <c r="C438" s="84" t="s">
        <v>6</v>
      </c>
      <c r="D438" s="2" t="s">
        <v>7</v>
      </c>
      <c r="E438" s="2" t="s">
        <v>8</v>
      </c>
      <c r="F438" s="2" t="s">
        <v>2</v>
      </c>
      <c r="G438" s="2" t="s">
        <v>3</v>
      </c>
      <c r="H438" s="2" t="s">
        <v>4</v>
      </c>
      <c r="I438" s="84" t="s">
        <v>5</v>
      </c>
      <c r="J438" s="84" t="s">
        <v>6</v>
      </c>
      <c r="K438" s="2" t="s">
        <v>7</v>
      </c>
      <c r="L438" s="2" t="s">
        <v>8</v>
      </c>
      <c r="M438" s="2" t="s">
        <v>2</v>
      </c>
      <c r="N438" s="2" t="s">
        <v>3</v>
      </c>
      <c r="O438" s="2" t="s">
        <v>4</v>
      </c>
      <c r="P438" s="84" t="s">
        <v>5</v>
      </c>
      <c r="Q438" s="84" t="s">
        <v>6</v>
      </c>
      <c r="R438" s="2" t="s">
        <v>7</v>
      </c>
      <c r="S438" s="2" t="s">
        <v>8</v>
      </c>
      <c r="T438" s="2" t="s">
        <v>2</v>
      </c>
      <c r="U438" s="2" t="s">
        <v>3</v>
      </c>
      <c r="V438" s="2" t="s">
        <v>4</v>
      </c>
      <c r="W438" s="84" t="s">
        <v>5</v>
      </c>
      <c r="X438" s="84" t="s">
        <v>6</v>
      </c>
      <c r="Y438" s="2" t="s">
        <v>7</v>
      </c>
      <c r="Z438" s="2" t="s">
        <v>8</v>
      </c>
      <c r="AA438" s="2" t="s">
        <v>2</v>
      </c>
      <c r="AB438" s="2" t="s">
        <v>3</v>
      </c>
      <c r="AC438" s="2" t="s">
        <v>4</v>
      </c>
      <c r="AD438" s="84" t="s">
        <v>5</v>
      </c>
      <c r="AE438" s="84" t="s">
        <v>6</v>
      </c>
      <c r="AF438" s="2"/>
      <c r="AG438" s="26"/>
    </row>
    <row r="439" spans="1:45">
      <c r="A439" s="3" t="s">
        <v>9</v>
      </c>
      <c r="B439" s="15">
        <v>1</v>
      </c>
      <c r="C439" s="4">
        <v>2</v>
      </c>
      <c r="D439" s="4">
        <v>3</v>
      </c>
      <c r="E439" s="8">
        <v>4</v>
      </c>
      <c r="F439" s="8">
        <v>5</v>
      </c>
      <c r="G439" s="4">
        <v>6</v>
      </c>
      <c r="H439" s="4">
        <v>7</v>
      </c>
      <c r="I439" s="4">
        <v>8</v>
      </c>
      <c r="J439" s="4">
        <v>9</v>
      </c>
      <c r="K439" s="4">
        <v>10</v>
      </c>
      <c r="L439" s="4">
        <v>11</v>
      </c>
      <c r="M439" s="4">
        <v>12</v>
      </c>
      <c r="N439" s="4">
        <v>13</v>
      </c>
      <c r="O439" s="4">
        <v>14</v>
      </c>
      <c r="P439" s="4">
        <v>15</v>
      </c>
      <c r="Q439" s="4">
        <v>16</v>
      </c>
      <c r="R439" s="4">
        <v>17</v>
      </c>
      <c r="S439" s="4">
        <v>18</v>
      </c>
      <c r="T439" s="4">
        <v>19</v>
      </c>
      <c r="U439" s="4">
        <v>20</v>
      </c>
      <c r="V439" s="4">
        <v>21</v>
      </c>
      <c r="W439" s="4">
        <v>22</v>
      </c>
      <c r="X439" s="4">
        <v>23</v>
      </c>
      <c r="Y439" s="4">
        <v>24</v>
      </c>
      <c r="Z439" s="4">
        <v>25</v>
      </c>
      <c r="AA439" s="4">
        <v>26</v>
      </c>
      <c r="AB439" s="4">
        <v>27</v>
      </c>
      <c r="AC439" s="4">
        <v>28</v>
      </c>
      <c r="AD439" s="4">
        <v>29</v>
      </c>
      <c r="AE439" s="4">
        <v>30</v>
      </c>
      <c r="AF439" s="4"/>
      <c r="AG439" s="27">
        <v>24</v>
      </c>
      <c r="AJ439" s="56"/>
      <c r="AK439" s="56">
        <v>3</v>
      </c>
      <c r="AL439" s="56">
        <v>1</v>
      </c>
      <c r="AM439" s="56">
        <v>2</v>
      </c>
      <c r="AN439" s="56" t="s">
        <v>10</v>
      </c>
      <c r="AO439" s="56" t="s">
        <v>11</v>
      </c>
      <c r="AP439" s="56">
        <v>4</v>
      </c>
      <c r="AQ439" s="56">
        <v>5</v>
      </c>
    </row>
    <row r="440" spans="1:45">
      <c r="A440" s="150" t="s">
        <v>12</v>
      </c>
      <c r="B440" s="30"/>
      <c r="C440" s="8"/>
      <c r="D440" s="8"/>
      <c r="E440" s="8"/>
      <c r="F440" s="8"/>
      <c r="G440" s="8"/>
      <c r="H440" s="8"/>
      <c r="I440" s="29"/>
      <c r="J440" s="29"/>
      <c r="K440" s="29"/>
      <c r="L440" s="29"/>
      <c r="M440" s="29"/>
      <c r="N440" s="29"/>
      <c r="O440" s="29"/>
      <c r="P440" s="8"/>
      <c r="Q440" s="8"/>
      <c r="R440" s="8"/>
      <c r="S440" s="8"/>
      <c r="T440" s="8"/>
      <c r="U440" s="8"/>
      <c r="V440" s="8"/>
      <c r="W440" s="8"/>
      <c r="X440" s="8"/>
      <c r="Y440" s="8"/>
      <c r="Z440" s="8"/>
      <c r="AA440" s="8"/>
      <c r="AB440" s="8"/>
      <c r="AC440" s="8"/>
      <c r="AD440" s="8"/>
      <c r="AE440" s="8"/>
      <c r="AF440" s="8"/>
      <c r="AG440" s="17">
        <f>AS440</f>
        <v>0</v>
      </c>
      <c r="AH440">
        <f>COUNTIF($B440:$AF440,4)</f>
        <v>0</v>
      </c>
      <c r="AI440">
        <f>COUNTIF($B440:$AF440,5)</f>
        <v>0</v>
      </c>
      <c r="AK440" s="56">
        <f>COUNTIF($B440:$AF440,3)</f>
        <v>0</v>
      </c>
      <c r="AL440" s="56">
        <f>COUNTIF($B440:$AF440,1)</f>
        <v>0</v>
      </c>
      <c r="AM440" s="56">
        <f>COUNTIF($B440:$AF440,2)</f>
        <v>0</v>
      </c>
      <c r="AN440" s="56">
        <f>COUNTIF($B440:$AF440,"DO")</f>
        <v>0</v>
      </c>
      <c r="AO440" s="56">
        <f>COUNTIF($B440:$AF440,"R")</f>
        <v>0</v>
      </c>
      <c r="AP440" s="56">
        <f>COUNTIF($B440:$AF440,4)</f>
        <v>0</v>
      </c>
      <c r="AQ440" s="56">
        <f>COUNTIF($B440:$AF440,5)</f>
        <v>0</v>
      </c>
      <c r="AR440" s="10">
        <f t="shared" ref="AR440" si="179">SUM(AK440:AQ440)</f>
        <v>0</v>
      </c>
      <c r="AS440" s="82">
        <f>AQ440+AP440+AO440+AM440+AL440+AK440+((AH440+AI440)/2)</f>
        <v>0</v>
      </c>
    </row>
    <row r="441" spans="1:45">
      <c r="A441" s="151"/>
      <c r="B441" s="11"/>
      <c r="C441" s="12"/>
      <c r="D441" s="12"/>
      <c r="E441" s="12"/>
      <c r="F441" s="11"/>
      <c r="G441" s="12"/>
      <c r="H441" s="12"/>
      <c r="I441" s="12"/>
      <c r="J441" s="95"/>
      <c r="K441" s="96"/>
      <c r="L441" s="96"/>
      <c r="M441" s="97"/>
      <c r="N441" s="11"/>
      <c r="O441" s="12"/>
      <c r="P441" s="12"/>
      <c r="Q441" s="12"/>
      <c r="R441" s="11"/>
      <c r="S441" s="12"/>
      <c r="T441" s="12"/>
      <c r="U441" s="12"/>
      <c r="V441" s="11"/>
      <c r="W441" s="12"/>
      <c r="X441" s="12"/>
      <c r="Y441" s="12"/>
      <c r="Z441" s="11"/>
      <c r="AA441" s="12"/>
      <c r="AB441" s="12"/>
      <c r="AC441" s="12"/>
      <c r="AD441" s="12"/>
      <c r="AE441" s="12"/>
      <c r="AF441" s="12"/>
      <c r="AG441" s="17"/>
      <c r="AK441" s="56"/>
      <c r="AL441" s="56"/>
      <c r="AM441" s="56"/>
      <c r="AN441" s="56"/>
      <c r="AO441" s="56"/>
      <c r="AP441" s="56"/>
      <c r="AQ441" s="56"/>
      <c r="AR441" s="10"/>
      <c r="AS441" s="82"/>
    </row>
    <row r="442" spans="1:45">
      <c r="A442" s="150" t="s">
        <v>31</v>
      </c>
      <c r="B442" s="30"/>
      <c r="C442" s="29"/>
      <c r="D442" s="29"/>
      <c r="E442" s="8"/>
      <c r="F442" s="9"/>
      <c r="G442" s="8"/>
      <c r="H442" s="29"/>
      <c r="I442" s="41"/>
      <c r="J442" s="98"/>
      <c r="K442" s="8"/>
      <c r="L442" s="98"/>
      <c r="M442" s="41"/>
      <c r="N442" s="98"/>
      <c r="O442" s="8"/>
      <c r="P442" s="98"/>
      <c r="Q442" s="8"/>
      <c r="R442" s="98"/>
      <c r="S442" s="8"/>
      <c r="T442" s="98"/>
      <c r="U442" s="8"/>
      <c r="V442" s="98"/>
      <c r="W442" s="8"/>
      <c r="X442" s="98"/>
      <c r="Y442" s="8"/>
      <c r="Z442" s="98"/>
      <c r="AA442" s="8"/>
      <c r="AB442" s="98"/>
      <c r="AC442" s="8"/>
      <c r="AD442" s="9"/>
      <c r="AE442" s="8"/>
      <c r="AF442" s="29"/>
      <c r="AG442" s="17">
        <f>AS442</f>
        <v>0</v>
      </c>
      <c r="AH442">
        <f t="shared" ref="AH442:AH446" si="180">COUNTIF($B442:$AF442,4)</f>
        <v>0</v>
      </c>
      <c r="AI442">
        <f t="shared" ref="AI442:AI444" si="181">COUNTIF($B442:$AF442,5)</f>
        <v>0</v>
      </c>
      <c r="AK442" s="56">
        <f>COUNTIF($B442:$AF442,3)</f>
        <v>0</v>
      </c>
      <c r="AL442" s="56">
        <f>COUNTIF($B442:$AF442,1)</f>
        <v>0</v>
      </c>
      <c r="AM442" s="56">
        <f>COUNTIF($B442:$AF442,2)</f>
        <v>0</v>
      </c>
      <c r="AN442" s="56">
        <f>COUNTIF($B442:$AF442,"DO")</f>
        <v>0</v>
      </c>
      <c r="AO442" s="56">
        <f>COUNTIF($B442:$AF442,"R")</f>
        <v>0</v>
      </c>
      <c r="AP442" s="56">
        <f>COUNTIF($B442:$AF442,4)</f>
        <v>0</v>
      </c>
      <c r="AQ442" s="56">
        <f>COUNTIF($B442:$AF442,5)</f>
        <v>0</v>
      </c>
      <c r="AR442" s="10">
        <f t="shared" ref="AR442" si="182">SUM(AK442:AQ442)</f>
        <v>0</v>
      </c>
      <c r="AS442" s="82">
        <f t="shared" ref="AS442" si="183">AQ442+AP442+AO442+AM442+AL442+AK442+((AH442+AI442)/2)</f>
        <v>0</v>
      </c>
    </row>
    <row r="443" spans="1:45">
      <c r="A443" s="151"/>
      <c r="B443" s="32"/>
      <c r="C443" s="33"/>
      <c r="D443" s="33"/>
      <c r="E443" s="12"/>
      <c r="F443" s="12"/>
      <c r="G443" s="12"/>
      <c r="H443" s="28"/>
      <c r="I443" s="12"/>
      <c r="J443" s="28"/>
      <c r="K443" s="12"/>
      <c r="L443" s="12"/>
      <c r="M443" s="12"/>
      <c r="N443" s="4"/>
      <c r="O443" s="12"/>
      <c r="P443" s="12"/>
      <c r="Q443" s="12"/>
      <c r="R443" s="12"/>
      <c r="S443" s="12"/>
      <c r="T443" s="4"/>
      <c r="U443" s="12"/>
      <c r="V443" s="12"/>
      <c r="W443" s="12"/>
      <c r="X443" s="12"/>
      <c r="Y443" s="12"/>
      <c r="Z443" s="4"/>
      <c r="AA443" s="12"/>
      <c r="AB443" s="12"/>
      <c r="AC443" s="12"/>
      <c r="AD443" s="34"/>
      <c r="AE443" s="12"/>
      <c r="AF443" s="12"/>
      <c r="AG443" s="17"/>
      <c r="AK443" s="56"/>
      <c r="AL443" s="56"/>
      <c r="AM443" s="56"/>
      <c r="AN443" s="56"/>
      <c r="AO443" s="56"/>
      <c r="AP443" s="56"/>
      <c r="AQ443" s="56"/>
      <c r="AR443" s="10"/>
      <c r="AS443" s="82"/>
    </row>
    <row r="444" spans="1:45">
      <c r="A444" s="150" t="s">
        <v>16</v>
      </c>
      <c r="B444" s="29"/>
      <c r="C444" s="41"/>
      <c r="D444" s="41"/>
      <c r="E444" s="41"/>
      <c r="F444" s="41"/>
      <c r="G444" s="41"/>
      <c r="H444" s="8"/>
      <c r="I444" s="29"/>
      <c r="J444" s="41"/>
      <c r="K444" s="8"/>
      <c r="L444" s="98"/>
      <c r="M444" s="29"/>
      <c r="N444" s="29"/>
      <c r="O444" s="29"/>
      <c r="P444" s="41"/>
      <c r="Q444" s="29"/>
      <c r="R444" s="99"/>
      <c r="S444" s="8"/>
      <c r="T444" s="8"/>
      <c r="U444" s="29"/>
      <c r="V444" s="8"/>
      <c r="W444" s="8"/>
      <c r="X444" s="99"/>
      <c r="Y444" s="29"/>
      <c r="Z444" s="29"/>
      <c r="AA444" s="29"/>
      <c r="AB444" s="29"/>
      <c r="AC444" s="29"/>
      <c r="AD444" s="30"/>
      <c r="AE444" s="29"/>
      <c r="AF444" s="30"/>
      <c r="AG444" s="17">
        <f>AS444</f>
        <v>0</v>
      </c>
      <c r="AH444">
        <f t="shared" si="180"/>
        <v>0</v>
      </c>
      <c r="AI444">
        <f t="shared" si="181"/>
        <v>0</v>
      </c>
      <c r="AK444" s="56">
        <f>COUNTIF($B444:$AF444,3)</f>
        <v>0</v>
      </c>
      <c r="AL444" s="56">
        <f>COUNTIF($B444:$AF444,1)</f>
        <v>0</v>
      </c>
      <c r="AM444" s="56">
        <f>COUNTIF($B444:$AF444,2)</f>
        <v>0</v>
      </c>
      <c r="AN444" s="56">
        <f>COUNTIF($B444:$AF444,"DO")</f>
        <v>0</v>
      </c>
      <c r="AO444" s="56">
        <f>COUNTIF($B444:$AF444,"R")</f>
        <v>0</v>
      </c>
      <c r="AP444" s="56">
        <f>COUNTIF($B444:$AF444,4)</f>
        <v>0</v>
      </c>
      <c r="AQ444" s="56">
        <f>COUNTIF($B444:$AF444,5)</f>
        <v>0</v>
      </c>
      <c r="AR444" s="10">
        <f t="shared" ref="AR444" si="184">SUM(AK444:AQ444)</f>
        <v>0</v>
      </c>
      <c r="AS444" s="82">
        <f t="shared" ref="AS444" si="185">AQ444+AP444+AO444+AM444+AL444+AK444+((AH444+AI444)/2)</f>
        <v>0</v>
      </c>
    </row>
    <row r="445" spans="1:45">
      <c r="A445" s="151"/>
      <c r="B445" s="4"/>
      <c r="C445" s="35"/>
      <c r="D445" s="12"/>
      <c r="E445" s="12"/>
      <c r="F445" s="12"/>
      <c r="G445" s="12"/>
      <c r="H445" s="12"/>
      <c r="I445" s="12"/>
      <c r="J445" s="12"/>
      <c r="K445" s="12"/>
      <c r="L445" s="12"/>
      <c r="M445" s="12"/>
      <c r="N445" s="12"/>
      <c r="O445" s="12"/>
      <c r="P445" s="12"/>
      <c r="Q445" s="12"/>
      <c r="R445" s="12"/>
      <c r="S445" s="12"/>
      <c r="T445" s="12"/>
      <c r="U445" s="12"/>
      <c r="V445" s="12"/>
      <c r="W445" s="12"/>
      <c r="X445" s="33"/>
      <c r="Y445" s="33"/>
      <c r="Z445" s="33"/>
      <c r="AA445" s="33"/>
      <c r="AB445" s="33"/>
      <c r="AC445" s="33"/>
      <c r="AD445" s="42"/>
      <c r="AE445" s="33"/>
      <c r="AF445" s="43"/>
      <c r="AG445" s="17"/>
      <c r="AJ445" s="56"/>
      <c r="AK445" s="56"/>
      <c r="AL445" s="56"/>
      <c r="AM445" s="56"/>
      <c r="AN445" s="56"/>
      <c r="AO445" s="56"/>
      <c r="AP445" s="56"/>
      <c r="AQ445" s="56"/>
      <c r="AR445" s="10"/>
      <c r="AS445" s="10"/>
    </row>
    <row r="446" spans="1:45">
      <c r="A446" s="150" t="s">
        <v>13</v>
      </c>
      <c r="B446" s="29"/>
      <c r="C446" s="41"/>
      <c r="D446" s="41"/>
      <c r="E446" s="41"/>
      <c r="F446" s="41"/>
      <c r="G446" s="41"/>
      <c r="H446" s="8"/>
      <c r="I446" s="29"/>
      <c r="J446" s="29"/>
      <c r="K446" s="8"/>
      <c r="L446" s="99"/>
      <c r="M446" s="29"/>
      <c r="N446" s="29"/>
      <c r="O446" s="29"/>
      <c r="P446" s="29"/>
      <c r="Q446" s="29"/>
      <c r="R446" s="99"/>
      <c r="S446" s="8"/>
      <c r="T446" s="29"/>
      <c r="U446" s="29"/>
      <c r="V446" s="29"/>
      <c r="W446" s="29"/>
      <c r="X446" s="99"/>
      <c r="Y446" s="29"/>
      <c r="Z446" s="29"/>
      <c r="AA446" s="29"/>
      <c r="AB446" s="29"/>
      <c r="AC446" s="29"/>
      <c r="AD446" s="30"/>
      <c r="AE446" s="41"/>
      <c r="AF446" s="30"/>
      <c r="AG446" s="17">
        <f>AS446</f>
        <v>0</v>
      </c>
      <c r="AH446">
        <f t="shared" si="180"/>
        <v>0</v>
      </c>
      <c r="AJ446" s="56"/>
      <c r="AK446" s="56">
        <f>COUNTIF($B446:$AF446,3)</f>
        <v>0</v>
      </c>
      <c r="AL446" s="56">
        <f>COUNTIF($B446:$AF446,1)</f>
        <v>0</v>
      </c>
      <c r="AM446" s="56">
        <f>COUNTIF($B446:$AF446,2)</f>
        <v>0</v>
      </c>
      <c r="AN446" s="56">
        <f>COUNTIF($B446:$AF446,"DO")</f>
        <v>0</v>
      </c>
      <c r="AO446" s="56">
        <f>COUNTIF($B446:$AF446,"R")</f>
        <v>0</v>
      </c>
      <c r="AP446" s="56">
        <f>COUNTIF($B446:$AF446,4)</f>
        <v>0</v>
      </c>
      <c r="AQ446" s="56">
        <f>COUNTIF($B446:$AF446,5)</f>
        <v>0</v>
      </c>
      <c r="AR446" s="10">
        <f>SUM(AK446:AO446)</f>
        <v>0</v>
      </c>
      <c r="AS446" s="10">
        <f>AQ446+AP446+AO446+AM446+AL446+AK446</f>
        <v>0</v>
      </c>
    </row>
    <row r="447" spans="1:45">
      <c r="A447" s="151"/>
      <c r="B447" s="4"/>
      <c r="C447" s="12"/>
      <c r="D447" s="12"/>
      <c r="E447" s="12"/>
      <c r="F447" s="12"/>
      <c r="G447" s="4"/>
      <c r="H447" s="12"/>
      <c r="I447" s="12"/>
      <c r="J447" s="12"/>
      <c r="K447" s="12"/>
      <c r="L447" s="12"/>
      <c r="M447" s="4"/>
      <c r="N447" s="12"/>
      <c r="O447" s="12"/>
      <c r="P447" s="12"/>
      <c r="Q447" s="12"/>
      <c r="R447" s="12"/>
      <c r="S447" s="4"/>
      <c r="T447" s="12"/>
      <c r="U447" s="12"/>
      <c r="V447" s="12"/>
      <c r="W447" s="12"/>
      <c r="X447" s="12"/>
      <c r="Y447" s="4"/>
      <c r="Z447" s="12"/>
      <c r="AA447" s="12"/>
      <c r="AB447" s="12"/>
      <c r="AC447" s="12"/>
      <c r="AD447" s="12"/>
      <c r="AE447" s="34"/>
      <c r="AF447" s="12"/>
      <c r="AG447" s="17"/>
      <c r="AJ447" s="56"/>
      <c r="AK447" s="56"/>
      <c r="AL447" s="56"/>
      <c r="AM447" s="56"/>
      <c r="AN447" s="56"/>
      <c r="AO447" s="56"/>
      <c r="AP447" s="56"/>
      <c r="AQ447" s="56"/>
      <c r="AR447" s="10"/>
      <c r="AS447" s="10"/>
    </row>
    <row r="448" spans="1:45">
      <c r="A448" s="150" t="s">
        <v>14</v>
      </c>
      <c r="B448" s="29"/>
      <c r="C448" s="29"/>
      <c r="D448" s="29"/>
      <c r="E448" s="29"/>
      <c r="F448" s="41"/>
      <c r="G448" s="29"/>
      <c r="H448" s="41"/>
      <c r="I448" s="99"/>
      <c r="J448" s="29"/>
      <c r="K448" s="99"/>
      <c r="L448" s="29"/>
      <c r="M448" s="99"/>
      <c r="N448" s="99"/>
      <c r="O448" s="99"/>
      <c r="P448" s="99"/>
      <c r="Q448" s="29"/>
      <c r="R448" s="99"/>
      <c r="S448" s="29"/>
      <c r="T448" s="99"/>
      <c r="U448" s="29"/>
      <c r="V448" s="99"/>
      <c r="W448" s="29"/>
      <c r="X448" s="98"/>
      <c r="Y448" s="29"/>
      <c r="Z448" s="99"/>
      <c r="AA448" s="29"/>
      <c r="AB448" s="99"/>
      <c r="AC448" s="29"/>
      <c r="AD448" s="9"/>
      <c r="AE448" s="29"/>
      <c r="AF448" s="41"/>
      <c r="AG448" s="17">
        <f>AS448</f>
        <v>0</v>
      </c>
      <c r="AH448">
        <f>COUNTIF($B448:$AF448,4)</f>
        <v>0</v>
      </c>
      <c r="AI448">
        <f>COUNTIF($B448:$AF448,5)</f>
        <v>0</v>
      </c>
      <c r="AK448" s="56">
        <f>COUNTIF($B448:$AF448,3)</f>
        <v>0</v>
      </c>
      <c r="AL448" s="56">
        <f>COUNTIF($B448:$AF448,1)</f>
        <v>0</v>
      </c>
      <c r="AM448" s="56">
        <f>COUNTIF($B448:$AF448,2)</f>
        <v>0</v>
      </c>
      <c r="AN448" s="56">
        <f>COUNTIF($B448:$AF448,"DO")</f>
        <v>0</v>
      </c>
      <c r="AO448" s="56">
        <f>COUNTIF($B448:$AF448,"R")</f>
        <v>0</v>
      </c>
      <c r="AP448" s="56">
        <f>COUNTIF($B448:$AF448,4)</f>
        <v>0</v>
      </c>
      <c r="AQ448" s="56">
        <f>COUNTIF($B448:$AF448,5)</f>
        <v>0</v>
      </c>
      <c r="AR448" s="10">
        <f t="shared" ref="AR448" si="186">SUM(AK448:AQ448)</f>
        <v>0</v>
      </c>
      <c r="AS448" s="82">
        <f>AQ448+AP448+AO448+AM448+AL448+AK448+((AH448+AI448)/2)</f>
        <v>0</v>
      </c>
    </row>
    <row r="449" spans="1:45">
      <c r="A449" s="151"/>
      <c r="B449" s="4"/>
      <c r="C449" s="4"/>
      <c r="D449" s="4"/>
      <c r="E449" s="12"/>
      <c r="F449" s="12"/>
      <c r="G449" s="4"/>
      <c r="H449" s="33"/>
      <c r="I449" s="29"/>
      <c r="J449" s="12"/>
      <c r="K449" s="19"/>
      <c r="L449" s="12"/>
      <c r="M449" s="4"/>
      <c r="N449" s="12"/>
      <c r="O449" s="4"/>
      <c r="P449" s="12"/>
      <c r="Q449" s="12"/>
      <c r="R449" s="12"/>
      <c r="S449" s="4"/>
      <c r="T449" s="12"/>
      <c r="U449" s="4"/>
      <c r="V449" s="12"/>
      <c r="W449" s="12"/>
      <c r="X449" s="12"/>
      <c r="Y449" s="4"/>
      <c r="Z449" s="12"/>
      <c r="AA449" s="4"/>
      <c r="AB449" s="12"/>
      <c r="AC449" s="12"/>
      <c r="AD449" s="12"/>
      <c r="AE449" s="12"/>
      <c r="AF449" s="12"/>
      <c r="AG449" s="17"/>
      <c r="AK449" s="56"/>
      <c r="AL449" s="56"/>
      <c r="AM449" s="56"/>
      <c r="AN449" s="56"/>
      <c r="AO449" s="56"/>
      <c r="AP449" s="56"/>
      <c r="AQ449" s="56"/>
      <c r="AR449" s="10"/>
      <c r="AS449" s="82"/>
    </row>
    <row r="450" spans="1:45">
      <c r="A450" s="150" t="s">
        <v>15</v>
      </c>
      <c r="B450" s="29"/>
      <c r="C450" s="29"/>
      <c r="D450" s="29"/>
      <c r="E450" s="29"/>
      <c r="F450" s="30"/>
      <c r="G450" s="29">
        <v>3</v>
      </c>
      <c r="H450" s="99">
        <v>1</v>
      </c>
      <c r="I450" s="29" t="s">
        <v>10</v>
      </c>
      <c r="J450" s="98" t="s">
        <v>10</v>
      </c>
      <c r="K450" s="8">
        <v>3</v>
      </c>
      <c r="L450" s="98">
        <v>1</v>
      </c>
      <c r="M450" s="29"/>
      <c r="N450" s="99"/>
      <c r="O450" s="29"/>
      <c r="P450" s="29"/>
      <c r="Q450" s="29"/>
      <c r="R450" s="29"/>
      <c r="S450" s="99"/>
      <c r="T450" s="99"/>
      <c r="U450" s="41"/>
      <c r="V450" s="98"/>
      <c r="W450" s="41"/>
      <c r="X450" s="99"/>
      <c r="Y450" s="8"/>
      <c r="Z450" s="98"/>
      <c r="AA450" s="8"/>
      <c r="AB450" s="98"/>
      <c r="AC450" s="8"/>
      <c r="AD450" s="9"/>
      <c r="AE450" s="29"/>
      <c r="AF450" s="9"/>
      <c r="AG450" s="17">
        <f>AS450</f>
        <v>4</v>
      </c>
      <c r="AH450">
        <f t="shared" ref="AH450" si="187">COUNTIF($B450:$AF450,4)</f>
        <v>0</v>
      </c>
      <c r="AI450">
        <f t="shared" ref="AI450:AI456" si="188">COUNTIF($B450:$AF450,5)</f>
        <v>0</v>
      </c>
      <c r="AK450" s="56">
        <f>COUNTIF($B450:$AF450,3)</f>
        <v>2</v>
      </c>
      <c r="AL450" s="56">
        <f>COUNTIF($B450:$AF450,1)</f>
        <v>2</v>
      </c>
      <c r="AM450" s="56">
        <f>COUNTIF($B450:$AF450,2)</f>
        <v>0</v>
      </c>
      <c r="AN450" s="56">
        <f>COUNTIF($B450:$AF450,"DO")</f>
        <v>2</v>
      </c>
      <c r="AO450" s="56">
        <f>COUNTIF($B450:$AF450,"R")</f>
        <v>0</v>
      </c>
      <c r="AP450" s="56">
        <f>COUNTIF($B450:$AF450,4)</f>
        <v>0</v>
      </c>
      <c r="AQ450" s="56">
        <f>COUNTIF($B450:$AF450,5)</f>
        <v>0</v>
      </c>
      <c r="AR450" s="10">
        <f t="shared" ref="AR450" si="189">SUM(AK450:AQ450)</f>
        <v>6</v>
      </c>
      <c r="AS450" s="82">
        <f t="shared" ref="AS450" si="190">AQ450+AP450+AO450+AM450+AL450+AK450+((AH450+AI450)/2)</f>
        <v>4</v>
      </c>
    </row>
    <row r="451" spans="1:45">
      <c r="A451" s="151"/>
      <c r="B451" s="28"/>
      <c r="C451" s="4"/>
      <c r="D451" s="4"/>
      <c r="E451" s="12"/>
      <c r="F451" s="12"/>
      <c r="G451" s="4"/>
      <c r="H451" s="12"/>
      <c r="I451" s="18"/>
      <c r="J451" s="12"/>
      <c r="K451" s="19"/>
      <c r="L451" s="12"/>
      <c r="M451" s="4"/>
      <c r="N451" s="12"/>
      <c r="O451" s="4"/>
      <c r="P451" s="12"/>
      <c r="Q451" s="12"/>
      <c r="R451" s="12"/>
      <c r="S451" s="4"/>
      <c r="T451" s="12"/>
      <c r="U451" s="4"/>
      <c r="V451" s="12"/>
      <c r="W451" s="12"/>
      <c r="X451" s="12"/>
      <c r="Y451" s="4"/>
      <c r="Z451" s="12"/>
      <c r="AA451" s="4"/>
      <c r="AB451" s="12"/>
      <c r="AC451" s="12"/>
      <c r="AD451" s="12"/>
      <c r="AE451" s="12"/>
      <c r="AF451" s="12"/>
      <c r="AG451" s="71"/>
      <c r="AK451" s="56"/>
      <c r="AL451" s="56"/>
      <c r="AM451" s="56"/>
      <c r="AN451" s="56"/>
      <c r="AO451" s="56"/>
      <c r="AP451" s="56"/>
      <c r="AQ451" s="56"/>
      <c r="AR451" s="10"/>
      <c r="AS451" s="82"/>
    </row>
    <row r="452" spans="1:45">
      <c r="A452" s="31"/>
      <c r="B452" s="21"/>
      <c r="C452" s="21"/>
      <c r="D452" s="21"/>
      <c r="E452" s="22"/>
      <c r="F452" s="22"/>
      <c r="G452" s="21"/>
      <c r="H452" s="21"/>
      <c r="L452" s="22"/>
      <c r="M452" s="21"/>
      <c r="N452" s="21"/>
      <c r="O452" s="21"/>
      <c r="P452" s="21"/>
      <c r="Q452" s="22"/>
      <c r="R452" s="22"/>
      <c r="S452" s="21"/>
      <c r="T452" s="21"/>
      <c r="U452" s="21"/>
      <c r="V452" s="21"/>
      <c r="W452" s="22"/>
      <c r="X452" s="22"/>
      <c r="Y452" s="21"/>
      <c r="Z452" s="21"/>
      <c r="AA452" s="21"/>
      <c r="AB452" s="21"/>
      <c r="AC452" s="22"/>
      <c r="AI452">
        <f t="shared" si="188"/>
        <v>0</v>
      </c>
      <c r="AK452" s="56">
        <f>COUNTIF($B452:$AF452,3)</f>
        <v>0</v>
      </c>
      <c r="AL452" s="56">
        <f>COUNTIF($B452:$AF452,1)</f>
        <v>0</v>
      </c>
      <c r="AM452" s="56">
        <f>COUNTIF($B452:$AF452,2)</f>
        <v>0</v>
      </c>
      <c r="AN452" s="56">
        <f>COUNTIF($B452:$AF452,"DO")</f>
        <v>0</v>
      </c>
      <c r="AO452" s="56">
        <f>COUNTIF($B452:$AF452,"R")</f>
        <v>0</v>
      </c>
      <c r="AP452" s="56">
        <f>COUNTIF($B452:$AF452,4)</f>
        <v>0</v>
      </c>
      <c r="AQ452" s="56">
        <f>COUNTIF($B452:$AF452,5)</f>
        <v>0</v>
      </c>
      <c r="AR452" s="10">
        <f t="shared" ref="AR452" si="191">SUM(AK452:AQ452)</f>
        <v>0</v>
      </c>
      <c r="AS452" s="82">
        <f t="shared" ref="AS452" si="192">AQ452+AP452+AO452+AM452+AL452+AK452+((AH452+AI452)/2)</f>
        <v>0</v>
      </c>
    </row>
    <row r="453" spans="1:45">
      <c r="A453" s="20" t="s">
        <v>18</v>
      </c>
      <c r="B453" s="21"/>
      <c r="C453" s="21"/>
      <c r="D453" s="4">
        <v>1</v>
      </c>
      <c r="E453" s="22" t="s">
        <v>17</v>
      </c>
      <c r="F453" s="144" t="s">
        <v>19</v>
      </c>
      <c r="G453" s="144"/>
      <c r="H453" s="21" t="s">
        <v>17</v>
      </c>
      <c r="I453" s="145" t="s">
        <v>20</v>
      </c>
      <c r="J453" s="145"/>
      <c r="K453" s="22"/>
      <c r="L453" s="22"/>
      <c r="M453" s="21" t="s">
        <v>11</v>
      </c>
      <c r="N453" s="21" t="s">
        <v>17</v>
      </c>
      <c r="O453" s="145" t="s">
        <v>20</v>
      </c>
      <c r="P453" s="145"/>
      <c r="Q453" s="22" t="s">
        <v>17</v>
      </c>
      <c r="R453" s="144" t="s">
        <v>21</v>
      </c>
      <c r="S453" s="144"/>
      <c r="T453" s="21"/>
      <c r="U453" s="21"/>
      <c r="V453" s="21"/>
      <c r="W453" s="22"/>
      <c r="AD453" s="22"/>
      <c r="AE453" s="22"/>
      <c r="AF453" s="22"/>
      <c r="AK453" s="56"/>
      <c r="AL453" s="56"/>
      <c r="AM453" s="56"/>
      <c r="AN453" s="56"/>
      <c r="AO453" s="56"/>
      <c r="AP453" s="56"/>
      <c r="AQ453" s="56"/>
      <c r="AR453" s="10"/>
      <c r="AS453" s="82"/>
    </row>
    <row r="454" spans="1:45">
      <c r="A454" s="20"/>
      <c r="B454" s="21"/>
      <c r="C454" s="21"/>
      <c r="D454" s="4">
        <v>2</v>
      </c>
      <c r="E454" s="22" t="s">
        <v>17</v>
      </c>
      <c r="F454" s="144" t="s">
        <v>20</v>
      </c>
      <c r="G454" s="144"/>
      <c r="H454" s="21" t="s">
        <v>17</v>
      </c>
      <c r="I454" s="145" t="s">
        <v>22</v>
      </c>
      <c r="J454" s="145"/>
      <c r="K454" s="22"/>
      <c r="L454" s="22"/>
      <c r="M454" s="21" t="s">
        <v>10</v>
      </c>
      <c r="N454" s="21" t="s">
        <v>17</v>
      </c>
      <c r="O454" s="145" t="s">
        <v>23</v>
      </c>
      <c r="P454" s="145"/>
      <c r="Q454" s="22"/>
      <c r="R454" s="22"/>
      <c r="S454" s="21"/>
      <c r="T454" s="21"/>
      <c r="U454" s="21"/>
      <c r="V454" s="21"/>
      <c r="W454" s="22"/>
      <c r="X454" s="47"/>
      <c r="Y454" s="21"/>
      <c r="Z454" s="21"/>
      <c r="AA454" s="49"/>
      <c r="AB454" s="21"/>
      <c r="AC454" s="22"/>
      <c r="AD454" s="22"/>
      <c r="AE454" s="22"/>
      <c r="AF454" s="22"/>
      <c r="AI454">
        <f t="shared" si="188"/>
        <v>0</v>
      </c>
      <c r="AK454" s="56">
        <f>COUNTIF($B454:$AF454,3)</f>
        <v>0</v>
      </c>
      <c r="AL454" s="56">
        <f>COUNTIF($B454:$AF454,1)</f>
        <v>0</v>
      </c>
      <c r="AM454" s="56">
        <f>COUNTIF($B454:$AF454,2)</f>
        <v>1</v>
      </c>
      <c r="AN454" s="56">
        <f>COUNTIF($B454:$AF454,"DO")</f>
        <v>1</v>
      </c>
      <c r="AO454" s="56">
        <f>COUNTIF($B454:$AF454,"R")</f>
        <v>0</v>
      </c>
      <c r="AP454" s="56">
        <f>COUNTIF($B454:$AF454,4)</f>
        <v>0</v>
      </c>
      <c r="AQ454" s="56">
        <f>COUNTIF($B454:$AF454,5)</f>
        <v>0</v>
      </c>
      <c r="AR454" s="10">
        <f t="shared" ref="AR454" si="193">SUM(AK454:AQ454)</f>
        <v>2</v>
      </c>
      <c r="AS454" s="82">
        <f t="shared" ref="AS454" si="194">AQ454+AP454+AO454+AM454+AL454+AK454+((AH454+AI454)/2)</f>
        <v>1</v>
      </c>
    </row>
    <row r="455" spans="1:45">
      <c r="A455" s="20"/>
      <c r="B455" s="21"/>
      <c r="C455" s="21"/>
      <c r="D455" s="4">
        <v>3</v>
      </c>
      <c r="E455" s="22" t="s">
        <v>17</v>
      </c>
      <c r="F455" s="144" t="s">
        <v>22</v>
      </c>
      <c r="G455" s="144"/>
      <c r="H455" s="21" t="s">
        <v>17</v>
      </c>
      <c r="I455" s="145" t="s">
        <v>24</v>
      </c>
      <c r="J455" s="145"/>
      <c r="K455" s="22"/>
      <c r="L455" s="22"/>
      <c r="M455" s="7"/>
      <c r="N455" s="22"/>
      <c r="O455" s="23"/>
      <c r="P455" s="22"/>
      <c r="Q455" s="22"/>
      <c r="R455" s="22"/>
      <c r="S455" s="22"/>
      <c r="T455" s="21"/>
      <c r="U455" s="21"/>
      <c r="V455" s="21"/>
      <c r="W455" s="22"/>
      <c r="X455" s="48"/>
      <c r="Y455" s="21"/>
      <c r="Z455" s="21"/>
      <c r="AA455" s="49"/>
      <c r="AB455" s="21"/>
      <c r="AC455" s="22"/>
      <c r="AD455" s="22"/>
      <c r="AE455" s="22"/>
      <c r="AF455" s="22"/>
      <c r="AK455" s="56"/>
      <c r="AL455" s="56"/>
      <c r="AM455" s="56"/>
      <c r="AN455" s="56"/>
      <c r="AO455" s="56"/>
      <c r="AP455" s="56"/>
      <c r="AQ455" s="56"/>
      <c r="AR455" s="10"/>
      <c r="AS455" s="82"/>
    </row>
    <row r="456" spans="1:45">
      <c r="A456" s="20"/>
      <c r="B456" s="21"/>
      <c r="C456" s="21"/>
      <c r="K456" s="22"/>
      <c r="L456" s="22"/>
      <c r="M456" s="7"/>
      <c r="N456" s="22"/>
      <c r="O456" s="23"/>
      <c r="P456" s="22"/>
      <c r="Q456" s="22"/>
      <c r="R456" s="22"/>
      <c r="S456" s="22"/>
      <c r="T456" s="21"/>
      <c r="U456" s="21"/>
      <c r="V456" s="21"/>
      <c r="W456" s="22"/>
      <c r="X456" s="48"/>
      <c r="Y456" s="21"/>
      <c r="Z456" s="21"/>
      <c r="AA456" s="50"/>
      <c r="AB456" s="21"/>
      <c r="AC456" s="22"/>
      <c r="AD456" s="22"/>
      <c r="AE456" s="22"/>
      <c r="AF456" s="22"/>
      <c r="AI456">
        <f t="shared" si="188"/>
        <v>0</v>
      </c>
      <c r="AK456" s="56">
        <f>COUNTIF($B456:$AF456,3)</f>
        <v>0</v>
      </c>
      <c r="AL456" s="56">
        <f>COUNTIF($B456:$AF456,1)</f>
        <v>0</v>
      </c>
      <c r="AM456" s="56">
        <f>COUNTIF($B456:$AF456,2)</f>
        <v>0</v>
      </c>
      <c r="AN456" s="56">
        <f>COUNTIF($B456:$AF456,"DO")</f>
        <v>0</v>
      </c>
      <c r="AO456" s="56">
        <f>COUNTIF($B456:$AF456,"R")</f>
        <v>0</v>
      </c>
      <c r="AP456" s="56">
        <f>COUNTIF($B456:$AF456,4)</f>
        <v>0</v>
      </c>
      <c r="AQ456" s="56">
        <f>COUNTIF($B456:$AF456,5)</f>
        <v>0</v>
      </c>
      <c r="AR456" s="10">
        <f>SUM(AK456:AQ456)</f>
        <v>0</v>
      </c>
      <c r="AS456" s="82">
        <f t="shared" ref="AS456" si="195">AQ456+AP456+AO456+AM456+AL456+AK456+((AH456+AI456)/2)</f>
        <v>0</v>
      </c>
    </row>
    <row r="457" spans="1:45">
      <c r="A457" s="20"/>
      <c r="B457" s="21"/>
      <c r="C457" s="21"/>
      <c r="K457" s="22"/>
      <c r="L457" s="22"/>
      <c r="M457" s="7"/>
      <c r="N457" s="22"/>
      <c r="O457" s="23"/>
      <c r="P457" s="22"/>
      <c r="Q457" s="22"/>
      <c r="R457" s="22"/>
      <c r="S457" s="22"/>
      <c r="T457" s="21"/>
      <c r="U457" s="21"/>
      <c r="V457" s="21"/>
      <c r="W457" s="22"/>
      <c r="X457" s="47"/>
      <c r="Y457" s="21"/>
      <c r="Z457" s="21"/>
      <c r="AA457" s="49"/>
      <c r="AB457" s="21"/>
      <c r="AC457" s="22"/>
      <c r="AD457" s="22"/>
      <c r="AE457" s="22"/>
      <c r="AF457" s="22"/>
    </row>
    <row r="458" spans="1:45">
      <c r="A458" s="20"/>
      <c r="B458" s="21"/>
      <c r="C458" s="21"/>
      <c r="D458" s="21"/>
      <c r="E458" s="22"/>
      <c r="F458" s="22"/>
      <c r="G458" s="22"/>
      <c r="H458" s="21"/>
      <c r="I458" s="21"/>
      <c r="J458" s="21"/>
      <c r="K458" s="22"/>
      <c r="L458" s="22"/>
      <c r="M458" s="21"/>
      <c r="N458" s="21"/>
      <c r="O458" s="21"/>
      <c r="P458" s="21"/>
      <c r="Q458" s="22"/>
      <c r="R458" s="22"/>
      <c r="S458" s="21"/>
      <c r="T458" s="21"/>
      <c r="U458" s="21"/>
      <c r="V458" s="21"/>
      <c r="W458" s="22"/>
      <c r="X458" s="47"/>
      <c r="Y458" s="21"/>
      <c r="Z458" s="21"/>
      <c r="AA458" s="50"/>
      <c r="AB458" s="21"/>
      <c r="AC458" s="22"/>
      <c r="AD458" s="22"/>
      <c r="AE458" s="22"/>
      <c r="AF458" s="22"/>
    </row>
    <row r="459" spans="1:45">
      <c r="A459" s="20" t="s">
        <v>25</v>
      </c>
      <c r="B459" s="21"/>
      <c r="C459" s="21"/>
      <c r="D459" s="21"/>
      <c r="E459" s="22"/>
      <c r="F459" s="22"/>
      <c r="G459" s="22"/>
      <c r="H459" s="21"/>
      <c r="I459" s="20"/>
      <c r="J459" s="21"/>
      <c r="K459" s="21"/>
      <c r="L459" s="21" t="s">
        <v>26</v>
      </c>
      <c r="M459" s="22"/>
      <c r="N459" s="22"/>
      <c r="O459" s="22"/>
      <c r="P459" s="21"/>
      <c r="Q459" s="22"/>
      <c r="R459" s="22"/>
      <c r="S459" s="21"/>
      <c r="T459" s="24"/>
      <c r="U459" s="24"/>
      <c r="V459" s="24"/>
      <c r="W459" s="24"/>
      <c r="X459" s="24"/>
      <c r="Y459" s="21" t="s">
        <v>27</v>
      </c>
      <c r="Z459" s="21"/>
      <c r="AA459" s="21"/>
      <c r="AB459" s="21"/>
      <c r="AC459" s="22"/>
      <c r="AD459" s="22"/>
      <c r="AE459" s="22"/>
      <c r="AF459" s="22"/>
    </row>
    <row r="460" spans="1:45">
      <c r="L460" s="25"/>
      <c r="M460" s="25"/>
      <c r="N460" s="25"/>
      <c r="O460" s="25"/>
      <c r="P460" s="25"/>
      <c r="Q460" s="25"/>
      <c r="X460" s="25"/>
      <c r="Y460" s="25"/>
      <c r="Z460" s="25"/>
      <c r="AA460" s="25"/>
      <c r="AB460" s="25"/>
      <c r="AC460" s="25"/>
    </row>
    <row r="461" spans="1:45">
      <c r="B461" s="146" t="s">
        <v>70</v>
      </c>
      <c r="C461" s="146"/>
      <c r="D461" s="146"/>
      <c r="E461" s="146"/>
      <c r="F461" s="146"/>
      <c r="G461" s="146"/>
      <c r="H461" s="25"/>
      <c r="J461" s="25"/>
      <c r="N461" s="146" t="s">
        <v>28</v>
      </c>
      <c r="O461" s="146"/>
      <c r="P461" s="146"/>
      <c r="Q461" s="146"/>
      <c r="R461" s="146"/>
      <c r="S461" s="146"/>
      <c r="T461" s="146"/>
      <c r="U461" s="146"/>
      <c r="AA461" s="146" t="s">
        <v>35</v>
      </c>
      <c r="AB461" s="146"/>
      <c r="AC461" s="146"/>
      <c r="AD461" s="146"/>
      <c r="AE461" s="146"/>
      <c r="AF461" s="146"/>
    </row>
    <row r="462" spans="1:45">
      <c r="B462" s="147" t="s">
        <v>29</v>
      </c>
      <c r="C462" s="147"/>
      <c r="D462" s="147"/>
      <c r="E462" s="147"/>
      <c r="F462" s="147"/>
      <c r="G462" s="147"/>
      <c r="N462" s="147" t="s">
        <v>30</v>
      </c>
      <c r="O462" s="147"/>
      <c r="P462" s="147"/>
      <c r="Q462" s="147"/>
      <c r="R462" s="147"/>
      <c r="S462" s="147"/>
      <c r="T462" s="147"/>
      <c r="AA462" s="148" t="s">
        <v>47</v>
      </c>
      <c r="AB462" s="148"/>
      <c r="AC462" s="148"/>
      <c r="AD462" s="148"/>
      <c r="AE462" s="148"/>
      <c r="AF462" s="148"/>
    </row>
    <row r="465" spans="1:45" ht="18.75">
      <c r="A465" s="149" t="s">
        <v>93</v>
      </c>
      <c r="B465" s="149"/>
      <c r="C465" s="149"/>
      <c r="D465" s="149"/>
      <c r="E465" s="149"/>
      <c r="F465" s="149"/>
      <c r="G465" s="149"/>
      <c r="H465" s="149"/>
      <c r="I465" s="149"/>
      <c r="J465" s="149"/>
      <c r="K465" s="149"/>
      <c r="L465" s="149"/>
      <c r="M465" s="149"/>
      <c r="N465" s="149"/>
      <c r="O465" s="149"/>
      <c r="P465" s="149"/>
      <c r="Q465" s="149"/>
      <c r="R465" s="149"/>
      <c r="S465" s="149"/>
      <c r="T465" s="149"/>
      <c r="U465" s="149"/>
      <c r="V465" s="149"/>
      <c r="W465" s="149"/>
      <c r="X465" s="149"/>
      <c r="Y465" s="149"/>
      <c r="Z465" s="149"/>
      <c r="AA465" s="149"/>
      <c r="AB465" s="149"/>
      <c r="AC465" s="149"/>
      <c r="AD465" s="149"/>
      <c r="AE465" s="149"/>
      <c r="AF465" s="149"/>
      <c r="AG465" s="149"/>
    </row>
    <row r="466" spans="1:45">
      <c r="A466" s="1" t="s">
        <v>1</v>
      </c>
      <c r="B466" s="2" t="s">
        <v>3</v>
      </c>
      <c r="C466" s="2" t="s">
        <v>4</v>
      </c>
      <c r="D466" s="84" t="s">
        <v>5</v>
      </c>
      <c r="E466" s="84" t="s">
        <v>6</v>
      </c>
      <c r="F466" s="2" t="s">
        <v>7</v>
      </c>
      <c r="G466" s="2" t="s">
        <v>8</v>
      </c>
      <c r="H466" s="2" t="s">
        <v>2</v>
      </c>
      <c r="I466" s="2" t="s">
        <v>3</v>
      </c>
      <c r="J466" s="2" t="s">
        <v>4</v>
      </c>
      <c r="K466" s="84" t="s">
        <v>5</v>
      </c>
      <c r="L466" s="84" t="s">
        <v>6</v>
      </c>
      <c r="M466" s="2" t="s">
        <v>7</v>
      </c>
      <c r="N466" s="2" t="s">
        <v>8</v>
      </c>
      <c r="O466" s="2" t="s">
        <v>2</v>
      </c>
      <c r="P466" s="2" t="s">
        <v>3</v>
      </c>
      <c r="Q466" s="2" t="s">
        <v>4</v>
      </c>
      <c r="R466" s="84" t="s">
        <v>5</v>
      </c>
      <c r="S466" s="84" t="s">
        <v>6</v>
      </c>
      <c r="T466" s="2" t="s">
        <v>7</v>
      </c>
      <c r="U466" s="2" t="s">
        <v>8</v>
      </c>
      <c r="V466" s="2" t="s">
        <v>2</v>
      </c>
      <c r="W466" s="2" t="s">
        <v>3</v>
      </c>
      <c r="X466" s="2" t="s">
        <v>4</v>
      </c>
      <c r="Y466" s="84" t="s">
        <v>5</v>
      </c>
      <c r="Z466" s="84" t="s">
        <v>6</v>
      </c>
      <c r="AA466" s="2" t="s">
        <v>7</v>
      </c>
      <c r="AB466" s="2" t="s">
        <v>8</v>
      </c>
      <c r="AC466" s="2" t="s">
        <v>2</v>
      </c>
      <c r="AD466" s="2" t="s">
        <v>3</v>
      </c>
      <c r="AE466" s="2" t="s">
        <v>4</v>
      </c>
      <c r="AF466" s="84" t="s">
        <v>5</v>
      </c>
      <c r="AG466" s="26"/>
    </row>
    <row r="467" spans="1:45">
      <c r="A467" s="3" t="s">
        <v>9</v>
      </c>
      <c r="B467" s="15">
        <v>1</v>
      </c>
      <c r="C467" s="4">
        <v>2</v>
      </c>
      <c r="D467" s="4">
        <v>3</v>
      </c>
      <c r="E467" s="8">
        <v>4</v>
      </c>
      <c r="F467" s="8">
        <v>5</v>
      </c>
      <c r="G467" s="4">
        <v>6</v>
      </c>
      <c r="H467" s="4">
        <v>7</v>
      </c>
      <c r="I467" s="4">
        <v>8</v>
      </c>
      <c r="J467" s="4">
        <v>9</v>
      </c>
      <c r="K467" s="4">
        <v>10</v>
      </c>
      <c r="L467" s="4">
        <v>11</v>
      </c>
      <c r="M467" s="4">
        <v>12</v>
      </c>
      <c r="N467" s="4">
        <v>13</v>
      </c>
      <c r="O467" s="4">
        <v>14</v>
      </c>
      <c r="P467" s="4">
        <v>15</v>
      </c>
      <c r="Q467" s="4">
        <v>16</v>
      </c>
      <c r="R467" s="4">
        <v>17</v>
      </c>
      <c r="S467" s="4">
        <v>18</v>
      </c>
      <c r="T467" s="4">
        <v>19</v>
      </c>
      <c r="U467" s="4">
        <v>20</v>
      </c>
      <c r="V467" s="4">
        <v>21</v>
      </c>
      <c r="W467" s="4">
        <v>22</v>
      </c>
      <c r="X467" s="4">
        <v>23</v>
      </c>
      <c r="Y467" s="4">
        <v>24</v>
      </c>
      <c r="Z467" s="4">
        <v>25</v>
      </c>
      <c r="AA467" s="4">
        <v>26</v>
      </c>
      <c r="AB467" s="4">
        <v>27</v>
      </c>
      <c r="AC467" s="4">
        <v>28</v>
      </c>
      <c r="AD467" s="4">
        <v>29</v>
      </c>
      <c r="AE467" s="4">
        <v>30</v>
      </c>
      <c r="AF467" s="4">
        <v>31</v>
      </c>
      <c r="AG467" s="27">
        <v>24</v>
      </c>
      <c r="AJ467" s="56"/>
      <c r="AK467" s="56">
        <v>3</v>
      </c>
      <c r="AL467" s="56">
        <v>1</v>
      </c>
      <c r="AM467" s="56">
        <v>2</v>
      </c>
      <c r="AN467" s="56" t="s">
        <v>10</v>
      </c>
      <c r="AO467" s="56" t="s">
        <v>11</v>
      </c>
      <c r="AP467" s="56">
        <v>4</v>
      </c>
      <c r="AQ467" s="56">
        <v>5</v>
      </c>
    </row>
    <row r="468" spans="1:45">
      <c r="A468" s="150" t="s">
        <v>12</v>
      </c>
      <c r="B468" s="30"/>
      <c r="C468" s="8"/>
      <c r="D468" s="8"/>
      <c r="E468" s="8"/>
      <c r="F468" s="8"/>
      <c r="G468" s="8"/>
      <c r="H468" s="8"/>
      <c r="I468" s="29"/>
      <c r="J468" s="29"/>
      <c r="K468" s="29"/>
      <c r="L468" s="29"/>
      <c r="M468" s="29"/>
      <c r="N468" s="29"/>
      <c r="O468" s="29"/>
      <c r="P468" s="8"/>
      <c r="Q468" s="8"/>
      <c r="R468" s="8"/>
      <c r="S468" s="8"/>
      <c r="T468" s="8"/>
      <c r="U468" s="8"/>
      <c r="V468" s="8"/>
      <c r="W468" s="8"/>
      <c r="X468" s="8"/>
      <c r="Y468" s="8"/>
      <c r="Z468" s="8"/>
      <c r="AA468" s="8"/>
      <c r="AB468" s="8"/>
      <c r="AC468" s="8"/>
      <c r="AD468" s="8"/>
      <c r="AE468" s="8"/>
      <c r="AF468" s="8"/>
      <c r="AG468" s="17">
        <f>AS468</f>
        <v>0</v>
      </c>
      <c r="AH468">
        <f>COUNTIF($B468:$AF468,4)</f>
        <v>0</v>
      </c>
      <c r="AI468">
        <f>COUNTIF($B468:$AF468,5)</f>
        <v>0</v>
      </c>
      <c r="AK468" s="56">
        <f>COUNTIF($B468:$AF468,3)</f>
        <v>0</v>
      </c>
      <c r="AL468" s="56">
        <f>COUNTIF($B468:$AF468,1)</f>
        <v>0</v>
      </c>
      <c r="AM468" s="56">
        <f>COUNTIF($B468:$AF468,2)</f>
        <v>0</v>
      </c>
      <c r="AN468" s="56">
        <f>COUNTIF($B468:$AF468,"DO")</f>
        <v>0</v>
      </c>
      <c r="AO468" s="56">
        <f>COUNTIF($B468:$AF468,"R")</f>
        <v>0</v>
      </c>
      <c r="AP468" s="56">
        <f>COUNTIF($B468:$AF468,4)</f>
        <v>0</v>
      </c>
      <c r="AQ468" s="56">
        <f>COUNTIF($B468:$AF468,5)</f>
        <v>0</v>
      </c>
      <c r="AR468" s="10">
        <f t="shared" ref="AR468" si="196">SUM(AK468:AQ468)</f>
        <v>0</v>
      </c>
      <c r="AS468" s="82">
        <f>AQ468+AP468+AO468+AM468+AL468+AK468+((AH468+AI468)/2)</f>
        <v>0</v>
      </c>
    </row>
    <row r="469" spans="1:45">
      <c r="A469" s="151"/>
      <c r="B469" s="11"/>
      <c r="C469" s="12"/>
      <c r="D469" s="12"/>
      <c r="E469" s="12"/>
      <c r="F469" s="11"/>
      <c r="G469" s="12"/>
      <c r="H469" s="12"/>
      <c r="I469" s="12"/>
      <c r="J469" s="152"/>
      <c r="K469" s="153"/>
      <c r="L469" s="153"/>
      <c r="M469" s="154"/>
      <c r="N469" s="11"/>
      <c r="O469" s="12"/>
      <c r="P469" s="12"/>
      <c r="Q469" s="12"/>
      <c r="R469" s="11"/>
      <c r="S469" s="12"/>
      <c r="T469" s="12"/>
      <c r="U469" s="12"/>
      <c r="V469" s="11"/>
      <c r="W469" s="12"/>
      <c r="X469" s="12"/>
      <c r="Y469" s="12"/>
      <c r="Z469" s="11"/>
      <c r="AA469" s="12"/>
      <c r="AB469" s="12"/>
      <c r="AC469" s="12"/>
      <c r="AD469" s="12"/>
      <c r="AE469" s="12"/>
      <c r="AF469" s="12"/>
      <c r="AG469" s="17"/>
      <c r="AK469" s="56"/>
      <c r="AL469" s="56"/>
      <c r="AM469" s="56"/>
      <c r="AN469" s="56"/>
      <c r="AO469" s="56"/>
      <c r="AP469" s="56"/>
      <c r="AQ469" s="56"/>
      <c r="AR469" s="10"/>
      <c r="AS469" s="82"/>
    </row>
    <row r="470" spans="1:45">
      <c r="A470" s="150" t="s">
        <v>31</v>
      </c>
      <c r="B470" s="30"/>
      <c r="C470" s="29"/>
      <c r="D470" s="29"/>
      <c r="E470" s="8"/>
      <c r="F470" s="9"/>
      <c r="G470" s="8"/>
      <c r="H470" s="29"/>
      <c r="I470" s="41"/>
      <c r="J470" s="30"/>
      <c r="K470" s="29"/>
      <c r="L470" s="30"/>
      <c r="M470" s="41"/>
      <c r="N470" s="9"/>
      <c r="O470" s="8"/>
      <c r="P470" s="30"/>
      <c r="Q470" s="29"/>
      <c r="R470" s="30"/>
      <c r="S470" s="29"/>
      <c r="T470" s="30"/>
      <c r="U470" s="29"/>
      <c r="V470" s="9"/>
      <c r="W470" s="8"/>
      <c r="X470" s="9"/>
      <c r="Y470" s="8"/>
      <c r="Z470" s="9"/>
      <c r="AA470" s="8"/>
      <c r="AB470" s="9"/>
      <c r="AC470" s="8"/>
      <c r="AD470" s="9"/>
      <c r="AE470" s="8"/>
      <c r="AF470" s="29"/>
      <c r="AG470" s="17">
        <f>AS470</f>
        <v>0</v>
      </c>
      <c r="AH470">
        <f>COUNTIF($B470:$AF470,4)</f>
        <v>0</v>
      </c>
      <c r="AI470">
        <f>COUNTIF($B470:$AF470,5)</f>
        <v>0</v>
      </c>
      <c r="AK470" s="56">
        <f>COUNTIF($B470:$AF470,3)</f>
        <v>0</v>
      </c>
      <c r="AL470" s="56">
        <f>COUNTIF($B470:$AF470,1)</f>
        <v>0</v>
      </c>
      <c r="AM470" s="56">
        <f>COUNTIF($B470:$AF470,2)</f>
        <v>0</v>
      </c>
      <c r="AN470" s="56">
        <f>COUNTIF($B470:$AF470,"DO")</f>
        <v>0</v>
      </c>
      <c r="AO470" s="56">
        <f>COUNTIF($B470:$AF470,"R")</f>
        <v>0</v>
      </c>
      <c r="AP470" s="56">
        <f>COUNTIF($B470:$AF470,4)</f>
        <v>0</v>
      </c>
      <c r="AQ470" s="56">
        <f>COUNTIF($B470:$AF470,5)</f>
        <v>0</v>
      </c>
      <c r="AR470" s="10">
        <f t="shared" ref="AR470" si="197">SUM(AK470:AQ470)</f>
        <v>0</v>
      </c>
      <c r="AS470" s="82">
        <f t="shared" ref="AS470" si="198">AQ470+AP470+AO470+AM470+AL470+AK470+((AH470+AI470)/2)</f>
        <v>0</v>
      </c>
    </row>
    <row r="471" spans="1:45">
      <c r="A471" s="151"/>
      <c r="B471" s="32"/>
      <c r="C471" s="33"/>
      <c r="D471" s="33"/>
      <c r="E471" s="12"/>
      <c r="F471" s="12"/>
      <c r="G471" s="12"/>
      <c r="H471" s="28"/>
      <c r="I471" s="12"/>
      <c r="J471" s="28"/>
      <c r="K471" s="12"/>
      <c r="L471" s="12"/>
      <c r="M471" s="12"/>
      <c r="N471" s="4"/>
      <c r="O471" s="12"/>
      <c r="P471" s="12"/>
      <c r="Q471" s="12"/>
      <c r="R471" s="12"/>
      <c r="S471" s="12"/>
      <c r="T471" s="4"/>
      <c r="U471" s="12"/>
      <c r="V471" s="12"/>
      <c r="W471" s="12"/>
      <c r="X471" s="12"/>
      <c r="Y471" s="12"/>
      <c r="Z471" s="4"/>
      <c r="AA471" s="12"/>
      <c r="AB471" s="12"/>
      <c r="AC471" s="12"/>
      <c r="AD471" s="34"/>
      <c r="AE471" s="12"/>
      <c r="AF471" s="12"/>
      <c r="AG471" s="17"/>
      <c r="AK471" s="56"/>
      <c r="AL471" s="56"/>
      <c r="AM471" s="56"/>
      <c r="AN471" s="56"/>
      <c r="AO471" s="56"/>
      <c r="AP471" s="56"/>
      <c r="AQ471" s="56"/>
      <c r="AR471" s="10"/>
      <c r="AS471" s="82"/>
    </row>
    <row r="472" spans="1:45">
      <c r="A472" s="150" t="s">
        <v>16</v>
      </c>
      <c r="B472" s="29"/>
      <c r="C472" s="41"/>
      <c r="D472" s="41"/>
      <c r="E472" s="41"/>
      <c r="F472" s="41"/>
      <c r="G472" s="41"/>
      <c r="H472" s="8"/>
      <c r="I472" s="29"/>
      <c r="J472" s="41"/>
      <c r="K472" s="8"/>
      <c r="L472" s="9"/>
      <c r="M472" s="29"/>
      <c r="N472" s="29"/>
      <c r="O472" s="29"/>
      <c r="P472" s="41"/>
      <c r="Q472" s="29"/>
      <c r="R472" s="30"/>
      <c r="S472" s="8"/>
      <c r="T472" s="29"/>
      <c r="U472" s="29"/>
      <c r="V472" s="8"/>
      <c r="W472" s="8"/>
      <c r="X472" s="30"/>
      <c r="Y472" s="29"/>
      <c r="Z472" s="29"/>
      <c r="AA472" s="29"/>
      <c r="AB472" s="29"/>
      <c r="AC472" s="29"/>
      <c r="AD472" s="30"/>
      <c r="AE472" s="29"/>
      <c r="AF472" s="30"/>
      <c r="AG472" s="17">
        <f>AS472</f>
        <v>0</v>
      </c>
      <c r="AH472">
        <f>COUNTIF($B472:$AF472,4)</f>
        <v>0</v>
      </c>
      <c r="AI472">
        <f>COUNTIF($B472:$AF472,5)</f>
        <v>0</v>
      </c>
      <c r="AK472" s="56">
        <f>COUNTIF($B472:$AF472,3)</f>
        <v>0</v>
      </c>
      <c r="AL472" s="56">
        <f>COUNTIF($B472:$AF472,1)</f>
        <v>0</v>
      </c>
      <c r="AM472" s="56">
        <f>COUNTIF($B472:$AF472,2)</f>
        <v>0</v>
      </c>
      <c r="AN472" s="56">
        <f>COUNTIF($B472:$AF472,"DO")</f>
        <v>0</v>
      </c>
      <c r="AO472" s="56">
        <f>COUNTIF($B472:$AF472,"R")</f>
        <v>0</v>
      </c>
      <c r="AP472" s="56">
        <f>COUNTIF($B472:$AF472,4)</f>
        <v>0</v>
      </c>
      <c r="AQ472" s="56">
        <f>COUNTIF($B472:$AF472,5)</f>
        <v>0</v>
      </c>
      <c r="AR472" s="10">
        <f t="shared" ref="AR472" si="199">SUM(AK472:AQ472)</f>
        <v>0</v>
      </c>
      <c r="AS472" s="82">
        <f t="shared" ref="AS472" si="200">AQ472+AP472+AO472+AM472+AL472+AK472+((AH472+AI472)/2)</f>
        <v>0</v>
      </c>
    </row>
    <row r="473" spans="1:45">
      <c r="A473" s="151"/>
      <c r="B473" s="4"/>
      <c r="C473" s="35"/>
      <c r="D473" s="12"/>
      <c r="E473" s="12"/>
      <c r="F473" s="12"/>
      <c r="G473" s="12"/>
      <c r="H473" s="12"/>
      <c r="I473" s="12"/>
      <c r="J473" s="12"/>
      <c r="K473" s="12"/>
      <c r="L473" s="12"/>
      <c r="M473" s="12"/>
      <c r="N473" s="12"/>
      <c r="O473" s="12"/>
      <c r="P473" s="12"/>
      <c r="Q473" s="12"/>
      <c r="R473" s="12"/>
      <c r="S473" s="12"/>
      <c r="T473" s="12"/>
      <c r="U473" s="12"/>
      <c r="V473" s="12"/>
      <c r="W473" s="12"/>
      <c r="X473" s="33"/>
      <c r="Y473" s="33"/>
      <c r="Z473" s="33"/>
      <c r="AA473" s="33"/>
      <c r="AB473" s="33"/>
      <c r="AC473" s="33"/>
      <c r="AD473" s="42"/>
      <c r="AE473" s="33"/>
      <c r="AF473" s="43"/>
      <c r="AG473" s="17"/>
      <c r="AJ473" s="56"/>
      <c r="AK473" s="56"/>
      <c r="AL473" s="56"/>
      <c r="AM473" s="56"/>
      <c r="AN473" s="56"/>
      <c r="AO473" s="56"/>
      <c r="AP473" s="56"/>
      <c r="AQ473" s="56"/>
      <c r="AR473" s="10"/>
      <c r="AS473" s="10"/>
    </row>
    <row r="474" spans="1:45">
      <c r="A474" s="150" t="s">
        <v>13</v>
      </c>
      <c r="B474" s="29"/>
      <c r="C474" s="41"/>
      <c r="D474" s="41"/>
      <c r="E474" s="41"/>
      <c r="F474" s="41"/>
      <c r="G474" s="41"/>
      <c r="H474" s="8"/>
      <c r="I474" s="29"/>
      <c r="J474" s="29"/>
      <c r="K474" s="8"/>
      <c r="L474" s="9"/>
      <c r="M474" s="29"/>
      <c r="N474" s="29"/>
      <c r="O474" s="29"/>
      <c r="P474" s="29"/>
      <c r="Q474" s="8"/>
      <c r="R474" s="9"/>
      <c r="S474" s="8"/>
      <c r="T474" s="8"/>
      <c r="U474" s="29"/>
      <c r="V474" s="29"/>
      <c r="W474" s="29"/>
      <c r="X474" s="30"/>
      <c r="Y474" s="29"/>
      <c r="Z474" s="29"/>
      <c r="AA474" s="29"/>
      <c r="AB474" s="29"/>
      <c r="AC474" s="29"/>
      <c r="AD474" s="30"/>
      <c r="AE474" s="41"/>
      <c r="AF474" s="30"/>
      <c r="AG474" s="17">
        <f>AS474</f>
        <v>0</v>
      </c>
      <c r="AH474">
        <v>4</v>
      </c>
      <c r="AJ474" s="56"/>
      <c r="AK474" s="56">
        <f>COUNTIF($B474:$AF474,3)</f>
        <v>0</v>
      </c>
      <c r="AL474" s="56">
        <f>COUNTIF($B474:$AF474,1)</f>
        <v>0</v>
      </c>
      <c r="AM474" s="56">
        <f>COUNTIF($B474:$AF474,2)</f>
        <v>0</v>
      </c>
      <c r="AN474" s="56">
        <f>COUNTIF($B474:$AF474,"DO")</f>
        <v>0</v>
      </c>
      <c r="AO474" s="56">
        <f>COUNTIF($B474:$AF474,"R")</f>
        <v>0</v>
      </c>
      <c r="AP474" s="56">
        <f>COUNTIF($B474:$AF474,4)</f>
        <v>0</v>
      </c>
      <c r="AQ474" s="56">
        <f>COUNTIF($B474:$AF474,5)</f>
        <v>0</v>
      </c>
      <c r="AR474" s="10">
        <f>SUM(AK474:AO474)</f>
        <v>0</v>
      </c>
      <c r="AS474" s="10">
        <f>AQ474+AP474+AO474+AM474+AL474+AK474</f>
        <v>0</v>
      </c>
    </row>
    <row r="475" spans="1:45">
      <c r="A475" s="151"/>
      <c r="B475" s="4"/>
      <c r="C475" s="12"/>
      <c r="D475" s="12"/>
      <c r="E475" s="12"/>
      <c r="F475" s="12"/>
      <c r="G475" s="4"/>
      <c r="H475" s="12"/>
      <c r="I475" s="12"/>
      <c r="J475" s="12"/>
      <c r="K475" s="12"/>
      <c r="L475" s="12"/>
      <c r="M475" s="4"/>
      <c r="N475" s="12"/>
      <c r="O475" s="12"/>
      <c r="P475" s="12"/>
      <c r="Q475" s="12"/>
      <c r="R475" s="12"/>
      <c r="S475" s="4"/>
      <c r="T475" s="12"/>
      <c r="U475" s="94"/>
      <c r="V475" s="94"/>
      <c r="W475" s="94"/>
      <c r="X475" s="12"/>
      <c r="Y475" s="4"/>
      <c r="Z475" s="12"/>
      <c r="AA475" s="12"/>
      <c r="AB475" s="12"/>
      <c r="AC475" s="14"/>
      <c r="AD475" s="12"/>
      <c r="AE475" s="34"/>
      <c r="AF475" s="12"/>
      <c r="AG475" s="17"/>
      <c r="AJ475" s="56"/>
      <c r="AK475" s="56"/>
      <c r="AL475" s="56"/>
      <c r="AM475" s="56"/>
      <c r="AN475" s="56"/>
      <c r="AO475" s="56"/>
      <c r="AP475" s="56"/>
      <c r="AQ475" s="56"/>
      <c r="AR475" s="10"/>
      <c r="AS475" s="10"/>
    </row>
    <row r="476" spans="1:45">
      <c r="A476" s="150" t="s">
        <v>14</v>
      </c>
      <c r="B476" s="29"/>
      <c r="C476" s="29"/>
      <c r="D476" s="29"/>
      <c r="E476" s="29"/>
      <c r="F476" s="41"/>
      <c r="G476" s="29"/>
      <c r="H476" s="41"/>
      <c r="I476" s="30"/>
      <c r="J476" s="29"/>
      <c r="K476" s="30"/>
      <c r="L476" s="29"/>
      <c r="M476" s="30"/>
      <c r="N476" s="30"/>
      <c r="O476" s="30"/>
      <c r="P476" s="30"/>
      <c r="Q476" s="29"/>
      <c r="R476" s="30"/>
      <c r="S476" s="29"/>
      <c r="T476" s="30"/>
      <c r="U476" s="29"/>
      <c r="V476" s="30"/>
      <c r="W476" s="29"/>
      <c r="X476" s="9"/>
      <c r="Y476" s="29"/>
      <c r="Z476" s="30"/>
      <c r="AA476" s="29"/>
      <c r="AB476" s="30"/>
      <c r="AC476" s="29"/>
      <c r="AD476" s="30"/>
      <c r="AE476" s="29"/>
      <c r="AF476" s="41"/>
      <c r="AG476" s="17">
        <f>AS476</f>
        <v>0</v>
      </c>
      <c r="AH476">
        <f>COUNTIF($B476:$AF476,4)</f>
        <v>0</v>
      </c>
      <c r="AI476">
        <f>COUNTIF($B476:$AF476,5)</f>
        <v>0</v>
      </c>
      <c r="AK476" s="56">
        <f>COUNTIF($B476:$AF476,3)</f>
        <v>0</v>
      </c>
      <c r="AL476" s="56">
        <f>COUNTIF($B476:$AF476,1)</f>
        <v>0</v>
      </c>
      <c r="AM476" s="56">
        <f>COUNTIF($B476:$AF476,2)</f>
        <v>0</v>
      </c>
      <c r="AN476" s="56">
        <f>COUNTIF($B476:$AF476,"DO")</f>
        <v>0</v>
      </c>
      <c r="AO476" s="56">
        <f>COUNTIF($B476:$AF476,"R")</f>
        <v>0</v>
      </c>
      <c r="AP476" s="56">
        <f>COUNTIF($B476:$AF476,4)</f>
        <v>0</v>
      </c>
      <c r="AQ476" s="56">
        <f>COUNTIF($B476:$AF476,5)</f>
        <v>0</v>
      </c>
      <c r="AR476" s="10">
        <f t="shared" ref="AR476" si="201">SUM(AK476:AQ476)</f>
        <v>0</v>
      </c>
      <c r="AS476" s="82">
        <f>AQ476+AP476+AO476+AM476+AL476+AK476+((AH476+AI476)/2)</f>
        <v>0</v>
      </c>
    </row>
    <row r="477" spans="1:45">
      <c r="A477" s="151"/>
      <c r="B477" s="4"/>
      <c r="C477" s="4"/>
      <c r="D477" s="4"/>
      <c r="E477" s="12"/>
      <c r="F477" s="12"/>
      <c r="G477" s="4"/>
      <c r="H477" s="33"/>
      <c r="I477" s="29"/>
      <c r="J477" s="12"/>
      <c r="K477" s="19"/>
      <c r="L477" s="12"/>
      <c r="M477" s="4"/>
      <c r="N477" s="12"/>
      <c r="O477" s="4"/>
      <c r="P477" s="12"/>
      <c r="Q477" s="12"/>
      <c r="R477" s="12"/>
      <c r="S477" s="4"/>
      <c r="T477" s="12"/>
      <c r="U477" s="4"/>
      <c r="V477" s="12"/>
      <c r="W477" s="12"/>
      <c r="X477" s="12"/>
      <c r="Y477" s="4"/>
      <c r="Z477" s="12"/>
      <c r="AA477" s="4"/>
      <c r="AB477" s="12"/>
      <c r="AC477" s="12"/>
      <c r="AD477" s="12"/>
      <c r="AE477" s="12"/>
      <c r="AF477" s="12"/>
      <c r="AG477" s="17"/>
      <c r="AK477" s="56"/>
      <c r="AL477" s="56"/>
      <c r="AM477" s="56"/>
      <c r="AN477" s="56"/>
      <c r="AO477" s="56"/>
      <c r="AP477" s="56"/>
      <c r="AQ477" s="56"/>
      <c r="AR477" s="10"/>
      <c r="AS477" s="82"/>
    </row>
    <row r="478" spans="1:45">
      <c r="A478" s="150" t="s">
        <v>15</v>
      </c>
      <c r="B478" s="29"/>
      <c r="C478" s="29"/>
      <c r="D478" s="29"/>
      <c r="E478" s="29"/>
      <c r="F478" s="30"/>
      <c r="G478" s="29"/>
      <c r="H478" s="30"/>
      <c r="I478" s="29"/>
      <c r="J478" s="30"/>
      <c r="K478" s="29"/>
      <c r="L478" s="9"/>
      <c r="M478" s="29"/>
      <c r="N478" s="30"/>
      <c r="O478" s="29"/>
      <c r="P478" s="29"/>
      <c r="Q478" s="29"/>
      <c r="R478" s="29"/>
      <c r="S478" s="29"/>
      <c r="T478" s="29"/>
      <c r="U478" s="29"/>
      <c r="V478" s="29"/>
      <c r="W478" s="41"/>
      <c r="X478" s="30"/>
      <c r="Y478" s="8"/>
      <c r="Z478" s="9"/>
      <c r="AA478" s="29">
        <v>3</v>
      </c>
      <c r="AB478" s="30">
        <v>1</v>
      </c>
      <c r="AC478" s="29" t="s">
        <v>10</v>
      </c>
      <c r="AD478" s="30" t="s">
        <v>10</v>
      </c>
      <c r="AE478" s="29" t="s">
        <v>10</v>
      </c>
      <c r="AF478" s="30" t="s">
        <v>10</v>
      </c>
      <c r="AG478" s="17">
        <f>AS478</f>
        <v>2</v>
      </c>
      <c r="AH478">
        <f>COUNTIF($B478:$AF478,4)</f>
        <v>0</v>
      </c>
      <c r="AI478">
        <f>COUNTIF($B478:$AF478,5)</f>
        <v>0</v>
      </c>
      <c r="AK478" s="56">
        <f>COUNTIF($B478:$AF478,3)</f>
        <v>1</v>
      </c>
      <c r="AL478" s="56">
        <f>COUNTIF($B478:$AF478,1)</f>
        <v>1</v>
      </c>
      <c r="AM478" s="56">
        <f>COUNTIF($B478:$AF478,2)</f>
        <v>0</v>
      </c>
      <c r="AN478" s="56">
        <f>COUNTIF($B478:$AF478,"DO")</f>
        <v>4</v>
      </c>
      <c r="AO478" s="56">
        <f>COUNTIF($B478:$AF478,"R")</f>
        <v>0</v>
      </c>
      <c r="AP478" s="56">
        <f>COUNTIF($B478:$AF478,4)</f>
        <v>0</v>
      </c>
      <c r="AQ478" s="56">
        <f>COUNTIF($B478:$AF478,5)</f>
        <v>0</v>
      </c>
      <c r="AR478" s="10">
        <f t="shared" ref="AR478" si="202">SUM(AK478:AQ478)</f>
        <v>6</v>
      </c>
      <c r="AS478" s="82">
        <f t="shared" ref="AS478" si="203">AQ478+AP478+AO478+AM478+AL478+AK478+((AH478+AI478)/2)</f>
        <v>2</v>
      </c>
    </row>
    <row r="479" spans="1:45">
      <c r="A479" s="151"/>
      <c r="B479" s="28"/>
      <c r="C479" s="4"/>
      <c r="D479" s="4"/>
      <c r="E479" s="12"/>
      <c r="F479" s="12"/>
      <c r="G479" s="4"/>
      <c r="H479" s="12"/>
      <c r="I479" s="18"/>
      <c r="J479" s="12"/>
      <c r="K479" s="19"/>
      <c r="L479" s="12"/>
      <c r="M479" s="4"/>
      <c r="N479" s="12"/>
      <c r="O479" s="4"/>
      <c r="P479" s="12"/>
      <c r="Q479" s="12"/>
      <c r="R479" s="12"/>
      <c r="S479" s="4"/>
      <c r="T479" s="12"/>
      <c r="U479" s="4"/>
      <c r="V479" s="12"/>
      <c r="W479" s="12"/>
      <c r="X479" s="12"/>
      <c r="Y479" s="4"/>
      <c r="Z479" s="12"/>
      <c r="AA479" s="4"/>
      <c r="AB479" s="12"/>
      <c r="AC479" s="12"/>
      <c r="AD479" s="12"/>
      <c r="AE479" s="12"/>
      <c r="AF479" s="12"/>
      <c r="AG479" s="71"/>
      <c r="AK479" s="56"/>
      <c r="AL479" s="56"/>
      <c r="AM479" s="56"/>
      <c r="AN479" s="56"/>
      <c r="AO479" s="56"/>
      <c r="AP479" s="56"/>
      <c r="AQ479" s="56"/>
      <c r="AR479" s="10"/>
      <c r="AS479" s="82"/>
    </row>
    <row r="480" spans="1:45">
      <c r="A480" s="31"/>
      <c r="B480" s="21"/>
      <c r="C480" s="21"/>
      <c r="D480" s="21"/>
      <c r="E480" s="22"/>
      <c r="F480" s="22"/>
      <c r="G480" s="21"/>
      <c r="H480" s="21"/>
      <c r="L480" s="22"/>
      <c r="M480" s="21"/>
      <c r="N480" s="21"/>
      <c r="O480" s="21"/>
      <c r="P480" s="21"/>
      <c r="Q480" s="22"/>
      <c r="R480" s="22"/>
      <c r="S480" s="21"/>
      <c r="T480" s="21"/>
      <c r="U480" s="21"/>
      <c r="V480" s="21"/>
      <c r="W480" s="22"/>
      <c r="X480" s="22"/>
      <c r="Y480" s="21"/>
      <c r="Z480" s="21"/>
      <c r="AA480" s="21"/>
      <c r="AB480" s="21"/>
      <c r="AC480" s="22"/>
      <c r="AI480">
        <f>COUNTIF($B480:$AF480,5)</f>
        <v>0</v>
      </c>
      <c r="AK480" s="56">
        <f>COUNTIF($B480:$AF480,3)</f>
        <v>0</v>
      </c>
      <c r="AL480" s="56">
        <f>COUNTIF($B480:$AF480,1)</f>
        <v>0</v>
      </c>
      <c r="AM480" s="56">
        <f>COUNTIF($B480:$AF480,2)</f>
        <v>0</v>
      </c>
      <c r="AN480" s="56">
        <f>COUNTIF($B480:$AF480,"DO")</f>
        <v>0</v>
      </c>
      <c r="AO480" s="56">
        <f>COUNTIF($B480:$AF480,"R")</f>
        <v>0</v>
      </c>
      <c r="AP480" s="56">
        <f>COUNTIF($B480:$AF480,4)</f>
        <v>0</v>
      </c>
      <c r="AQ480" s="56">
        <f>COUNTIF($B480:$AF480,5)</f>
        <v>0</v>
      </c>
      <c r="AR480" s="10">
        <f t="shared" ref="AR480" si="204">SUM(AK480:AQ480)</f>
        <v>0</v>
      </c>
      <c r="AS480" s="82">
        <f t="shared" ref="AS480" si="205">AQ480+AP480+AO480+AM480+AL480+AK480+((AH480+AI480)/2)</f>
        <v>0</v>
      </c>
    </row>
    <row r="481" spans="1:45">
      <c r="A481" s="20" t="s">
        <v>18</v>
      </c>
      <c r="B481" s="21"/>
      <c r="C481" s="21"/>
      <c r="D481" s="4">
        <v>1</v>
      </c>
      <c r="E481" s="22" t="s">
        <v>17</v>
      </c>
      <c r="F481" s="144" t="s">
        <v>19</v>
      </c>
      <c r="G481" s="144"/>
      <c r="H481" s="21" t="s">
        <v>17</v>
      </c>
      <c r="I481" s="145" t="s">
        <v>20</v>
      </c>
      <c r="J481" s="145"/>
      <c r="K481" s="22"/>
      <c r="L481" s="22"/>
      <c r="M481" s="21" t="s">
        <v>11</v>
      </c>
      <c r="N481" s="21" t="s">
        <v>17</v>
      </c>
      <c r="O481" s="145" t="s">
        <v>20</v>
      </c>
      <c r="P481" s="145"/>
      <c r="Q481" s="22" t="s">
        <v>17</v>
      </c>
      <c r="R481" s="144" t="s">
        <v>21</v>
      </c>
      <c r="S481" s="144"/>
      <c r="T481" s="21"/>
      <c r="U481" s="21"/>
      <c r="V481" s="21"/>
      <c r="W481" s="22"/>
      <c r="AD481" s="22"/>
      <c r="AE481" s="22"/>
      <c r="AF481" s="22"/>
      <c r="AK481" s="56"/>
      <c r="AL481" s="56"/>
      <c r="AM481" s="56"/>
      <c r="AN481" s="56"/>
      <c r="AO481" s="56"/>
      <c r="AP481" s="56"/>
      <c r="AQ481" s="56"/>
      <c r="AR481" s="10"/>
      <c r="AS481" s="82"/>
    </row>
    <row r="482" spans="1:45">
      <c r="A482" s="20"/>
      <c r="B482" s="21"/>
      <c r="C482" s="21"/>
      <c r="D482" s="4">
        <v>2</v>
      </c>
      <c r="E482" s="22" t="s">
        <v>17</v>
      </c>
      <c r="F482" s="144" t="s">
        <v>20</v>
      </c>
      <c r="G482" s="144"/>
      <c r="H482" s="21" t="s">
        <v>17</v>
      </c>
      <c r="I482" s="145" t="s">
        <v>22</v>
      </c>
      <c r="J482" s="145"/>
      <c r="K482" s="22"/>
      <c r="L482" s="22"/>
      <c r="M482" s="21" t="s">
        <v>10</v>
      </c>
      <c r="N482" s="21" t="s">
        <v>17</v>
      </c>
      <c r="O482" s="145" t="s">
        <v>23</v>
      </c>
      <c r="P482" s="145"/>
      <c r="Q482" s="22"/>
      <c r="R482" s="22"/>
      <c r="S482" s="21"/>
      <c r="T482" s="21"/>
      <c r="U482" s="21"/>
      <c r="V482" s="21"/>
      <c r="W482" s="22"/>
      <c r="X482" s="47"/>
      <c r="Y482" s="21"/>
      <c r="Z482" s="21"/>
      <c r="AA482" s="49"/>
      <c r="AB482" s="21"/>
      <c r="AC482" s="22"/>
      <c r="AD482" s="22"/>
      <c r="AE482" s="22"/>
      <c r="AF482" s="22"/>
      <c r="AI482">
        <f>COUNTIF($B482:$AF482,5)</f>
        <v>0</v>
      </c>
      <c r="AK482" s="56">
        <f>COUNTIF($B482:$AF482,3)</f>
        <v>0</v>
      </c>
      <c r="AL482" s="56">
        <f>COUNTIF($B482:$AF482,1)</f>
        <v>0</v>
      </c>
      <c r="AM482" s="56">
        <f>COUNTIF($B482:$AF482,2)</f>
        <v>1</v>
      </c>
      <c r="AN482" s="56">
        <f>COUNTIF($B482:$AF482,"DO")</f>
        <v>1</v>
      </c>
      <c r="AO482" s="56">
        <f>COUNTIF($B482:$AF482,"R")</f>
        <v>0</v>
      </c>
      <c r="AP482" s="56">
        <f>COUNTIF($B482:$AF482,4)</f>
        <v>0</v>
      </c>
      <c r="AQ482" s="56">
        <f>COUNTIF($B482:$AF482,5)</f>
        <v>0</v>
      </c>
      <c r="AR482" s="10">
        <f t="shared" ref="AR482" si="206">SUM(AK482:AQ482)</f>
        <v>2</v>
      </c>
      <c r="AS482" s="82">
        <f t="shared" ref="AS482" si="207">AQ482+AP482+AO482+AM482+AL482+AK482+((AH482+AI482)/2)</f>
        <v>1</v>
      </c>
    </row>
    <row r="483" spans="1:45">
      <c r="A483" s="20"/>
      <c r="B483" s="21"/>
      <c r="C483" s="21"/>
      <c r="D483" s="4">
        <v>3</v>
      </c>
      <c r="E483" s="22" t="s">
        <v>17</v>
      </c>
      <c r="F483" s="144" t="s">
        <v>22</v>
      </c>
      <c r="G483" s="144"/>
      <c r="H483" s="21" t="s">
        <v>17</v>
      </c>
      <c r="I483" s="145" t="s">
        <v>24</v>
      </c>
      <c r="J483" s="145"/>
      <c r="K483" s="22"/>
      <c r="L483" s="22"/>
      <c r="M483" s="7"/>
      <c r="N483" s="22"/>
      <c r="O483" s="23"/>
      <c r="P483" s="22"/>
      <c r="Q483" s="22"/>
      <c r="R483" s="22"/>
      <c r="S483" s="22"/>
      <c r="T483" s="21"/>
      <c r="U483" s="21"/>
      <c r="V483" s="21"/>
      <c r="W483" s="22"/>
      <c r="X483" s="48"/>
      <c r="Y483" s="21"/>
      <c r="Z483" s="21"/>
      <c r="AA483" s="49"/>
      <c r="AB483" s="21"/>
      <c r="AC483" s="22"/>
      <c r="AD483" s="22"/>
      <c r="AE483" s="22"/>
      <c r="AF483" s="22"/>
      <c r="AK483" s="56"/>
      <c r="AL483" s="56"/>
      <c r="AM483" s="56"/>
      <c r="AN483" s="56"/>
      <c r="AO483" s="56"/>
      <c r="AP483" s="56"/>
      <c r="AQ483" s="56"/>
      <c r="AR483" s="10"/>
      <c r="AS483" s="82"/>
    </row>
    <row r="484" spans="1:45">
      <c r="A484" s="20"/>
      <c r="B484" s="21"/>
      <c r="C484" s="21"/>
      <c r="K484" s="22"/>
      <c r="L484" s="22"/>
      <c r="M484" s="7"/>
      <c r="N484" s="22"/>
      <c r="O484" s="23"/>
      <c r="P484" s="22"/>
      <c r="Q484" s="22"/>
      <c r="R484" s="22"/>
      <c r="S484" s="22"/>
      <c r="T484" s="21"/>
      <c r="U484" s="21"/>
      <c r="V484" s="21"/>
      <c r="W484" s="22"/>
      <c r="X484" s="48"/>
      <c r="Y484" s="21"/>
      <c r="Z484" s="21"/>
      <c r="AA484" s="50"/>
      <c r="AB484" s="21"/>
      <c r="AC484" s="22"/>
      <c r="AD484" s="22"/>
      <c r="AE484" s="22"/>
      <c r="AF484" s="22"/>
      <c r="AI484">
        <f>COUNTIF($B484:$AF484,5)</f>
        <v>0</v>
      </c>
      <c r="AK484" s="56">
        <f>COUNTIF($B484:$AF484,3)</f>
        <v>0</v>
      </c>
      <c r="AL484" s="56">
        <f>COUNTIF($B484:$AF484,1)</f>
        <v>0</v>
      </c>
      <c r="AM484" s="56">
        <f>COUNTIF($B484:$AF484,2)</f>
        <v>0</v>
      </c>
      <c r="AN484" s="56">
        <f>COUNTIF($B484:$AF484,"DO")</f>
        <v>0</v>
      </c>
      <c r="AO484" s="56">
        <f>COUNTIF($B484:$AF484,"R")</f>
        <v>0</v>
      </c>
      <c r="AP484" s="56">
        <f>COUNTIF($B484:$AF484,4)</f>
        <v>0</v>
      </c>
      <c r="AQ484" s="56">
        <f>COUNTIF($B484:$AF484,5)</f>
        <v>0</v>
      </c>
      <c r="AR484" s="10">
        <f>SUM(AK484:AQ484)</f>
        <v>0</v>
      </c>
      <c r="AS484" s="82">
        <f t="shared" ref="AS484" si="208">AQ484+AP484+AO484+AM484+AL484+AK484+((AH484+AI484)/2)</f>
        <v>0</v>
      </c>
    </row>
    <row r="485" spans="1:45">
      <c r="A485" s="20"/>
      <c r="B485" s="21"/>
      <c r="C485" s="21"/>
      <c r="K485" s="22"/>
      <c r="L485" s="22"/>
      <c r="M485" s="7"/>
      <c r="N485" s="22"/>
      <c r="O485" s="23"/>
      <c r="P485" s="22"/>
      <c r="Q485" s="22"/>
      <c r="R485" s="22"/>
      <c r="S485" s="22"/>
      <c r="T485" s="21"/>
      <c r="U485" s="21"/>
      <c r="V485" s="21"/>
      <c r="W485" s="22"/>
      <c r="X485" s="47"/>
      <c r="Y485" s="21"/>
      <c r="Z485" s="21"/>
      <c r="AA485" s="49"/>
      <c r="AB485" s="21"/>
      <c r="AC485" s="22"/>
      <c r="AD485" s="22"/>
      <c r="AE485" s="22"/>
      <c r="AF485" s="22"/>
    </row>
    <row r="486" spans="1:45">
      <c r="A486" s="20"/>
      <c r="B486" s="21"/>
      <c r="C486" s="21"/>
      <c r="D486" s="21"/>
      <c r="E486" s="22"/>
      <c r="F486" s="22"/>
      <c r="G486" s="22"/>
      <c r="H486" s="21"/>
      <c r="I486" s="21"/>
      <c r="J486" s="21"/>
      <c r="K486" s="22"/>
      <c r="L486" s="22"/>
      <c r="M486" s="21"/>
      <c r="N486" s="21"/>
      <c r="O486" s="21"/>
      <c r="P486" s="21"/>
      <c r="Q486" s="22"/>
      <c r="R486" s="22"/>
      <c r="S486" s="21"/>
      <c r="T486" s="21"/>
      <c r="U486" s="21"/>
      <c r="V486" s="21"/>
      <c r="W486" s="22"/>
      <c r="X486" s="47"/>
      <c r="Y486" s="21"/>
      <c r="Z486" s="21"/>
      <c r="AA486" s="50"/>
      <c r="AB486" s="21"/>
      <c r="AC486" s="22"/>
      <c r="AD486" s="22"/>
      <c r="AE486" s="22"/>
      <c r="AF486" s="22"/>
    </row>
    <row r="487" spans="1:45">
      <c r="A487" s="20" t="s">
        <v>25</v>
      </c>
      <c r="B487" s="21"/>
      <c r="C487" s="21"/>
      <c r="D487" s="21"/>
      <c r="E487" s="22"/>
      <c r="F487" s="22"/>
      <c r="G487" s="22"/>
      <c r="H487" s="21"/>
      <c r="I487" s="20"/>
      <c r="J487" s="21"/>
      <c r="K487" s="21"/>
      <c r="L487" s="21" t="s">
        <v>26</v>
      </c>
      <c r="M487" s="22"/>
      <c r="N487" s="22"/>
      <c r="O487" s="22"/>
      <c r="P487" s="21"/>
      <c r="Q487" s="22"/>
      <c r="R487" s="22"/>
      <c r="S487" s="21"/>
      <c r="T487" s="24"/>
      <c r="U487" s="24"/>
      <c r="V487" s="24"/>
      <c r="W487" s="24"/>
      <c r="X487" s="24"/>
      <c r="Y487" s="21" t="s">
        <v>27</v>
      </c>
      <c r="Z487" s="21"/>
      <c r="AA487" s="21"/>
      <c r="AB487" s="21"/>
      <c r="AC487" s="22"/>
      <c r="AD487" s="22"/>
      <c r="AE487" s="22"/>
      <c r="AF487" s="22"/>
    </row>
    <row r="488" spans="1:45">
      <c r="L488" s="25"/>
      <c r="M488" s="25"/>
      <c r="N488" s="25"/>
      <c r="O488" s="25"/>
      <c r="P488" s="25"/>
      <c r="Q488" s="25"/>
      <c r="X488" s="25"/>
      <c r="Y488" s="25"/>
      <c r="Z488" s="25"/>
      <c r="AA488" s="25"/>
      <c r="AB488" s="25"/>
      <c r="AC488" s="25"/>
    </row>
    <row r="489" spans="1:45">
      <c r="B489" s="146" t="s">
        <v>70</v>
      </c>
      <c r="C489" s="146"/>
      <c r="D489" s="146"/>
      <c r="E489" s="146"/>
      <c r="F489" s="146"/>
      <c r="G489" s="146"/>
      <c r="H489" s="25"/>
      <c r="J489" s="25"/>
      <c r="N489" s="146" t="s">
        <v>28</v>
      </c>
      <c r="O489" s="146"/>
      <c r="P489" s="146"/>
      <c r="Q489" s="146"/>
      <c r="R489" s="146"/>
      <c r="S489" s="146"/>
      <c r="T489" s="146"/>
      <c r="U489" s="146"/>
      <c r="AA489" s="146" t="s">
        <v>35</v>
      </c>
      <c r="AB489" s="146"/>
      <c r="AC489" s="146"/>
      <c r="AD489" s="146"/>
      <c r="AE489" s="146"/>
      <c r="AF489" s="146"/>
    </row>
    <row r="490" spans="1:45">
      <c r="B490" s="147" t="s">
        <v>29</v>
      </c>
      <c r="C490" s="147"/>
      <c r="D490" s="147"/>
      <c r="E490" s="147"/>
      <c r="F490" s="147"/>
      <c r="G490" s="147"/>
      <c r="N490" s="147" t="s">
        <v>30</v>
      </c>
      <c r="O490" s="147"/>
      <c r="P490" s="147"/>
      <c r="Q490" s="147"/>
      <c r="R490" s="147"/>
      <c r="S490" s="147"/>
      <c r="T490" s="147"/>
      <c r="AA490" s="148" t="s">
        <v>47</v>
      </c>
      <c r="AB490" s="148"/>
      <c r="AC490" s="148"/>
      <c r="AD490" s="148"/>
      <c r="AE490" s="148"/>
      <c r="AF490" s="148"/>
    </row>
    <row r="492" spans="1:45" ht="18.75">
      <c r="A492" s="149" t="s">
        <v>94</v>
      </c>
      <c r="B492" s="149"/>
      <c r="C492" s="149"/>
      <c r="D492" s="149"/>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c r="AA492" s="149"/>
      <c r="AB492" s="149"/>
      <c r="AC492" s="149"/>
      <c r="AD492" s="149"/>
      <c r="AE492" s="149"/>
      <c r="AF492" s="149"/>
      <c r="AG492" s="149"/>
    </row>
    <row r="493" spans="1:45">
      <c r="A493" s="1" t="s">
        <v>1</v>
      </c>
      <c r="B493" s="2" t="s">
        <v>3</v>
      </c>
      <c r="C493" s="2" t="s">
        <v>4</v>
      </c>
      <c r="D493" s="84" t="s">
        <v>5</v>
      </c>
      <c r="E493" s="84" t="s">
        <v>6</v>
      </c>
      <c r="F493" s="2" t="s">
        <v>7</v>
      </c>
      <c r="G493" s="2" t="s">
        <v>8</v>
      </c>
      <c r="H493" s="2" t="s">
        <v>2</v>
      </c>
      <c r="I493" s="2" t="s">
        <v>3</v>
      </c>
      <c r="J493" s="2" t="s">
        <v>4</v>
      </c>
      <c r="K493" s="84" t="s">
        <v>5</v>
      </c>
      <c r="L493" s="84" t="s">
        <v>6</v>
      </c>
      <c r="M493" s="2" t="s">
        <v>7</v>
      </c>
      <c r="N493" s="2" t="s">
        <v>8</v>
      </c>
      <c r="O493" s="2" t="s">
        <v>2</v>
      </c>
      <c r="P493" s="2" t="s">
        <v>3</v>
      </c>
      <c r="Q493" s="2" t="s">
        <v>4</v>
      </c>
      <c r="R493" s="84" t="s">
        <v>5</v>
      </c>
      <c r="S493" s="84" t="s">
        <v>6</v>
      </c>
      <c r="T493" s="2" t="s">
        <v>7</v>
      </c>
      <c r="U493" s="2" t="s">
        <v>8</v>
      </c>
      <c r="V493" s="2" t="s">
        <v>2</v>
      </c>
      <c r="W493" s="2" t="s">
        <v>3</v>
      </c>
      <c r="X493" s="2" t="s">
        <v>4</v>
      </c>
      <c r="Y493" s="84" t="s">
        <v>5</v>
      </c>
      <c r="Z493" s="84" t="s">
        <v>6</v>
      </c>
      <c r="AA493" s="2" t="s">
        <v>7</v>
      </c>
      <c r="AB493" s="2" t="s">
        <v>8</v>
      </c>
      <c r="AC493" s="2" t="s">
        <v>2</v>
      </c>
      <c r="AD493" s="2" t="s">
        <v>3</v>
      </c>
      <c r="AE493" s="2" t="s">
        <v>4</v>
      </c>
      <c r="AF493" s="84" t="s">
        <v>5</v>
      </c>
      <c r="AG493" s="26"/>
    </row>
    <row r="494" spans="1:45">
      <c r="A494" s="3" t="s">
        <v>9</v>
      </c>
      <c r="B494" s="15">
        <v>1</v>
      </c>
      <c r="C494" s="4">
        <v>2</v>
      </c>
      <c r="D494" s="4">
        <v>3</v>
      </c>
      <c r="E494" s="8">
        <v>4</v>
      </c>
      <c r="F494" s="8">
        <v>5</v>
      </c>
      <c r="G494" s="4">
        <v>6</v>
      </c>
      <c r="H494" s="4">
        <v>7</v>
      </c>
      <c r="I494" s="4">
        <v>8</v>
      </c>
      <c r="J494" s="4">
        <v>9</v>
      </c>
      <c r="K494" s="4">
        <v>10</v>
      </c>
      <c r="L494" s="4">
        <v>11</v>
      </c>
      <c r="M494" s="4">
        <v>12</v>
      </c>
      <c r="N494" s="4">
        <v>13</v>
      </c>
      <c r="O494" s="4">
        <v>14</v>
      </c>
      <c r="P494" s="4">
        <v>15</v>
      </c>
      <c r="Q494" s="4">
        <v>16</v>
      </c>
      <c r="R494" s="4">
        <v>17</v>
      </c>
      <c r="S494" s="4">
        <v>18</v>
      </c>
      <c r="T494" s="4">
        <v>19</v>
      </c>
      <c r="U494" s="4">
        <v>20</v>
      </c>
      <c r="V494" s="4">
        <v>21</v>
      </c>
      <c r="W494" s="4">
        <v>22</v>
      </c>
      <c r="X494" s="4">
        <v>23</v>
      </c>
      <c r="Y494" s="4">
        <v>24</v>
      </c>
      <c r="Z494" s="4">
        <v>25</v>
      </c>
      <c r="AA494" s="4">
        <v>26</v>
      </c>
      <c r="AB494" s="4">
        <v>27</v>
      </c>
      <c r="AC494" s="4">
        <v>28</v>
      </c>
      <c r="AD494" s="4">
        <v>29</v>
      </c>
      <c r="AE494" s="4">
        <v>30</v>
      </c>
      <c r="AF494" s="4">
        <v>31</v>
      </c>
      <c r="AG494" s="27">
        <v>24</v>
      </c>
      <c r="AJ494" s="56"/>
      <c r="AK494" s="56">
        <v>3</v>
      </c>
      <c r="AL494" s="56">
        <v>1</v>
      </c>
      <c r="AM494" s="56">
        <v>2</v>
      </c>
      <c r="AN494" s="56" t="s">
        <v>10</v>
      </c>
      <c r="AO494" s="56" t="s">
        <v>11</v>
      </c>
      <c r="AP494" s="56">
        <v>4</v>
      </c>
      <c r="AQ494" s="56">
        <v>5</v>
      </c>
    </row>
    <row r="495" spans="1:45">
      <c r="A495" s="150" t="s">
        <v>12</v>
      </c>
      <c r="B495" s="30"/>
      <c r="C495" s="8"/>
      <c r="D495" s="8"/>
      <c r="E495" s="8"/>
      <c r="F495" s="8"/>
      <c r="G495" s="8"/>
      <c r="H495" s="8"/>
      <c r="I495" s="29"/>
      <c r="J495" s="29"/>
      <c r="K495" s="29"/>
      <c r="L495" s="29"/>
      <c r="M495" s="29"/>
      <c r="N495" s="29"/>
      <c r="O495" s="29"/>
      <c r="P495" s="8"/>
      <c r="Q495" s="8"/>
      <c r="R495" s="8"/>
      <c r="S495" s="8"/>
      <c r="T495" s="8"/>
      <c r="U495" s="8"/>
      <c r="V495" s="8"/>
      <c r="W495" s="8"/>
      <c r="X495" s="8"/>
      <c r="Y495" s="8"/>
      <c r="Z495" s="8"/>
      <c r="AA495" s="8"/>
      <c r="AB495" s="8"/>
      <c r="AC495" s="8"/>
      <c r="AD495" s="8"/>
      <c r="AE495" s="8"/>
      <c r="AF495" s="8"/>
      <c r="AG495" s="17">
        <f>AS495</f>
        <v>0</v>
      </c>
      <c r="AH495">
        <f>COUNTIF($B495:$AF495,4)</f>
        <v>0</v>
      </c>
      <c r="AI495">
        <f>COUNTIF($B495:$AF495,5)</f>
        <v>0</v>
      </c>
      <c r="AK495" s="56">
        <f>COUNTIF($B495:$AF495,3)</f>
        <v>0</v>
      </c>
      <c r="AL495" s="56">
        <f>COUNTIF($B495:$AF495,1)</f>
        <v>0</v>
      </c>
      <c r="AM495" s="56">
        <f>COUNTIF($B495:$AF495,2)</f>
        <v>0</v>
      </c>
      <c r="AN495" s="56">
        <f>COUNTIF($B495:$AF495,"DO")</f>
        <v>0</v>
      </c>
      <c r="AO495" s="56">
        <f>COUNTIF($B495:$AF495,"R")</f>
        <v>0</v>
      </c>
      <c r="AP495" s="56">
        <f>COUNTIF($B495:$AF495,4)</f>
        <v>0</v>
      </c>
      <c r="AQ495" s="56">
        <f>COUNTIF($B495:$AF495,5)</f>
        <v>0</v>
      </c>
      <c r="AR495" s="10">
        <f t="shared" ref="AR495" si="209">SUM(AK495:AQ495)</f>
        <v>0</v>
      </c>
      <c r="AS495" s="82">
        <f>AQ495+AP495+AO495+AM495+AL495+AK495+((AH495+AI495)/2)</f>
        <v>0</v>
      </c>
    </row>
    <row r="496" spans="1:45">
      <c r="A496" s="151"/>
      <c r="B496" s="11"/>
      <c r="C496" s="12"/>
      <c r="D496" s="12"/>
      <c r="E496" s="12"/>
      <c r="F496" s="11"/>
      <c r="G496" s="12"/>
      <c r="H496" s="12"/>
      <c r="I496" s="12"/>
      <c r="J496" s="152"/>
      <c r="K496" s="153"/>
      <c r="L496" s="153"/>
      <c r="M496" s="154"/>
      <c r="N496" s="11"/>
      <c r="O496" s="12"/>
      <c r="P496" s="12"/>
      <c r="Q496" s="12"/>
      <c r="R496" s="11"/>
      <c r="S496" s="12"/>
      <c r="T496" s="12"/>
      <c r="U496" s="12"/>
      <c r="V496" s="11"/>
      <c r="W496" s="12"/>
      <c r="X496" s="12"/>
      <c r="Y496" s="12"/>
      <c r="Z496" s="11"/>
      <c r="AA496" s="12"/>
      <c r="AB496" s="12"/>
      <c r="AC496" s="12"/>
      <c r="AD496" s="12"/>
      <c r="AE496" s="12"/>
      <c r="AF496" s="12"/>
      <c r="AG496" s="17"/>
      <c r="AK496" s="56"/>
      <c r="AL496" s="56"/>
      <c r="AM496" s="56"/>
      <c r="AN496" s="56"/>
      <c r="AO496" s="56"/>
      <c r="AP496" s="56"/>
      <c r="AQ496" s="56"/>
      <c r="AR496" s="10"/>
      <c r="AS496" s="82"/>
    </row>
    <row r="497" spans="1:45">
      <c r="A497" s="150" t="s">
        <v>31</v>
      </c>
      <c r="B497" s="30"/>
      <c r="C497" s="29"/>
      <c r="D497" s="29"/>
      <c r="E497" s="8"/>
      <c r="F497" s="9"/>
      <c r="G497" s="8"/>
      <c r="H497" s="29"/>
      <c r="I497" s="41"/>
      <c r="J497" s="30"/>
      <c r="K497" s="29"/>
      <c r="L497" s="30"/>
      <c r="M497" s="41"/>
      <c r="N497" s="9"/>
      <c r="O497" s="8"/>
      <c r="P497" s="30"/>
      <c r="Q497" s="29"/>
      <c r="R497" s="30"/>
      <c r="S497" s="29"/>
      <c r="T497" s="30"/>
      <c r="U497" s="29"/>
      <c r="V497" s="9"/>
      <c r="W497" s="8"/>
      <c r="X497" s="9"/>
      <c r="Y497" s="8"/>
      <c r="Z497" s="9"/>
      <c r="AA497" s="8"/>
      <c r="AB497" s="9"/>
      <c r="AC497" s="8"/>
      <c r="AD497" s="9"/>
      <c r="AE497" s="8"/>
      <c r="AF497" s="29"/>
      <c r="AG497" s="17">
        <f>AS497</f>
        <v>0</v>
      </c>
      <c r="AH497">
        <f>COUNTIF($B497:$AF497,4)</f>
        <v>0</v>
      </c>
      <c r="AI497">
        <f>COUNTIF($B497:$AF497,5)</f>
        <v>0</v>
      </c>
      <c r="AK497" s="56">
        <f>COUNTIF($B497:$AF497,3)</f>
        <v>0</v>
      </c>
      <c r="AL497" s="56">
        <f>COUNTIF($B497:$AF497,1)</f>
        <v>0</v>
      </c>
      <c r="AM497" s="56">
        <f>COUNTIF($B497:$AF497,2)</f>
        <v>0</v>
      </c>
      <c r="AN497" s="56">
        <f>COUNTIF($B497:$AF497,"DO")</f>
        <v>0</v>
      </c>
      <c r="AO497" s="56">
        <f>COUNTIF($B497:$AF497,"R")</f>
        <v>0</v>
      </c>
      <c r="AP497" s="56">
        <f>COUNTIF($B497:$AF497,4)</f>
        <v>0</v>
      </c>
      <c r="AQ497" s="56">
        <f>COUNTIF($B497:$AF497,5)</f>
        <v>0</v>
      </c>
      <c r="AR497" s="10">
        <f t="shared" ref="AR497" si="210">SUM(AK497:AQ497)</f>
        <v>0</v>
      </c>
      <c r="AS497" s="82">
        <f t="shared" ref="AS497" si="211">AQ497+AP497+AO497+AM497+AL497+AK497+((AH497+AI497)/2)</f>
        <v>0</v>
      </c>
    </row>
    <row r="498" spans="1:45">
      <c r="A498" s="151"/>
      <c r="B498" s="32"/>
      <c r="C498" s="33"/>
      <c r="D498" s="33"/>
      <c r="E498" s="12"/>
      <c r="F498" s="12"/>
      <c r="G498" s="12"/>
      <c r="H498" s="28"/>
      <c r="I498" s="12"/>
      <c r="J498" s="28"/>
      <c r="K498" s="12"/>
      <c r="L498" s="12"/>
      <c r="M498" s="12"/>
      <c r="N498" s="4"/>
      <c r="O498" s="12"/>
      <c r="P498" s="12"/>
      <c r="Q498" s="12"/>
      <c r="R498" s="12"/>
      <c r="S498" s="12"/>
      <c r="T498" s="4"/>
      <c r="U498" s="12"/>
      <c r="V498" s="12"/>
      <c r="W498" s="12"/>
      <c r="X498" s="12"/>
      <c r="Y498" s="12"/>
      <c r="Z498" s="4"/>
      <c r="AA498" s="12"/>
      <c r="AB498" s="12"/>
      <c r="AC498" s="12"/>
      <c r="AD498" s="34"/>
      <c r="AE498" s="12"/>
      <c r="AF498" s="12"/>
      <c r="AG498" s="17"/>
      <c r="AK498" s="56"/>
      <c r="AL498" s="56"/>
      <c r="AM498" s="56"/>
      <c r="AN498" s="56"/>
      <c r="AO498" s="56"/>
      <c r="AP498" s="56"/>
      <c r="AQ498" s="56"/>
      <c r="AR498" s="10"/>
      <c r="AS498" s="82"/>
    </row>
    <row r="499" spans="1:45">
      <c r="A499" s="150" t="s">
        <v>16</v>
      </c>
      <c r="B499" s="29"/>
      <c r="C499" s="41"/>
      <c r="D499" s="41"/>
      <c r="E499" s="41"/>
      <c r="F499" s="41"/>
      <c r="G499" s="41"/>
      <c r="H499" s="8"/>
      <c r="I499" s="29"/>
      <c r="J499" s="41"/>
      <c r="K499" s="8"/>
      <c r="L499" s="9"/>
      <c r="M499" s="29"/>
      <c r="N499" s="29"/>
      <c r="O499" s="29"/>
      <c r="P499" s="41"/>
      <c r="Q499" s="29"/>
      <c r="R499" s="30"/>
      <c r="S499" s="8"/>
      <c r="T499" s="29"/>
      <c r="U499" s="29"/>
      <c r="V499" s="8"/>
      <c r="W499" s="8"/>
      <c r="X499" s="30"/>
      <c r="Y499" s="29"/>
      <c r="Z499" s="29"/>
      <c r="AA499" s="29"/>
      <c r="AB499" s="29"/>
      <c r="AC499" s="29"/>
      <c r="AD499" s="30"/>
      <c r="AE499" s="29"/>
      <c r="AF499" s="30"/>
      <c r="AG499" s="17">
        <f>AS499</f>
        <v>0</v>
      </c>
      <c r="AH499">
        <f>COUNTIF($B499:$AF499,4)</f>
        <v>0</v>
      </c>
      <c r="AI499">
        <f>COUNTIF($B499:$AF499,5)</f>
        <v>0</v>
      </c>
      <c r="AK499" s="56">
        <f>COUNTIF($B499:$AF499,3)</f>
        <v>0</v>
      </c>
      <c r="AL499" s="56">
        <f>COUNTIF($B499:$AF499,1)</f>
        <v>0</v>
      </c>
      <c r="AM499" s="56">
        <f>COUNTIF($B499:$AF499,2)</f>
        <v>0</v>
      </c>
      <c r="AN499" s="56">
        <f>COUNTIF($B499:$AF499,"DO")</f>
        <v>0</v>
      </c>
      <c r="AO499" s="56">
        <f>COUNTIF($B499:$AF499,"R")</f>
        <v>0</v>
      </c>
      <c r="AP499" s="56">
        <f>COUNTIF($B499:$AF499,4)</f>
        <v>0</v>
      </c>
      <c r="AQ499" s="56">
        <f>COUNTIF($B499:$AF499,5)</f>
        <v>0</v>
      </c>
      <c r="AR499" s="10">
        <f t="shared" ref="AR499" si="212">SUM(AK499:AQ499)</f>
        <v>0</v>
      </c>
      <c r="AS499" s="82">
        <f t="shared" ref="AS499" si="213">AQ499+AP499+AO499+AM499+AL499+AK499+((AH499+AI499)/2)</f>
        <v>0</v>
      </c>
    </row>
    <row r="500" spans="1:45">
      <c r="A500" s="151"/>
      <c r="B500" s="4"/>
      <c r="C500" s="35"/>
      <c r="D500" s="12"/>
      <c r="E500" s="12"/>
      <c r="F500" s="12"/>
      <c r="G500" s="12"/>
      <c r="H500" s="12"/>
      <c r="I500" s="12"/>
      <c r="J500" s="12"/>
      <c r="K500" s="12"/>
      <c r="L500" s="12"/>
      <c r="M500" s="12"/>
      <c r="N500" s="12"/>
      <c r="O500" s="12"/>
      <c r="P500" s="12"/>
      <c r="Q500" s="12"/>
      <c r="R500" s="12"/>
      <c r="S500" s="12"/>
      <c r="T500" s="12"/>
      <c r="U500" s="12"/>
      <c r="V500" s="12"/>
      <c r="W500" s="12"/>
      <c r="X500" s="33"/>
      <c r="Y500" s="33"/>
      <c r="Z500" s="33"/>
      <c r="AA500" s="33"/>
      <c r="AB500" s="33"/>
      <c r="AC500" s="33"/>
      <c r="AD500" s="42"/>
      <c r="AE500" s="33"/>
      <c r="AF500" s="43"/>
      <c r="AG500" s="17"/>
      <c r="AJ500" s="56"/>
      <c r="AK500" s="56"/>
      <c r="AL500" s="56"/>
      <c r="AM500" s="56"/>
      <c r="AN500" s="56"/>
      <c r="AO500" s="56"/>
      <c r="AP500" s="56"/>
      <c r="AQ500" s="56"/>
      <c r="AR500" s="10"/>
      <c r="AS500" s="10"/>
    </row>
    <row r="501" spans="1:45">
      <c r="A501" s="150" t="s">
        <v>13</v>
      </c>
      <c r="B501" s="29"/>
      <c r="C501" s="41"/>
      <c r="D501" s="41"/>
      <c r="E501" s="41"/>
      <c r="F501" s="41"/>
      <c r="G501" s="41"/>
      <c r="H501" s="8"/>
      <c r="I501" s="29"/>
      <c r="J501" s="29"/>
      <c r="K501" s="8"/>
      <c r="L501" s="9"/>
      <c r="M501" s="29"/>
      <c r="N501" s="29"/>
      <c r="O501" s="29"/>
      <c r="P501" s="29"/>
      <c r="Q501" s="8"/>
      <c r="R501" s="9"/>
      <c r="S501" s="8"/>
      <c r="T501" s="8"/>
      <c r="U501" s="29"/>
      <c r="V501" s="29"/>
      <c r="W501" s="29"/>
      <c r="X501" s="30"/>
      <c r="Y501" s="29"/>
      <c r="Z501" s="29"/>
      <c r="AA501" s="29"/>
      <c r="AB501" s="29"/>
      <c r="AC501" s="29"/>
      <c r="AD501" s="30"/>
      <c r="AE501" s="41"/>
      <c r="AF501" s="30"/>
      <c r="AG501" s="17">
        <f>AS501</f>
        <v>0</v>
      </c>
      <c r="AH501">
        <v>4</v>
      </c>
      <c r="AJ501" s="56"/>
      <c r="AK501" s="56">
        <f>COUNTIF($B501:$AF501,3)</f>
        <v>0</v>
      </c>
      <c r="AL501" s="56">
        <f>COUNTIF($B501:$AF501,1)</f>
        <v>0</v>
      </c>
      <c r="AM501" s="56">
        <f>COUNTIF($B501:$AF501,2)</f>
        <v>0</v>
      </c>
      <c r="AN501" s="56">
        <f>COUNTIF($B501:$AF501,"DO")</f>
        <v>0</v>
      </c>
      <c r="AO501" s="56">
        <f>COUNTIF($B501:$AF501,"R")</f>
        <v>0</v>
      </c>
      <c r="AP501" s="56">
        <f>COUNTIF($B501:$AF501,4)</f>
        <v>0</v>
      </c>
      <c r="AQ501" s="56">
        <f>COUNTIF($B501:$AF501,5)</f>
        <v>0</v>
      </c>
      <c r="AR501" s="10">
        <f>SUM(AK501:AO501)</f>
        <v>0</v>
      </c>
      <c r="AS501" s="10">
        <f>AQ501+AP501+AO501+AM501+AL501+AK501</f>
        <v>0</v>
      </c>
    </row>
    <row r="502" spans="1:45">
      <c r="A502" s="151"/>
      <c r="B502" s="4"/>
      <c r="C502" s="12"/>
      <c r="D502" s="12"/>
      <c r="E502" s="12"/>
      <c r="F502" s="12"/>
      <c r="G502" s="4"/>
      <c r="H502" s="12"/>
      <c r="I502" s="12"/>
      <c r="J502" s="12"/>
      <c r="K502" s="12"/>
      <c r="L502" s="12"/>
      <c r="M502" s="4"/>
      <c r="N502" s="12"/>
      <c r="O502" s="12"/>
      <c r="P502" s="12"/>
      <c r="Q502" s="12"/>
      <c r="R502" s="12"/>
      <c r="S502" s="4"/>
      <c r="T502" s="12"/>
      <c r="U502" s="94"/>
      <c r="V502" s="94"/>
      <c r="W502" s="94"/>
      <c r="X502" s="12"/>
      <c r="Y502" s="4"/>
      <c r="Z502" s="12"/>
      <c r="AA502" s="12"/>
      <c r="AB502" s="12"/>
      <c r="AC502" s="14"/>
      <c r="AD502" s="12"/>
      <c r="AE502" s="34"/>
      <c r="AF502" s="12"/>
      <c r="AG502" s="17"/>
      <c r="AJ502" s="56"/>
      <c r="AK502" s="56"/>
      <c r="AL502" s="56"/>
      <c r="AM502" s="56"/>
      <c r="AN502" s="56"/>
      <c r="AO502" s="56"/>
      <c r="AP502" s="56"/>
      <c r="AQ502" s="56"/>
      <c r="AR502" s="10"/>
      <c r="AS502" s="10"/>
    </row>
    <row r="503" spans="1:45">
      <c r="A503" s="150" t="s">
        <v>14</v>
      </c>
      <c r="B503" s="29"/>
      <c r="C503" s="29"/>
      <c r="D503" s="29"/>
      <c r="E503" s="29"/>
      <c r="F503" s="41"/>
      <c r="G503" s="29"/>
      <c r="H503" s="41"/>
      <c r="I503" s="30"/>
      <c r="J503" s="29"/>
      <c r="K503" s="30"/>
      <c r="L503" s="29"/>
      <c r="M503" s="30"/>
      <c r="N503" s="30"/>
      <c r="O503" s="30"/>
      <c r="P503" s="30"/>
      <c r="Q503" s="29"/>
      <c r="R503" s="30"/>
      <c r="S503" s="29"/>
      <c r="T503" s="30"/>
      <c r="U503" s="29"/>
      <c r="V503" s="30"/>
      <c r="W503" s="29"/>
      <c r="X503" s="9"/>
      <c r="Y503" s="29"/>
      <c r="Z503" s="30"/>
      <c r="AA503" s="29"/>
      <c r="AB503" s="30"/>
      <c r="AC503" s="29"/>
      <c r="AD503" s="30"/>
      <c r="AE503" s="29"/>
      <c r="AF503" s="41"/>
      <c r="AG503" s="17">
        <f>AS503</f>
        <v>0</v>
      </c>
      <c r="AH503">
        <f>COUNTIF($B503:$AF503,4)</f>
        <v>0</v>
      </c>
      <c r="AI503">
        <f>COUNTIF($B503:$AF503,5)</f>
        <v>0</v>
      </c>
      <c r="AK503" s="56">
        <f>COUNTIF($B503:$AF503,3)</f>
        <v>0</v>
      </c>
      <c r="AL503" s="56">
        <f>COUNTIF($B503:$AF503,1)</f>
        <v>0</v>
      </c>
      <c r="AM503" s="56">
        <f>COUNTIF($B503:$AF503,2)</f>
        <v>0</v>
      </c>
      <c r="AN503" s="56">
        <f>COUNTIF($B503:$AF503,"DO")</f>
        <v>0</v>
      </c>
      <c r="AO503" s="56">
        <f>COUNTIF($B503:$AF503,"R")</f>
        <v>0</v>
      </c>
      <c r="AP503" s="56">
        <f>COUNTIF($B503:$AF503,4)</f>
        <v>0</v>
      </c>
      <c r="AQ503" s="56">
        <f>COUNTIF($B503:$AF503,5)</f>
        <v>0</v>
      </c>
      <c r="AR503" s="10">
        <f t="shared" ref="AR503" si="214">SUM(AK503:AQ503)</f>
        <v>0</v>
      </c>
      <c r="AS503" s="82">
        <f>AQ503+AP503+AO503+AM503+AL503+AK503+((AH503+AI503)/2)</f>
        <v>0</v>
      </c>
    </row>
    <row r="504" spans="1:45">
      <c r="A504" s="151"/>
      <c r="B504" s="4"/>
      <c r="C504" s="4"/>
      <c r="D504" s="4"/>
      <c r="E504" s="12"/>
      <c r="F504" s="12"/>
      <c r="G504" s="4"/>
      <c r="H504" s="33"/>
      <c r="I504" s="29"/>
      <c r="J504" s="12"/>
      <c r="K504" s="19"/>
      <c r="L504" s="12"/>
      <c r="M504" s="4"/>
      <c r="N504" s="12"/>
      <c r="O504" s="4"/>
      <c r="P504" s="12"/>
      <c r="Q504" s="12"/>
      <c r="R504" s="12"/>
      <c r="S504" s="4"/>
      <c r="T504" s="12"/>
      <c r="U504" s="4"/>
      <c r="V504" s="12"/>
      <c r="W504" s="12"/>
      <c r="X504" s="12"/>
      <c r="Y504" s="4"/>
      <c r="Z504" s="12"/>
      <c r="AA504" s="4"/>
      <c r="AB504" s="12"/>
      <c r="AC504" s="12"/>
      <c r="AD504" s="12"/>
      <c r="AE504" s="12"/>
      <c r="AF504" s="12"/>
      <c r="AG504" s="17"/>
      <c r="AK504" s="56"/>
      <c r="AL504" s="56"/>
      <c r="AM504" s="56"/>
      <c r="AN504" s="56"/>
      <c r="AO504" s="56"/>
      <c r="AP504" s="56"/>
      <c r="AQ504" s="56"/>
      <c r="AR504" s="10"/>
      <c r="AS504" s="82"/>
    </row>
    <row r="505" spans="1:45">
      <c r="A505" s="150" t="s">
        <v>15</v>
      </c>
      <c r="B505" s="29" t="s">
        <v>10</v>
      </c>
      <c r="C505" s="29">
        <v>3</v>
      </c>
      <c r="D505" s="29">
        <v>1</v>
      </c>
      <c r="E505" s="29"/>
      <c r="F505" s="30"/>
      <c r="G505" s="29"/>
      <c r="H505" s="30"/>
      <c r="I505" s="29"/>
      <c r="J505" s="30"/>
      <c r="K505" s="29"/>
      <c r="L505" s="9"/>
      <c r="M505" s="29"/>
      <c r="N505" s="30"/>
      <c r="O505" s="29"/>
      <c r="P505" s="29"/>
      <c r="Q505" s="29"/>
      <c r="R505" s="29"/>
      <c r="S505" s="29"/>
      <c r="T505" s="29"/>
      <c r="U505" s="29"/>
      <c r="V505" s="29"/>
      <c r="W505" s="41"/>
      <c r="X505" s="30"/>
      <c r="Y505" s="8"/>
      <c r="Z505" s="9"/>
      <c r="AA505" s="8"/>
      <c r="AB505" s="9"/>
      <c r="AC505" s="8"/>
      <c r="AD505" s="9"/>
      <c r="AE505" s="29"/>
      <c r="AF505" s="9"/>
      <c r="AG505" s="17">
        <f>AS505</f>
        <v>2</v>
      </c>
      <c r="AH505">
        <f>COUNTIF($B505:$AF505,4)</f>
        <v>0</v>
      </c>
      <c r="AI505">
        <f>COUNTIF($B505:$AF505,5)</f>
        <v>0</v>
      </c>
      <c r="AK505" s="56">
        <f>COUNTIF($B505:$AF505,3)</f>
        <v>1</v>
      </c>
      <c r="AL505" s="56">
        <f>COUNTIF($B505:$AF505,1)</f>
        <v>1</v>
      </c>
      <c r="AM505" s="56">
        <f>COUNTIF($B505:$AF505,2)</f>
        <v>0</v>
      </c>
      <c r="AN505" s="56">
        <f>COUNTIF($B505:$AF505,"DO")</f>
        <v>1</v>
      </c>
      <c r="AO505" s="56">
        <f>COUNTIF($B505:$AF505,"R")</f>
        <v>0</v>
      </c>
      <c r="AP505" s="56">
        <f>COUNTIF($B505:$AF505,4)</f>
        <v>0</v>
      </c>
      <c r="AQ505" s="56">
        <f>COUNTIF($B505:$AF505,5)</f>
        <v>0</v>
      </c>
      <c r="AR505" s="10">
        <f t="shared" ref="AR505" si="215">SUM(AK505:AQ505)</f>
        <v>3</v>
      </c>
      <c r="AS505" s="82">
        <f t="shared" ref="AS505" si="216">AQ505+AP505+AO505+AM505+AL505+AK505+((AH505+AI505)/2)</f>
        <v>2</v>
      </c>
    </row>
    <row r="506" spans="1:45">
      <c r="A506" s="151"/>
      <c r="B506" s="28"/>
      <c r="C506" s="4"/>
      <c r="D506" s="4"/>
      <c r="E506" s="12"/>
      <c r="F506" s="12"/>
      <c r="G506" s="4"/>
      <c r="H506" s="12"/>
      <c r="I506" s="18"/>
      <c r="J506" s="12"/>
      <c r="K506" s="19"/>
      <c r="L506" s="12"/>
      <c r="M506" s="4"/>
      <c r="N506" s="12"/>
      <c r="O506" s="4"/>
      <c r="P506" s="12"/>
      <c r="Q506" s="12"/>
      <c r="R506" s="12"/>
      <c r="S506" s="4"/>
      <c r="T506" s="12"/>
      <c r="U506" s="4"/>
      <c r="V506" s="12"/>
      <c r="W506" s="12"/>
      <c r="X506" s="12"/>
      <c r="Y506" s="4"/>
      <c r="Z506" s="12"/>
      <c r="AA506" s="4"/>
      <c r="AB506" s="12"/>
      <c r="AC506" s="12"/>
      <c r="AD506" s="12"/>
      <c r="AE506" s="12"/>
      <c r="AF506" s="12"/>
      <c r="AG506" s="71"/>
      <c r="AK506" s="56"/>
      <c r="AL506" s="56"/>
      <c r="AM506" s="56"/>
      <c r="AN506" s="56"/>
      <c r="AO506" s="56"/>
      <c r="AP506" s="56"/>
      <c r="AQ506" s="56"/>
      <c r="AR506" s="10"/>
      <c r="AS506" s="82"/>
    </row>
    <row r="507" spans="1:45">
      <c r="A507" s="31"/>
      <c r="B507" s="21"/>
      <c r="C507" s="21"/>
      <c r="D507" s="21"/>
      <c r="E507" s="22"/>
      <c r="F507" s="22"/>
      <c r="G507" s="21"/>
      <c r="H507" s="21"/>
      <c r="L507" s="22"/>
      <c r="M507" s="21"/>
      <c r="N507" s="21"/>
      <c r="O507" s="21"/>
      <c r="P507" s="21"/>
      <c r="Q507" s="22"/>
      <c r="R507" s="22"/>
      <c r="S507" s="21"/>
      <c r="T507" s="21"/>
      <c r="U507" s="21"/>
      <c r="V507" s="21"/>
      <c r="W507" s="22"/>
      <c r="X507" s="22"/>
      <c r="Y507" s="21"/>
      <c r="Z507" s="21"/>
      <c r="AA507" s="21"/>
      <c r="AB507" s="21"/>
      <c r="AC507" s="22"/>
      <c r="AI507">
        <f>COUNTIF($B507:$AF507,5)</f>
        <v>0</v>
      </c>
      <c r="AK507" s="56">
        <f>COUNTIF($B507:$AF507,3)</f>
        <v>0</v>
      </c>
      <c r="AL507" s="56">
        <f>COUNTIF($B507:$AF507,1)</f>
        <v>0</v>
      </c>
      <c r="AM507" s="56">
        <f>COUNTIF($B507:$AF507,2)</f>
        <v>0</v>
      </c>
      <c r="AN507" s="56">
        <f>COUNTIF($B507:$AF507,"DO")</f>
        <v>0</v>
      </c>
      <c r="AO507" s="56">
        <f>COUNTIF($B507:$AF507,"R")</f>
        <v>0</v>
      </c>
      <c r="AP507" s="56">
        <f>COUNTIF($B507:$AF507,4)</f>
        <v>0</v>
      </c>
      <c r="AQ507" s="56">
        <f>COUNTIF($B507:$AF507,5)</f>
        <v>0</v>
      </c>
      <c r="AR507" s="10">
        <f t="shared" ref="AR507" si="217">SUM(AK507:AQ507)</f>
        <v>0</v>
      </c>
      <c r="AS507" s="82">
        <f t="shared" ref="AS507" si="218">AQ507+AP507+AO507+AM507+AL507+AK507+((AH507+AI507)/2)</f>
        <v>0</v>
      </c>
    </row>
    <row r="508" spans="1:45">
      <c r="A508" s="20" t="s">
        <v>18</v>
      </c>
      <c r="B508" s="21"/>
      <c r="C508" s="21"/>
      <c r="D508" s="4">
        <v>1</v>
      </c>
      <c r="E508" s="22" t="s">
        <v>17</v>
      </c>
      <c r="F508" s="144" t="s">
        <v>19</v>
      </c>
      <c r="G508" s="144"/>
      <c r="H508" s="21" t="s">
        <v>17</v>
      </c>
      <c r="I508" s="145" t="s">
        <v>20</v>
      </c>
      <c r="J508" s="145"/>
      <c r="K508" s="22"/>
      <c r="L508" s="22"/>
      <c r="M508" s="21" t="s">
        <v>11</v>
      </c>
      <c r="N508" s="21" t="s">
        <v>17</v>
      </c>
      <c r="O508" s="145" t="s">
        <v>20</v>
      </c>
      <c r="P508" s="145"/>
      <c r="Q508" s="22" t="s">
        <v>17</v>
      </c>
      <c r="R508" s="144" t="s">
        <v>21</v>
      </c>
      <c r="S508" s="144"/>
      <c r="T508" s="21"/>
      <c r="U508" s="21"/>
      <c r="V508" s="21"/>
      <c r="W508" s="22"/>
      <c r="AD508" s="22"/>
      <c r="AE508" s="22"/>
      <c r="AF508" s="22"/>
      <c r="AK508" s="56"/>
      <c r="AL508" s="56"/>
      <c r="AM508" s="56"/>
      <c r="AN508" s="56"/>
      <c r="AO508" s="56"/>
      <c r="AP508" s="56"/>
      <c r="AQ508" s="56"/>
      <c r="AR508" s="10"/>
      <c r="AS508" s="82"/>
    </row>
    <row r="509" spans="1:45">
      <c r="A509" s="20"/>
      <c r="B509" s="21"/>
      <c r="C509" s="21"/>
      <c r="D509" s="4">
        <v>2</v>
      </c>
      <c r="E509" s="22" t="s">
        <v>17</v>
      </c>
      <c r="F509" s="144" t="s">
        <v>20</v>
      </c>
      <c r="G509" s="144"/>
      <c r="H509" s="21" t="s">
        <v>17</v>
      </c>
      <c r="I509" s="145" t="s">
        <v>22</v>
      </c>
      <c r="J509" s="145"/>
      <c r="K509" s="22"/>
      <c r="L509" s="22"/>
      <c r="M509" s="21" t="s">
        <v>10</v>
      </c>
      <c r="N509" s="21" t="s">
        <v>17</v>
      </c>
      <c r="O509" s="145" t="s">
        <v>23</v>
      </c>
      <c r="P509" s="145"/>
      <c r="Q509" s="22"/>
      <c r="R509" s="22"/>
      <c r="S509" s="21"/>
      <c r="T509" s="21"/>
      <c r="U509" s="21"/>
      <c r="V509" s="21"/>
      <c r="W509" s="22"/>
      <c r="X509" s="47"/>
      <c r="Y509" s="21"/>
      <c r="Z509" s="21"/>
      <c r="AA509" s="49"/>
      <c r="AB509" s="21"/>
      <c r="AC509" s="22"/>
      <c r="AD509" s="22"/>
      <c r="AE509" s="22"/>
      <c r="AF509" s="22"/>
      <c r="AI509">
        <f>COUNTIF($B509:$AF509,5)</f>
        <v>0</v>
      </c>
      <c r="AK509" s="56">
        <f>COUNTIF($B509:$AF509,3)</f>
        <v>0</v>
      </c>
      <c r="AL509" s="56">
        <f>COUNTIF($B509:$AF509,1)</f>
        <v>0</v>
      </c>
      <c r="AM509" s="56">
        <f>COUNTIF($B509:$AF509,2)</f>
        <v>1</v>
      </c>
      <c r="AN509" s="56">
        <f>COUNTIF($B509:$AF509,"DO")</f>
        <v>1</v>
      </c>
      <c r="AO509" s="56">
        <f>COUNTIF($B509:$AF509,"R")</f>
        <v>0</v>
      </c>
      <c r="AP509" s="56">
        <f>COUNTIF($B509:$AF509,4)</f>
        <v>0</v>
      </c>
      <c r="AQ509" s="56">
        <f>COUNTIF($B509:$AF509,5)</f>
        <v>0</v>
      </c>
      <c r="AR509" s="10">
        <f t="shared" ref="AR509" si="219">SUM(AK509:AQ509)</f>
        <v>2</v>
      </c>
      <c r="AS509" s="82">
        <f t="shared" ref="AS509" si="220">AQ509+AP509+AO509+AM509+AL509+AK509+((AH509+AI509)/2)</f>
        <v>1</v>
      </c>
    </row>
    <row r="510" spans="1:45">
      <c r="A510" s="20"/>
      <c r="B510" s="21"/>
      <c r="C510" s="21"/>
      <c r="D510" s="4">
        <v>3</v>
      </c>
      <c r="E510" s="22" t="s">
        <v>17</v>
      </c>
      <c r="F510" s="144" t="s">
        <v>22</v>
      </c>
      <c r="G510" s="144"/>
      <c r="H510" s="21" t="s">
        <v>17</v>
      </c>
      <c r="I510" s="145" t="s">
        <v>24</v>
      </c>
      <c r="J510" s="145"/>
      <c r="K510" s="22"/>
      <c r="L510" s="22"/>
      <c r="M510" s="7"/>
      <c r="N510" s="22"/>
      <c r="O510" s="23"/>
      <c r="P510" s="22"/>
      <c r="Q510" s="22"/>
      <c r="R510" s="22"/>
      <c r="S510" s="22"/>
      <c r="T510" s="21"/>
      <c r="U510" s="21"/>
      <c r="V510" s="21"/>
      <c r="W510" s="22"/>
      <c r="X510" s="48"/>
      <c r="Y510" s="21"/>
      <c r="Z510" s="21"/>
      <c r="AA510" s="49"/>
      <c r="AB510" s="21"/>
      <c r="AC510" s="22"/>
      <c r="AD510" s="22"/>
      <c r="AE510" s="22"/>
      <c r="AF510" s="22"/>
      <c r="AK510" s="56"/>
      <c r="AL510" s="56"/>
      <c r="AM510" s="56"/>
      <c r="AN510" s="56"/>
      <c r="AO510" s="56"/>
      <c r="AP510" s="56"/>
      <c r="AQ510" s="56"/>
      <c r="AR510" s="10"/>
      <c r="AS510" s="82"/>
    </row>
    <row r="511" spans="1:45">
      <c r="A511" s="20"/>
      <c r="B511" s="21"/>
      <c r="C511" s="21"/>
      <c r="K511" s="22"/>
      <c r="L511" s="22"/>
      <c r="M511" s="7"/>
      <c r="N511" s="22"/>
      <c r="O511" s="23"/>
      <c r="P511" s="22"/>
      <c r="Q511" s="22"/>
      <c r="R511" s="22"/>
      <c r="S511" s="22"/>
      <c r="T511" s="21"/>
      <c r="U511" s="21"/>
      <c r="V511" s="21"/>
      <c r="W511" s="22"/>
      <c r="X511" s="48"/>
      <c r="Y511" s="21"/>
      <c r="Z511" s="21"/>
      <c r="AA511" s="50"/>
      <c r="AB511" s="21"/>
      <c r="AC511" s="22"/>
      <c r="AD511" s="22"/>
      <c r="AE511" s="22"/>
      <c r="AF511" s="22"/>
      <c r="AI511">
        <f>COUNTIF($B511:$AF511,5)</f>
        <v>0</v>
      </c>
      <c r="AK511" s="56">
        <f>COUNTIF($B511:$AF511,3)</f>
        <v>0</v>
      </c>
      <c r="AL511" s="56">
        <f>COUNTIF($B511:$AF511,1)</f>
        <v>0</v>
      </c>
      <c r="AM511" s="56">
        <f>COUNTIF($B511:$AF511,2)</f>
        <v>0</v>
      </c>
      <c r="AN511" s="56">
        <f>COUNTIF($B511:$AF511,"DO")</f>
        <v>0</v>
      </c>
      <c r="AO511" s="56">
        <f>COUNTIF($B511:$AF511,"R")</f>
        <v>0</v>
      </c>
      <c r="AP511" s="56">
        <f>COUNTIF($B511:$AF511,4)</f>
        <v>0</v>
      </c>
      <c r="AQ511" s="56">
        <f>COUNTIF($B511:$AF511,5)</f>
        <v>0</v>
      </c>
      <c r="AR511" s="10">
        <f>SUM(AK511:AQ511)</f>
        <v>0</v>
      </c>
      <c r="AS511" s="82">
        <f t="shared" ref="AS511" si="221">AQ511+AP511+AO511+AM511+AL511+AK511+((AH511+AI511)/2)</f>
        <v>0</v>
      </c>
    </row>
    <row r="512" spans="1:45">
      <c r="A512" s="20"/>
      <c r="B512" s="21"/>
      <c r="C512" s="21"/>
      <c r="K512" s="22"/>
      <c r="L512" s="22"/>
      <c r="M512" s="7"/>
      <c r="N512" s="22"/>
      <c r="O512" s="23"/>
      <c r="P512" s="22"/>
      <c r="Q512" s="22"/>
      <c r="R512" s="22"/>
      <c r="S512" s="22"/>
      <c r="T512" s="21"/>
      <c r="U512" s="21"/>
      <c r="V512" s="21"/>
      <c r="W512" s="22"/>
      <c r="X512" s="47"/>
      <c r="Y512" s="21"/>
      <c r="Z512" s="21"/>
      <c r="AA512" s="49"/>
      <c r="AB512" s="21"/>
      <c r="AC512" s="22"/>
      <c r="AD512" s="22"/>
      <c r="AE512" s="22"/>
      <c r="AF512" s="22"/>
    </row>
    <row r="513" spans="1:32">
      <c r="A513" s="20"/>
      <c r="B513" s="21"/>
      <c r="C513" s="21"/>
      <c r="D513" s="21"/>
      <c r="E513" s="22"/>
      <c r="F513" s="22"/>
      <c r="G513" s="22"/>
      <c r="H513" s="21"/>
      <c r="I513" s="21"/>
      <c r="J513" s="21"/>
      <c r="K513" s="22"/>
      <c r="L513" s="22"/>
      <c r="M513" s="21"/>
      <c r="N513" s="21"/>
      <c r="O513" s="21"/>
      <c r="P513" s="21"/>
      <c r="Q513" s="22"/>
      <c r="R513" s="22"/>
      <c r="S513" s="21"/>
      <c r="T513" s="21"/>
      <c r="U513" s="21"/>
      <c r="V513" s="21"/>
      <c r="W513" s="22"/>
      <c r="X513" s="47"/>
      <c r="Y513" s="21"/>
      <c r="Z513" s="21"/>
      <c r="AA513" s="50"/>
      <c r="AB513" s="21"/>
      <c r="AC513" s="22"/>
      <c r="AD513" s="22"/>
      <c r="AE513" s="22"/>
      <c r="AF513" s="22"/>
    </row>
    <row r="514" spans="1:32">
      <c r="A514" s="20" t="s">
        <v>25</v>
      </c>
      <c r="B514" s="21"/>
      <c r="C514" s="21"/>
      <c r="D514" s="21"/>
      <c r="E514" s="22"/>
      <c r="F514" s="22"/>
      <c r="G514" s="22"/>
      <c r="H514" s="21"/>
      <c r="I514" s="20"/>
      <c r="J514" s="21"/>
      <c r="K514" s="21"/>
      <c r="L514" s="21" t="s">
        <v>26</v>
      </c>
      <c r="M514" s="22"/>
      <c r="N514" s="22"/>
      <c r="O514" s="22"/>
      <c r="P514" s="21"/>
      <c r="Q514" s="22"/>
      <c r="R514" s="22"/>
      <c r="S514" s="21"/>
      <c r="T514" s="24"/>
      <c r="U514" s="24"/>
      <c r="V514" s="24"/>
      <c r="W514" s="24"/>
      <c r="X514" s="24"/>
      <c r="Y514" s="21" t="s">
        <v>27</v>
      </c>
      <c r="Z514" s="21"/>
      <c r="AA514" s="21"/>
      <c r="AB514" s="21"/>
      <c r="AC514" s="22"/>
      <c r="AD514" s="22"/>
      <c r="AE514" s="22"/>
      <c r="AF514" s="22"/>
    </row>
    <row r="515" spans="1:32">
      <c r="L515" s="25"/>
      <c r="M515" s="25"/>
      <c r="N515" s="25"/>
      <c r="O515" s="25"/>
      <c r="P515" s="25"/>
      <c r="Q515" s="25"/>
      <c r="X515" s="25"/>
      <c r="Y515" s="25"/>
      <c r="Z515" s="25"/>
      <c r="AA515" s="25"/>
      <c r="AB515" s="25"/>
      <c r="AC515" s="25"/>
    </row>
    <row r="516" spans="1:32">
      <c r="B516" s="146" t="s">
        <v>70</v>
      </c>
      <c r="C516" s="146"/>
      <c r="D516" s="146"/>
      <c r="E516" s="146"/>
      <c r="F516" s="146"/>
      <c r="G516" s="146"/>
      <c r="H516" s="25"/>
      <c r="J516" s="25"/>
      <c r="N516" s="146" t="s">
        <v>28</v>
      </c>
      <c r="O516" s="146"/>
      <c r="P516" s="146"/>
      <c r="Q516" s="146"/>
      <c r="R516" s="146"/>
      <c r="S516" s="146"/>
      <c r="T516" s="146"/>
      <c r="U516" s="146"/>
      <c r="AA516" s="146" t="s">
        <v>35</v>
      </c>
      <c r="AB516" s="146"/>
      <c r="AC516" s="146"/>
      <c r="AD516" s="146"/>
      <c r="AE516" s="146"/>
      <c r="AF516" s="146"/>
    </row>
    <row r="517" spans="1:32">
      <c r="B517" s="147" t="s">
        <v>29</v>
      </c>
      <c r="C517" s="147"/>
      <c r="D517" s="147"/>
      <c r="E517" s="147"/>
      <c r="F517" s="147"/>
      <c r="G517" s="147"/>
      <c r="N517" s="147" t="s">
        <v>30</v>
      </c>
      <c r="O517" s="147"/>
      <c r="P517" s="147"/>
      <c r="Q517" s="147"/>
      <c r="R517" s="147"/>
      <c r="S517" s="147"/>
      <c r="T517" s="147"/>
      <c r="AA517" s="148" t="s">
        <v>47</v>
      </c>
      <c r="AB517" s="148"/>
      <c r="AC517" s="148"/>
      <c r="AD517" s="148"/>
      <c r="AE517" s="148"/>
      <c r="AF517" s="148"/>
    </row>
  </sheetData>
  <mergeCells count="436">
    <mergeCell ref="AA278:AF278"/>
    <mergeCell ref="B279:F279"/>
    <mergeCell ref="J279:M279"/>
    <mergeCell ref="AA279:AF279"/>
    <mergeCell ref="O272:P272"/>
    <mergeCell ref="F273:G273"/>
    <mergeCell ref="I273:J273"/>
    <mergeCell ref="O273:P273"/>
    <mergeCell ref="R273:S273"/>
    <mergeCell ref="F274:G274"/>
    <mergeCell ref="I274:J274"/>
    <mergeCell ref="B278:F278"/>
    <mergeCell ref="Q278:U278"/>
    <mergeCell ref="Q279:U279"/>
    <mergeCell ref="AA320:AF320"/>
    <mergeCell ref="B321:F321"/>
    <mergeCell ref="J321:M321"/>
    <mergeCell ref="O321:R321"/>
    <mergeCell ref="F238:G238"/>
    <mergeCell ref="I238:J238"/>
    <mergeCell ref="F316:G316"/>
    <mergeCell ref="I316:J316"/>
    <mergeCell ref="T321:X321"/>
    <mergeCell ref="T320:X320"/>
    <mergeCell ref="T243:X243"/>
    <mergeCell ref="T242:X242"/>
    <mergeCell ref="B320:F320"/>
    <mergeCell ref="J320:M320"/>
    <mergeCell ref="O320:R320"/>
    <mergeCell ref="A248:AG248"/>
    <mergeCell ref="A249:AG249"/>
    <mergeCell ref="A252:A253"/>
    <mergeCell ref="A254:A255"/>
    <mergeCell ref="A256:A257"/>
    <mergeCell ref="A258:A259"/>
    <mergeCell ref="A260:A261"/>
    <mergeCell ref="A262:A263"/>
    <mergeCell ref="A264:A265"/>
    <mergeCell ref="U334:W334"/>
    <mergeCell ref="B349:G349"/>
    <mergeCell ref="N349:T349"/>
    <mergeCell ref="AA349:AF349"/>
    <mergeCell ref="AA348:AF348"/>
    <mergeCell ref="B348:G348"/>
    <mergeCell ref="N348:U348"/>
    <mergeCell ref="F340:G340"/>
    <mergeCell ref="I340:J340"/>
    <mergeCell ref="O340:P340"/>
    <mergeCell ref="R340:S340"/>
    <mergeCell ref="B180:F180"/>
    <mergeCell ref="B181:F181"/>
    <mergeCell ref="F341:G341"/>
    <mergeCell ref="I341:J341"/>
    <mergeCell ref="O341:P341"/>
    <mergeCell ref="F342:G342"/>
    <mergeCell ref="I342:J342"/>
    <mergeCell ref="A184:AG184"/>
    <mergeCell ref="A212:AG212"/>
    <mergeCell ref="A228:A229"/>
    <mergeCell ref="A230:A231"/>
    <mergeCell ref="A329:A330"/>
    <mergeCell ref="A331:A332"/>
    <mergeCell ref="A232:A233"/>
    <mergeCell ref="A324:AG324"/>
    <mergeCell ref="A327:A328"/>
    <mergeCell ref="J328:M328"/>
    <mergeCell ref="F314:G314"/>
    <mergeCell ref="I314:J314"/>
    <mergeCell ref="O314:P314"/>
    <mergeCell ref="A333:A334"/>
    <mergeCell ref="A335:A336"/>
    <mergeCell ref="A337:A338"/>
    <mergeCell ref="F235:G235"/>
    <mergeCell ref="I235:J235"/>
    <mergeCell ref="O235:P235"/>
    <mergeCell ref="R235:S235"/>
    <mergeCell ref="F236:G236"/>
    <mergeCell ref="I236:J236"/>
    <mergeCell ref="O236:P236"/>
    <mergeCell ref="A291:AG291"/>
    <mergeCell ref="A294:A295"/>
    <mergeCell ref="AA242:AF242"/>
    <mergeCell ref="B243:F243"/>
    <mergeCell ref="J243:M243"/>
    <mergeCell ref="O243:R243"/>
    <mergeCell ref="AA243:AF243"/>
    <mergeCell ref="O242:R242"/>
    <mergeCell ref="O237:P237"/>
    <mergeCell ref="R237:S237"/>
    <mergeCell ref="A266:A267"/>
    <mergeCell ref="A268:A269"/>
    <mergeCell ref="F271:G271"/>
    <mergeCell ref="I271:J271"/>
    <mergeCell ref="O271:P271"/>
    <mergeCell ref="R271:S271"/>
    <mergeCell ref="F272:G272"/>
    <mergeCell ref="I272:J272"/>
    <mergeCell ref="A296:A297"/>
    <mergeCell ref="A304:A305"/>
    <mergeCell ref="A306:A307"/>
    <mergeCell ref="A308:A309"/>
    <mergeCell ref="F237:G237"/>
    <mergeCell ref="I237:J237"/>
    <mergeCell ref="F315:G315"/>
    <mergeCell ref="I315:J315"/>
    <mergeCell ref="B242:F242"/>
    <mergeCell ref="J242:M242"/>
    <mergeCell ref="A298:A299"/>
    <mergeCell ref="A300:A301"/>
    <mergeCell ref="A302:A303"/>
    <mergeCell ref="O174:P174"/>
    <mergeCell ref="A163:A164"/>
    <mergeCell ref="A167:A168"/>
    <mergeCell ref="F175:G175"/>
    <mergeCell ref="I175:J175"/>
    <mergeCell ref="O175:P175"/>
    <mergeCell ref="F176:G176"/>
    <mergeCell ref="I176:J176"/>
    <mergeCell ref="A169:A170"/>
    <mergeCell ref="A171:A172"/>
    <mergeCell ref="A165:A166"/>
    <mergeCell ref="N117:T117"/>
    <mergeCell ref="AA117:AF117"/>
    <mergeCell ref="A188:A189"/>
    <mergeCell ref="A190:A191"/>
    <mergeCell ref="A192:A193"/>
    <mergeCell ref="AA180:AF180"/>
    <mergeCell ref="R174:S174"/>
    <mergeCell ref="AA181:AF181"/>
    <mergeCell ref="A159:A160"/>
    <mergeCell ref="A161:A162"/>
    <mergeCell ref="A134:A135"/>
    <mergeCell ref="A136:A137"/>
    <mergeCell ref="A138:A139"/>
    <mergeCell ref="A124:A125"/>
    <mergeCell ref="A126:A127"/>
    <mergeCell ref="A128:A129"/>
    <mergeCell ref="N147:U147"/>
    <mergeCell ref="AA147:AF147"/>
    <mergeCell ref="AA148:AF148"/>
    <mergeCell ref="A151:AG151"/>
    <mergeCell ref="A152:AG152"/>
    <mergeCell ref="A155:A156"/>
    <mergeCell ref="F174:G174"/>
    <mergeCell ref="I174:J174"/>
    <mergeCell ref="A194:A195"/>
    <mergeCell ref="A196:A197"/>
    <mergeCell ref="N56:T56"/>
    <mergeCell ref="AA56:AF56"/>
    <mergeCell ref="F200:G200"/>
    <mergeCell ref="I200:J200"/>
    <mergeCell ref="O200:P200"/>
    <mergeCell ref="F141:G141"/>
    <mergeCell ref="I141:J141"/>
    <mergeCell ref="O141:P141"/>
    <mergeCell ref="R141:S141"/>
    <mergeCell ref="F142:G142"/>
    <mergeCell ref="I142:J142"/>
    <mergeCell ref="O142:P142"/>
    <mergeCell ref="F143:G143"/>
    <mergeCell ref="I143:J143"/>
    <mergeCell ref="B148:G148"/>
    <mergeCell ref="N148:T148"/>
    <mergeCell ref="R108:S108"/>
    <mergeCell ref="B147:G147"/>
    <mergeCell ref="AA116:AF116"/>
    <mergeCell ref="B117:G117"/>
    <mergeCell ref="A72:A73"/>
    <mergeCell ref="F75:G75"/>
    <mergeCell ref="I75:J75"/>
    <mergeCell ref="O75:P75"/>
    <mergeCell ref="R75:S75"/>
    <mergeCell ref="A62:A63"/>
    <mergeCell ref="A64:A65"/>
    <mergeCell ref="A66:A67"/>
    <mergeCell ref="A68:A69"/>
    <mergeCell ref="A70:A71"/>
    <mergeCell ref="J70:W71"/>
    <mergeCell ref="B84:G84"/>
    <mergeCell ref="N84:U84"/>
    <mergeCell ref="AA84:AF84"/>
    <mergeCell ref="B85:G85"/>
    <mergeCell ref="N85:T85"/>
    <mergeCell ref="AA85:AF85"/>
    <mergeCell ref="F49:G49"/>
    <mergeCell ref="I49:J49"/>
    <mergeCell ref="F50:G50"/>
    <mergeCell ref="I50:J50"/>
    <mergeCell ref="F51:G51"/>
    <mergeCell ref="I51:J51"/>
    <mergeCell ref="F78:G78"/>
    <mergeCell ref="I78:J78"/>
    <mergeCell ref="F79:G79"/>
    <mergeCell ref="I79:J79"/>
    <mergeCell ref="F76:G76"/>
    <mergeCell ref="I76:J76"/>
    <mergeCell ref="O76:P76"/>
    <mergeCell ref="F77:G77"/>
    <mergeCell ref="I77:J77"/>
    <mergeCell ref="N55:U55"/>
    <mergeCell ref="AA55:AF55"/>
    <mergeCell ref="B56:G56"/>
    <mergeCell ref="A30:AG30"/>
    <mergeCell ref="A31:AG31"/>
    <mergeCell ref="A34:A35"/>
    <mergeCell ref="A36:A37"/>
    <mergeCell ref="A38:A39"/>
    <mergeCell ref="A58:AG58"/>
    <mergeCell ref="A59:AG59"/>
    <mergeCell ref="F20:G20"/>
    <mergeCell ref="I20:J20"/>
    <mergeCell ref="F21:G21"/>
    <mergeCell ref="I21:J21"/>
    <mergeCell ref="F22:G22"/>
    <mergeCell ref="I22:J22"/>
    <mergeCell ref="O47:P47"/>
    <mergeCell ref="R47:S47"/>
    <mergeCell ref="F48:G48"/>
    <mergeCell ref="I48:J48"/>
    <mergeCell ref="O48:P48"/>
    <mergeCell ref="A40:A41"/>
    <mergeCell ref="A42:A43"/>
    <mergeCell ref="A44:A45"/>
    <mergeCell ref="F47:G47"/>
    <mergeCell ref="I47:J47"/>
    <mergeCell ref="B55:G55"/>
    <mergeCell ref="A1:AG1"/>
    <mergeCell ref="A2:AG2"/>
    <mergeCell ref="A5:A6"/>
    <mergeCell ref="A7:A8"/>
    <mergeCell ref="A9:A10"/>
    <mergeCell ref="B26:G26"/>
    <mergeCell ref="N26:U26"/>
    <mergeCell ref="AA26:AF26"/>
    <mergeCell ref="B27:G27"/>
    <mergeCell ref="N27:T27"/>
    <mergeCell ref="AA27:AF27"/>
    <mergeCell ref="O18:P18"/>
    <mergeCell ref="R18:S18"/>
    <mergeCell ref="F19:G19"/>
    <mergeCell ref="I19:J19"/>
    <mergeCell ref="O19:P19"/>
    <mergeCell ref="A11:A12"/>
    <mergeCell ref="A13:A14"/>
    <mergeCell ref="A15:A16"/>
    <mergeCell ref="F18:G18"/>
    <mergeCell ref="I18:J18"/>
    <mergeCell ref="A88:AG88"/>
    <mergeCell ref="A91:A92"/>
    <mergeCell ref="A97:A98"/>
    <mergeCell ref="A99:A100"/>
    <mergeCell ref="A101:A102"/>
    <mergeCell ref="A103:A104"/>
    <mergeCell ref="A105:A106"/>
    <mergeCell ref="F108:G108"/>
    <mergeCell ref="I108:J108"/>
    <mergeCell ref="O108:P108"/>
    <mergeCell ref="A93:A94"/>
    <mergeCell ref="A95:A96"/>
    <mergeCell ref="F109:G109"/>
    <mergeCell ref="I109:J109"/>
    <mergeCell ref="O109:P109"/>
    <mergeCell ref="F110:G110"/>
    <mergeCell ref="I110:J110"/>
    <mergeCell ref="B116:G116"/>
    <mergeCell ref="N116:U116"/>
    <mergeCell ref="A213:AG213"/>
    <mergeCell ref="A216:A217"/>
    <mergeCell ref="AA206:AF206"/>
    <mergeCell ref="F201:G201"/>
    <mergeCell ref="I201:J201"/>
    <mergeCell ref="AA205:AF205"/>
    <mergeCell ref="A119:AG119"/>
    <mergeCell ref="A122:A123"/>
    <mergeCell ref="F111:G111"/>
    <mergeCell ref="I111:J111"/>
    <mergeCell ref="A157:A158"/>
    <mergeCell ref="F112:G112"/>
    <mergeCell ref="I112:J112"/>
    <mergeCell ref="A130:A131"/>
    <mergeCell ref="A132:A133"/>
    <mergeCell ref="A185:AG185"/>
    <mergeCell ref="A352:AG352"/>
    <mergeCell ref="A355:A356"/>
    <mergeCell ref="J356:M356"/>
    <mergeCell ref="A357:A358"/>
    <mergeCell ref="A359:A360"/>
    <mergeCell ref="A361:A362"/>
    <mergeCell ref="B205:F205"/>
    <mergeCell ref="B206:F206"/>
    <mergeCell ref="A310:A311"/>
    <mergeCell ref="F313:G313"/>
    <mergeCell ref="I313:J313"/>
    <mergeCell ref="O313:P313"/>
    <mergeCell ref="R313:S313"/>
    <mergeCell ref="F199:G199"/>
    <mergeCell ref="I199:J199"/>
    <mergeCell ref="O199:P199"/>
    <mergeCell ref="R199:S199"/>
    <mergeCell ref="A218:A219"/>
    <mergeCell ref="A220:A221"/>
    <mergeCell ref="A222:A223"/>
    <mergeCell ref="A224:A225"/>
    <mergeCell ref="A226:A227"/>
    <mergeCell ref="AA321:AF321"/>
    <mergeCell ref="B381:G381"/>
    <mergeCell ref="N381:T381"/>
    <mergeCell ref="AA381:AF381"/>
    <mergeCell ref="F374:G374"/>
    <mergeCell ref="I374:J374"/>
    <mergeCell ref="B380:G380"/>
    <mergeCell ref="N380:U380"/>
    <mergeCell ref="AA380:AF380"/>
    <mergeCell ref="A363:A364"/>
    <mergeCell ref="A365:A366"/>
    <mergeCell ref="F372:G372"/>
    <mergeCell ref="I372:J372"/>
    <mergeCell ref="O372:P372"/>
    <mergeCell ref="R372:S372"/>
    <mergeCell ref="F373:G373"/>
    <mergeCell ref="I373:J373"/>
    <mergeCell ref="O373:P373"/>
    <mergeCell ref="A367:A368"/>
    <mergeCell ref="A369:A370"/>
    <mergeCell ref="A384:AG384"/>
    <mergeCell ref="A387:A388"/>
    <mergeCell ref="A389:A390"/>
    <mergeCell ref="A391:A392"/>
    <mergeCell ref="A393:A394"/>
    <mergeCell ref="A395:A396"/>
    <mergeCell ref="F397:G397"/>
    <mergeCell ref="I397:J397"/>
    <mergeCell ref="O397:P397"/>
    <mergeCell ref="R397:S397"/>
    <mergeCell ref="F398:G398"/>
    <mergeCell ref="I398:J398"/>
    <mergeCell ref="O398:P398"/>
    <mergeCell ref="F399:G399"/>
    <mergeCell ref="I399:J399"/>
    <mergeCell ref="B405:G405"/>
    <mergeCell ref="N405:U405"/>
    <mergeCell ref="AA405:AF405"/>
    <mergeCell ref="B406:G406"/>
    <mergeCell ref="N406:T406"/>
    <mergeCell ref="AA406:AF406"/>
    <mergeCell ref="A409:AG409"/>
    <mergeCell ref="A412:A413"/>
    <mergeCell ref="J413:M413"/>
    <mergeCell ref="A414:A415"/>
    <mergeCell ref="A416:A417"/>
    <mergeCell ref="A418:A419"/>
    <mergeCell ref="A420:A421"/>
    <mergeCell ref="A422:A423"/>
    <mergeCell ref="F425:G425"/>
    <mergeCell ref="I425:J425"/>
    <mergeCell ref="O425:P425"/>
    <mergeCell ref="R425:S425"/>
    <mergeCell ref="F426:G426"/>
    <mergeCell ref="I426:J426"/>
    <mergeCell ref="O426:P426"/>
    <mergeCell ref="F427:G427"/>
    <mergeCell ref="I427:J427"/>
    <mergeCell ref="B433:G433"/>
    <mergeCell ref="N433:U433"/>
    <mergeCell ref="AA433:AF433"/>
    <mergeCell ref="B434:G434"/>
    <mergeCell ref="N434:T434"/>
    <mergeCell ref="AA434:AF434"/>
    <mergeCell ref="A437:AG437"/>
    <mergeCell ref="A440:A441"/>
    <mergeCell ref="A442:A443"/>
    <mergeCell ref="A444:A445"/>
    <mergeCell ref="A446:A447"/>
    <mergeCell ref="A448:A449"/>
    <mergeCell ref="A450:A451"/>
    <mergeCell ref="F453:G453"/>
    <mergeCell ref="I453:J453"/>
    <mergeCell ref="O453:P453"/>
    <mergeCell ref="R453:S453"/>
    <mergeCell ref="F454:G454"/>
    <mergeCell ref="I454:J454"/>
    <mergeCell ref="O454:P454"/>
    <mergeCell ref="F455:G455"/>
    <mergeCell ref="I455:J455"/>
    <mergeCell ref="B461:G461"/>
    <mergeCell ref="N461:U461"/>
    <mergeCell ref="AA461:AF461"/>
    <mergeCell ref="B462:G462"/>
    <mergeCell ref="N462:T462"/>
    <mergeCell ref="AA462:AF462"/>
    <mergeCell ref="A465:AG465"/>
    <mergeCell ref="A468:A469"/>
    <mergeCell ref="J469:M469"/>
    <mergeCell ref="A470:A471"/>
    <mergeCell ref="A472:A473"/>
    <mergeCell ref="A474:A475"/>
    <mergeCell ref="A476:A477"/>
    <mergeCell ref="A478:A479"/>
    <mergeCell ref="F481:G481"/>
    <mergeCell ref="I481:J481"/>
    <mergeCell ref="O481:P481"/>
    <mergeCell ref="R481:S481"/>
    <mergeCell ref="F482:G482"/>
    <mergeCell ref="I482:J482"/>
    <mergeCell ref="O482:P482"/>
    <mergeCell ref="F483:G483"/>
    <mergeCell ref="I483:J483"/>
    <mergeCell ref="B489:G489"/>
    <mergeCell ref="N489:U489"/>
    <mergeCell ref="AA489:AF489"/>
    <mergeCell ref="B490:G490"/>
    <mergeCell ref="N490:T490"/>
    <mergeCell ref="AA490:AF490"/>
    <mergeCell ref="A492:AG492"/>
    <mergeCell ref="A495:A496"/>
    <mergeCell ref="J496:M496"/>
    <mergeCell ref="A497:A498"/>
    <mergeCell ref="A499:A500"/>
    <mergeCell ref="A501:A502"/>
    <mergeCell ref="A503:A504"/>
    <mergeCell ref="A505:A506"/>
    <mergeCell ref="F508:G508"/>
    <mergeCell ref="I508:J508"/>
    <mergeCell ref="O508:P508"/>
    <mergeCell ref="R508:S508"/>
    <mergeCell ref="F509:G509"/>
    <mergeCell ref="I509:J509"/>
    <mergeCell ref="O509:P509"/>
    <mergeCell ref="F510:G510"/>
    <mergeCell ref="I510:J510"/>
    <mergeCell ref="B516:G516"/>
    <mergeCell ref="N516:U516"/>
    <mergeCell ref="AA516:AF516"/>
    <mergeCell ref="B517:G517"/>
    <mergeCell ref="N517:T517"/>
    <mergeCell ref="AA517:AF517"/>
  </mergeCells>
  <conditionalFormatting sqref="B412:C412 B440:C440 B468:C468 B495:C495 O414 O442 O470 O497 P412 P440 P468 P495 W412 W440 W468 W495 AB414 AB420 AB422 AB442 AB448 AB450 AB470 AB476 AB478 AB497 AB503 AB505 AB395 B387:C387 B327:C327 B355:C355 O222 O329 O357 P327 P355 W232 W327 W355 AB222 AB224 AB230 AB308 AB310 AB329 AB335 AB337 AB357 AB363 AB365 B294:F294 P294:T294 W294:AA294 J298 H298 O258 W268 AB258 AB260 AB266 B367:F367 P367:T367 W367:AA367 J369 H369 V387:W387 C389:D389 W389:X389 S393 D391:E391 E393:F393 F387:G387 G389:H389 I393:J393 H391:I391 J387:K387 K389:L389 M393:N393 L391:M391 N387:P387 O389:Q389 Q393 P391:R391 R387:S387 S389:T389 U393 T391:U391 Y393 X391:Y391 Z387:AA387 AA389:AB389 AC393 AB391:AC391 AD387:AE387 AE389 AF395 B5:C5 B91:C91 B122:C122 B194:C194 G97:H97 G130:H130 G163:H163 I103 I136 I171 I105:J105 I138:J138 I165:J165 J101:K101 J134:K134 J169:K169 K99 K132 K167 L103 L136 L171 M105:N105 M138:N138 M165:N165 O7 O36 O64 O97 O130 O163 P5 P91 P122 P155 P194 V97 V130 V163 W5 W91 W122 W155 W194 Z7 Z64 Z105 Z138 Z165 AB13 AB15 AB36 AB42 AB44 AB70 AB72 AB97 AB103 AB130 AB136 AB163 AB171 AB196">
    <cfRule type="colorScale" priority="44924">
      <colorScale>
        <cfvo type="num" val="1"/>
        <cfvo type="num" val="2"/>
        <cfvo type="num" val="3"/>
        <color rgb="FFF8696B"/>
        <color rgb="FFFFEB84"/>
        <color rgb="FF63BE7B"/>
      </colorScale>
    </cfRule>
    <cfRule type="colorScale" priority="44925">
      <colorScale>
        <cfvo type="num" val="1"/>
        <cfvo type="num" val="2"/>
        <cfvo type="num" val="3"/>
        <color rgb="FFF8696B"/>
        <color rgb="FFFFEB84"/>
        <color rgb="FF63BE7B"/>
      </colorScale>
    </cfRule>
    <cfRule type="colorScale" priority="44926">
      <colorScale>
        <cfvo type="num" val="1"/>
        <cfvo type="num" val="2"/>
        <cfvo type="num" val="3"/>
        <color rgb="FFF8696B"/>
        <color rgb="FFFFEB84"/>
        <color rgb="FF63BE7B"/>
      </colorScale>
    </cfRule>
    <cfRule type="colorScale" priority="44929">
      <colorScale>
        <cfvo type="num" val="1"/>
        <cfvo type="num" val="2"/>
        <cfvo type="num" val="3"/>
        <color rgb="FFF8696B"/>
        <color rgb="FFFFEB84"/>
        <color rgb="FF63BE7B"/>
      </colorScale>
    </cfRule>
    <cfRule type="colorScale" priority="44932">
      <colorScale>
        <cfvo type="num" val="1"/>
        <cfvo type="num" val="2"/>
        <cfvo type="num" val="3"/>
        <color rgb="FFF8696B"/>
        <color rgb="FFFFEB84"/>
        <color rgb="FF63BE7B"/>
      </colorScale>
    </cfRule>
    <cfRule type="colorScale" priority="44933">
      <colorScale>
        <cfvo type="num" val="1"/>
        <cfvo type="num" val="2"/>
        <cfvo type="num" val="3"/>
        <color rgb="FFF8696B"/>
        <color rgb="FFFFEB84"/>
        <color rgb="FF63BE7B"/>
      </colorScale>
    </cfRule>
  </conditionalFormatting>
  <conditionalFormatting sqref="B416 B418 B422 B444 B446 B450 B472 B474 B478 B499 B501 B505 P495:AF495 E414 B420:E420 E422 E442 B448:E448 E450 E470 B476:E476 E478 E497 B503:E503 E505 I421 I449 I477 I504 K414 K422 K442 K450 K470 K478 K497 K505 L418 I420:L420 L446 I448:L448 L474 I476:L476 L501 I503:L503 N416 N444 N472 N499 N418:O418 N446:O446 N474:O474 N501:O501 R418 R446 R474 R501 S414 S442 S470 S497 T418 T446 T474 T501 U414 U442 U470 U497 W414 O420:AE420 W442 O448:AE448 W470 O476:AE476 W497 O503:AE503 Z416 Z418 Z444 Z446 Z472 Z474 Z499 Z501 P412:AF412 P440:AF440 P468:AF468 I396 B389 B391 B393 B224 B226 B228 B304 B306 B310 B331 B333 B337 B365 E222 E224:E225 B230:E230 E233 B308:E308 E310 E329 B335:E335 E337 E357 E365 I231 I309 I336 I364 K222 K224 K310 K329 K337 K357 K365 L228 L230 L306 L333 I335:L335 L361 I363:L363 N304 N331 N359 N228:O228 N333:O333 N361:O361 X230:AE230 R226 R228 R333 R361 S222 O230:T230 S329 S357 T228 T333 T361 U222 U329 U357 W222 P294:AF294 W329 O335:AE335 W357 O363:AE363 Z226 Z331 Z333 Z359 Z361 P327:AF327 P355:AF355 E232:AF232 N306:O306 G304 L304 Q304 V304 Z304:AA304 D298:H298 K298:O298 R298:V298 Y298:AC298 S304 X304 AC304 R306:T306 W306:Z306 AB306:AD306 G308:AE308 B260 B262 B264 E260:E261 B266:E266 E269 I267 K258 K260 L264 L266 N264:O264 X266:AE266 R262 R264 S258 O266:T266 T264 U258 W258 Z262 E257:E258 E268:AF268 B357 B359 B361 B363:E363 P367:AF367 D369:H369 K369:O369 R369:V369 Y369:AC369 N391 N393:O393 Z393 AD393 F391 F393:G393 J391 J393 E389:F389 I389:K389 L393 M389:O389 R393:V393 P387:AF387 Q389:AE389 R391:AE391 B395:AF395 B9 B15 B38 B66 B99 B101 B105 B132 B134 B138 B165 B167 B169 B171 D171 B196 B34:AD34 B62:AD62 C42:D42 C70:D70 B103 B136 B155 E7 B13:E13 E15 E44 E72 D103:E103 E105 D136:E136 E138 E196:E197 G44:H44 V44 X44 AF44 N44 AA44:AD44 G72:H72 X72:Y72 AF72 AA72:AB72 AD72 I14 I43 I104 I137 I42:J42 I70:J70 Y196:AD196 AF196 T196 N196:R196 K7 K15 K36 K44:L44 K64 K72:L72 K97 K105 K130 K138 K163 K165 J196:L196 L11 I13:L13 L40 L68 L195 L42:M42 N9 N11:O11 N101:O101 N134:O134 N169:O169 O42:Q42 AE42 Y103:AE103 Y136:AE136 Y171:AE171 R11 R40 R101 R134 R167 R169 P44:T44 P72:S72 S7 S36 S64 S97 O103:S103 S130 O136:S136 S163 O171:S171 T11 T101 T134 T169 U7 V196:X197 W7 O13:AE13 W36 W97 U103:W103 W130 U136:W136 W163 U171:W171 X68 Z9 Z11 Z40 Z68:AA68 S42:AC42 P91:AF91 B122:AF122 D155:AF155 X70:AE70 P5:AF5 AF34 AF62 P194:AF194">
    <cfRule type="colorScale" priority="40178">
      <colorScale>
        <cfvo type="num" val="1"/>
        <cfvo type="num" val="2"/>
        <cfvo type="num" val="3"/>
        <color rgb="FFF8696B"/>
        <color rgb="FFFFEB84"/>
        <color rgb="FF63BE7B"/>
      </colorScale>
    </cfRule>
    <cfRule type="colorScale" priority="40179">
      <colorScale>
        <cfvo type="num" val="1"/>
        <cfvo type="num" val="2"/>
        <cfvo type="num" val="3"/>
        <color rgb="FFF8696B"/>
        <color rgb="FFFFEB84"/>
        <color rgb="FF63BE7B"/>
      </colorScale>
    </cfRule>
  </conditionalFormatting>
  <conditionalFormatting sqref="B11">
    <cfRule type="cellIs" dxfId="3011" priority="40192" operator="equal">
      <formula>5</formula>
    </cfRule>
    <cfRule type="cellIs" dxfId="3010" priority="40193" operator="equal">
      <formula>4</formula>
    </cfRule>
    <cfRule type="cellIs" dxfId="3009" priority="40194" operator="equal">
      <formula>1</formula>
    </cfRule>
    <cfRule type="cellIs" dxfId="3008" priority="40195" operator="equal">
      <formula>3</formula>
    </cfRule>
    <cfRule type="cellIs" dxfId="3007" priority="40196" operator="equal">
      <formula>2</formula>
    </cfRule>
    <cfRule type="colorScale" priority="40197">
      <colorScale>
        <cfvo type="min" val="0"/>
        <cfvo type="percentile" val="50"/>
        <cfvo type="max" val="0"/>
        <color rgb="FFF8696B"/>
        <color rgb="FFFFEB84"/>
        <color rgb="FF63BE7B"/>
      </colorScale>
    </cfRule>
    <cfRule type="colorScale" priority="40198">
      <colorScale>
        <cfvo type="num" val="1"/>
        <cfvo type="num" val="2"/>
        <cfvo type="num" val="3"/>
        <color rgb="FFF8696B"/>
        <color rgb="FFFFEB84"/>
        <color rgb="FF63BE7B"/>
      </colorScale>
    </cfRule>
    <cfRule type="colorScale" priority="40199">
      <colorScale>
        <cfvo type="num" val="1"/>
        <cfvo type="num" val="2"/>
        <cfvo type="num" val="3"/>
        <color rgb="FFF8696B"/>
        <color rgb="FFFFEB84"/>
        <color rgb="FF63BE7B"/>
      </colorScale>
    </cfRule>
  </conditionalFormatting>
  <conditionalFormatting sqref="B40">
    <cfRule type="cellIs" dxfId="3006" priority="36347" operator="equal">
      <formula>5</formula>
    </cfRule>
    <cfRule type="cellIs" dxfId="3005" priority="36348" operator="equal">
      <formula>4</formula>
    </cfRule>
    <cfRule type="cellIs" dxfId="3004" priority="36349" operator="equal">
      <formula>1</formula>
    </cfRule>
    <cfRule type="cellIs" dxfId="3003" priority="36350" operator="equal">
      <formula>3</formula>
    </cfRule>
    <cfRule type="cellIs" dxfId="3002" priority="36351" operator="equal">
      <formula>2</formula>
    </cfRule>
    <cfRule type="colorScale" priority="36352">
      <colorScale>
        <cfvo type="num" val="1"/>
        <cfvo type="num" val="2"/>
        <cfvo type="num" val="3"/>
        <color rgb="FFF8696B"/>
        <color rgb="FFFFEB84"/>
        <color rgb="FF63BE7B"/>
      </colorScale>
    </cfRule>
    <cfRule type="colorScale" priority="36353">
      <colorScale>
        <cfvo type="num" val="1"/>
        <cfvo type="num" val="2"/>
        <cfvo type="num" val="3"/>
        <color rgb="FFF8696B"/>
        <color rgb="FFFFEB84"/>
        <color rgb="FF63BE7B"/>
      </colorScale>
    </cfRule>
    <cfRule type="colorScale" priority="36354">
      <colorScale>
        <cfvo type="min" val="0"/>
        <cfvo type="percentile" val="50"/>
        <cfvo type="max" val="0"/>
        <color rgb="FFF8696B"/>
        <color rgb="FFFFEB84"/>
        <color rgb="FF63BE7B"/>
      </colorScale>
    </cfRule>
  </conditionalFormatting>
  <conditionalFormatting sqref="B42">
    <cfRule type="cellIs" dxfId="3001" priority="36379" operator="equal">
      <formula>5</formula>
    </cfRule>
    <cfRule type="cellIs" dxfId="3000" priority="36380" operator="equal">
      <formula>4</formula>
    </cfRule>
    <cfRule type="cellIs" dxfId="2999" priority="36381" operator="equal">
      <formula>1</formula>
    </cfRule>
    <cfRule type="cellIs" dxfId="2998" priority="36382" operator="equal">
      <formula>3</formula>
    </cfRule>
    <cfRule type="cellIs" dxfId="2997" priority="36383" operator="equal">
      <formula>2</formula>
    </cfRule>
    <cfRule type="colorScale" priority="36384">
      <colorScale>
        <cfvo type="min" val="0"/>
        <cfvo type="percentile" val="50"/>
        <cfvo type="max" val="0"/>
        <color rgb="FFF8696B"/>
        <color rgb="FFFFEB84"/>
        <color rgb="FF63BE7B"/>
      </colorScale>
    </cfRule>
    <cfRule type="colorScale" priority="36385">
      <colorScale>
        <cfvo type="num" val="1"/>
        <cfvo type="num" val="2"/>
        <cfvo type="num" val="3"/>
        <color rgb="FFF8696B"/>
        <color rgb="FFFFEB84"/>
        <color rgb="FF63BE7B"/>
      </colorScale>
    </cfRule>
    <cfRule type="colorScale" priority="36386">
      <colorScale>
        <cfvo type="num" val="1"/>
        <cfvo type="num" val="2"/>
        <cfvo type="num" val="3"/>
        <color rgb="FFF8696B"/>
        <color rgb="FFFFEB84"/>
        <color rgb="FF63BE7B"/>
      </colorScale>
    </cfRule>
  </conditionalFormatting>
  <conditionalFormatting sqref="B44">
    <cfRule type="cellIs" dxfId="2996" priority="36339" operator="equal">
      <formula>5</formula>
    </cfRule>
    <cfRule type="cellIs" dxfId="2995" priority="36340" operator="equal">
      <formula>4</formula>
    </cfRule>
    <cfRule type="cellIs" dxfId="2994" priority="36341" operator="equal">
      <formula>1</formula>
    </cfRule>
    <cfRule type="cellIs" dxfId="2993" priority="36342" operator="equal">
      <formula>3</formula>
    </cfRule>
    <cfRule type="cellIs" dxfId="2992" priority="36343" operator="equal">
      <formula>2</formula>
    </cfRule>
    <cfRule type="colorScale" priority="36344">
      <colorScale>
        <cfvo type="num" val="1"/>
        <cfvo type="num" val="2"/>
        <cfvo type="num" val="3"/>
        <color rgb="FFF8696B"/>
        <color rgb="FFFFEB84"/>
        <color rgb="FF63BE7B"/>
      </colorScale>
    </cfRule>
    <cfRule type="colorScale" priority="36345">
      <colorScale>
        <cfvo type="num" val="1"/>
        <cfvo type="num" val="2"/>
        <cfvo type="num" val="3"/>
        <color rgb="FFF8696B"/>
        <color rgb="FFFFEB84"/>
        <color rgb="FF63BE7B"/>
      </colorScale>
    </cfRule>
    <cfRule type="colorScale" priority="36346">
      <colorScale>
        <cfvo type="min" val="0"/>
        <cfvo type="percentile" val="50"/>
        <cfvo type="max" val="0"/>
        <color rgb="FFF8696B"/>
        <color rgb="FFFFEB84"/>
        <color rgb="FF63BE7B"/>
      </colorScale>
    </cfRule>
  </conditionalFormatting>
  <conditionalFormatting sqref="B68">
    <cfRule type="cellIs" dxfId="2991" priority="35334" operator="equal">
      <formula>5</formula>
    </cfRule>
    <cfRule type="cellIs" dxfId="2990" priority="35335" operator="equal">
      <formula>4</formula>
    </cfRule>
    <cfRule type="cellIs" dxfId="2989" priority="35336" operator="equal">
      <formula>1</formula>
    </cfRule>
    <cfRule type="cellIs" dxfId="2988" priority="35337" operator="equal">
      <formula>3</formula>
    </cfRule>
    <cfRule type="cellIs" dxfId="2987" priority="35338" operator="equal">
      <formula>2</formula>
    </cfRule>
    <cfRule type="colorScale" priority="35339">
      <colorScale>
        <cfvo type="num" val="1"/>
        <cfvo type="num" val="2"/>
        <cfvo type="num" val="3"/>
        <color rgb="FFF8696B"/>
        <color rgb="FFFFEB84"/>
        <color rgb="FF63BE7B"/>
      </colorScale>
    </cfRule>
    <cfRule type="colorScale" priority="35340">
      <colorScale>
        <cfvo type="num" val="1"/>
        <cfvo type="num" val="2"/>
        <cfvo type="num" val="3"/>
        <color rgb="FFF8696B"/>
        <color rgb="FFFFEB84"/>
        <color rgb="FF63BE7B"/>
      </colorScale>
    </cfRule>
    <cfRule type="colorScale" priority="35341">
      <colorScale>
        <cfvo type="min" val="0"/>
        <cfvo type="percentile" val="50"/>
        <cfvo type="max" val="0"/>
        <color rgb="FFF8696B"/>
        <color rgb="FFFFEB84"/>
        <color rgb="FF63BE7B"/>
      </colorScale>
    </cfRule>
  </conditionalFormatting>
  <conditionalFormatting sqref="B70">
    <cfRule type="cellIs" dxfId="2986" priority="35358" operator="equal">
      <formula>5</formula>
    </cfRule>
    <cfRule type="cellIs" dxfId="2985" priority="35359" operator="equal">
      <formula>4</formula>
    </cfRule>
    <cfRule type="cellIs" dxfId="2984" priority="35360" operator="equal">
      <formula>1</formula>
    </cfRule>
    <cfRule type="cellIs" dxfId="2983" priority="35361" operator="equal">
      <formula>3</formula>
    </cfRule>
    <cfRule type="cellIs" dxfId="2982" priority="35362" operator="equal">
      <formula>2</formula>
    </cfRule>
    <cfRule type="colorScale" priority="35363">
      <colorScale>
        <cfvo type="min" val="0"/>
        <cfvo type="percentile" val="50"/>
        <cfvo type="max" val="0"/>
        <color rgb="FFF8696B"/>
        <color rgb="FFFFEB84"/>
        <color rgb="FF63BE7B"/>
      </colorScale>
    </cfRule>
    <cfRule type="colorScale" priority="35364">
      <colorScale>
        <cfvo type="num" val="1"/>
        <cfvo type="num" val="2"/>
        <cfvo type="num" val="3"/>
        <color rgb="FFF8696B"/>
        <color rgb="FFFFEB84"/>
        <color rgb="FF63BE7B"/>
      </colorScale>
    </cfRule>
    <cfRule type="colorScale" priority="35365">
      <colorScale>
        <cfvo type="num" val="1"/>
        <cfvo type="num" val="2"/>
        <cfvo type="num" val="3"/>
        <color rgb="FFF8696B"/>
        <color rgb="FFFFEB84"/>
        <color rgb="FF63BE7B"/>
      </colorScale>
    </cfRule>
  </conditionalFormatting>
  <conditionalFormatting sqref="B72">
    <cfRule type="cellIs" dxfId="2981" priority="35326" operator="equal">
      <formula>5</formula>
    </cfRule>
    <cfRule type="cellIs" dxfId="2980" priority="35327" operator="equal">
      <formula>4</formula>
    </cfRule>
    <cfRule type="cellIs" dxfId="2979" priority="35328" operator="equal">
      <formula>1</formula>
    </cfRule>
    <cfRule type="cellIs" dxfId="2978" priority="35329" operator="equal">
      <formula>3</formula>
    </cfRule>
    <cfRule type="cellIs" dxfId="2977" priority="35330" operator="equal">
      <formula>2</formula>
    </cfRule>
    <cfRule type="colorScale" priority="35331">
      <colorScale>
        <cfvo type="num" val="1"/>
        <cfvo type="num" val="2"/>
        <cfvo type="num" val="3"/>
        <color rgb="FFF8696B"/>
        <color rgb="FFFFEB84"/>
        <color rgb="FF63BE7B"/>
      </colorScale>
    </cfRule>
    <cfRule type="colorScale" priority="35332">
      <colorScale>
        <cfvo type="num" val="1"/>
        <cfvo type="num" val="2"/>
        <cfvo type="num" val="3"/>
        <color rgb="FFF8696B"/>
        <color rgb="FFFFEB84"/>
        <color rgb="FF63BE7B"/>
      </colorScale>
    </cfRule>
    <cfRule type="colorScale" priority="35333">
      <colorScale>
        <cfvo type="min" val="0"/>
        <cfvo type="percentile" val="50"/>
        <cfvo type="max" val="0"/>
        <color rgb="FFF8696B"/>
        <color rgb="FFFFEB84"/>
        <color rgb="FF63BE7B"/>
      </colorScale>
    </cfRule>
  </conditionalFormatting>
  <conditionalFormatting sqref="Q440 Q412 Q468 Q495 T412 T440 T468 T495 Y414 Y420 Y422 Y442 Y448 Y450 Y470 Y476 Y478 Y497 Y503 Y505 Z412:AD412 Z440:AD440 Z468:AD468 Z495:AD495 AC414 AC420 AC422 AC442 AC448 AC450 AC470 AC476 AC478 AC497 AC503 AC505 Q387 T387 Y389 Y395 AC395 Q294 Q327 Q355 T294 T327 T355 Y222 Y224 Y230 Y308 Y329 Y335 Y337 Y357 Y363 Y365 Z232:AD232 Z327:AD327 Z355:AD355 AC222 AC224 AC230 Y310:AC310 AC308 AC329 AC335 AC337 AC357 AC363 AC365 Z294:AF294 E298:H298 L298:O298 S298:V298 Z298:AC298 Y260 Y258 Y266 AC258 AC260 AC266 Z268:AE268 Q367 T367 Z367:AF367 E369:H369 L369:O369 S369:V369 Z369:AC369 R389 U389 Z387:AE387 AA389:AE389 S391 V391 AB391:AE391 T393 B155 Q5 Q91 Q122 Q155 Q194 T5 T91 T122 T155 T194 Y7 Y13 Y15 Y36 Y42 Y64 Y70 Y97 Y103 Y105 Y130 Y136 Y138 Y163 Y165 Y171 Y196 AE62:AF62 Z5 Z91:AD91 Z122:AD122 Z155:AD155 Z194:AD194 AA103:AC103 AA136:AC136 AA171:AC171 AB7:AC7 AC13 AC15 AC44 AC64 AC105 AC138 AC165 AC196 AE34:AF34">
    <cfRule type="colorScale" priority="25716">
      <colorScale>
        <cfvo type="num" val="1"/>
        <cfvo type="num" val="2"/>
        <cfvo type="num" val="3"/>
        <color rgb="FFF8696B"/>
        <color rgb="FFFFEB84"/>
        <color rgb="FF63BE7B"/>
      </colorScale>
    </cfRule>
    <cfRule type="colorScale" priority="25717">
      <colorScale>
        <cfvo type="num" val="1"/>
        <cfvo type="num" val="2"/>
        <cfvo type="num" val="3"/>
        <color rgb="FFF8696B"/>
        <color rgb="FFFFEB84"/>
        <color rgb="FF63BE7B"/>
      </colorScale>
    </cfRule>
    <cfRule type="colorScale" priority="25718">
      <colorScale>
        <cfvo type="num" val="1"/>
        <cfvo type="num" val="2"/>
        <cfvo type="num" val="3"/>
        <color rgb="FFF8696B"/>
        <color rgb="FFFFEB84"/>
        <color rgb="FF63BE7B"/>
      </colorScale>
    </cfRule>
    <cfRule type="colorScale" priority="25721">
      <colorScale>
        <cfvo type="num" val="1"/>
        <cfvo type="num" val="2"/>
        <cfvo type="num" val="3"/>
        <color rgb="FFF8696B"/>
        <color rgb="FFFFEB84"/>
        <color rgb="FF63BE7B"/>
      </colorScale>
    </cfRule>
    <cfRule type="colorScale" priority="25723">
      <colorScale>
        <cfvo type="num" val="1"/>
        <cfvo type="num" val="2"/>
        <cfvo type="num" val="3"/>
        <color rgb="FFF8696B"/>
        <color rgb="FFFFEB84"/>
        <color rgb="FF63BE7B"/>
      </colorScale>
    </cfRule>
    <cfRule type="colorScale" priority="25724">
      <colorScale>
        <cfvo type="num" val="1"/>
        <cfvo type="num" val="2"/>
        <cfvo type="num" val="3"/>
        <color rgb="FFF8696B"/>
        <color rgb="FFFFEB84"/>
        <color rgb="FF63BE7B"/>
      </colorScale>
    </cfRule>
    <cfRule type="colorScale" priority="25725">
      <colorScale>
        <cfvo type="num" val="1"/>
        <cfvo type="num" val="2"/>
        <cfvo type="num" val="3"/>
        <color rgb="FFF8696B"/>
        <color rgb="FFFFEB84"/>
        <color rgb="FF63BE7B"/>
      </colorScale>
    </cfRule>
  </conditionalFormatting>
  <conditionalFormatting sqref="F442 F414 F470 F497 G420 F422:G422 G448 F450:G450 G476 F478:G478 G503 F505:G505 H416 H444 H472 H499 I420 I448 I476 I503 J414 J442 J470 J497 K420 K448 K476 K503 L414 L422 L442 L450 L470 L478 L497 L505 N414 N422 N442 N450 N470 N478 N497 N505 T414 T416 T420 T422 T442 T444 T448 T450 T470 T472 T476 T478 T497 T499 T503 T505 V414 V420 V422 V442 V448 V450 V470 V476 V478 V497 V503 V505 X414 X420 X422 X442 X448 X450 X470 X476 X478 X497 X503 X505 G395 H391 I395 K395 L389 T389 T391 X389 X395 B225 B233 F222 F224:G225 F329 F357 G230 F233:G233 G308 F310:G310 G335 F337:G337 G363 F365:G365 H226 H304 H331 H359 I335 I363 J329 J357 K335 K363 L222 L224 L310 L329 L337 L357 L365 N222 N224 N310 N329 N337 N357 N365 T222 T224 T226 T230 T304 T310 T329 T331 T335 T337 T357 T359 T363 T365 V222 V224 V310 V329 V335 V337 V357 V363 V365 X222 X224 X230 X329 X335 X337 X357 X363 X365 X310:AC310 M304 R304 Y304 W304 AD304 AB304 I306 N306 U306 S306 Z306 X306 AE306 AC306 I308:K308 O308 V308 T308 AA308 X308:Y308 AF308 AD308 B269 B261 F258 F260:G261 G266 F269:G269 H262 L258 L260 N258 N260 T258 T260 T262 T266 V258 V260 X258 X260 X266 B257 F257:G257 B358 B390 L391 F389:F390 J389:J390 I393 U393 M393 N389:N390 R390 V389:V390 Z390 AD390 N395 T395:V395 AB395 AF395 X196:X197 X165 B197 F7 F97 F130 F163 F196:G197 Z66 G13 F15:G15 G42 F44:G44 G70 F72:G72 G103 F105:G105 G136 F138:G138 G165 G171 H9 H38 H66 I13 I42 I70:I71 I172 J7 J97 J130 J163 K13 L7 L15 L36 L44 L64 L72 L97 L105 L130 L138 L163 L165 L196 Z134 N7 N15 N36 N44 N99 N132 N196 Z169 S72 T7 T9 T13 T15 T38 T42 S44:T44 T97 T99 T130 T132 T163 T167 T196 V7 V13 V15 V36 V42 V44 V64 V103 V105 V136 V138 V165 V171 V196:V197 Z101 X7 X13 X15 X36 X42 X44 X64 X70 X72 X97 X105 X130 X138 X163">
    <cfRule type="colorScale" priority="19424">
      <colorScale>
        <cfvo type="num" val="1"/>
        <cfvo type="num" val="2"/>
        <cfvo type="num" val="3"/>
        <color rgb="FFF8696B"/>
        <color rgb="FFFFEB84"/>
        <color rgb="FF63BE7B"/>
      </colorScale>
    </cfRule>
    <cfRule type="colorScale" priority="19425">
      <colorScale>
        <cfvo type="num" val="1"/>
        <cfvo type="num" val="2"/>
        <cfvo type="num" val="3"/>
        <color rgb="FFF8696B"/>
        <color rgb="FFFFEB84"/>
        <color rgb="FF63BE7B"/>
      </colorScale>
    </cfRule>
    <cfRule type="colorScale" priority="19426">
      <colorScale>
        <cfvo type="num" val="1"/>
        <cfvo type="num" val="2"/>
        <cfvo type="num" val="3"/>
        <color rgb="FFF8696B"/>
        <color rgb="FFFFEB84"/>
        <color rgb="FF63BE7B"/>
      </colorScale>
    </cfRule>
  </conditionalFormatting>
  <conditionalFormatting sqref="AF501 G414 G442 G470 G497 H418 H446 H474 H501 J422 J450 J478 J505 P414 P420 P422 P442 P448 P450 P470 P476 P478 P497 P503 P505 Q412:AF412 Q440:AF440 Q468:AF468 Q495:AF495 AF416 AF418 AF444 AF446 AF472 AF474 AF499 G389 H393 P395 AF393 G226 G329 G357 G222:H222 H228 H306 H333 H361 J222 J224 J310 J337 J365 P222 P230 Q294:AF294 P308 P310 P329 P335 P337 P357 P363 P365 Q327:AF327 Q355:AF355 AF226 AF228 AF304 AF306 AF331 AF333 AF359 AF361 Q232:AF232 M306 R306 W306 AB306 Y298:AC298 D298:H298 K298:O298 R298:V298 G258:H258 G262 H264 J258 J260 P258 P266 AF262 AF264 Q268:AF268 Q367:AF367 Y369:AC369 D369:H369 K369:O369 R369:V369 Q387:AF387 R389:AE389 S391:AF391 T393:V393 K389 L393 O389:P389 G7 G36 G64 J15 J196 N38 N40 N66 N68 P7 P13 P15 P36 P42 P44 P72 P103 P105 P136 P138 P171 Q5:AF5 Q91:AF91 Q122:AF122 Q155:AF155 Q194:AF194 AF9 AF11 AF38 AF40 AF66 AF68 AF99 AF101 AF132 AF134 AF169">
    <cfRule type="colorScale" priority="15307">
      <colorScale>
        <cfvo type="num" val="1"/>
        <cfvo type="num" val="2"/>
        <cfvo type="num" val="3"/>
        <color rgb="FFF8696B"/>
        <color rgb="FFFFEB84"/>
        <color rgb="FF63BE7B"/>
      </colorScale>
    </cfRule>
    <cfRule type="colorScale" priority="15308">
      <colorScale>
        <cfvo type="num" val="1"/>
        <cfvo type="num" val="2"/>
        <cfvo type="num" val="3"/>
        <color rgb="FFF8696B"/>
        <color rgb="FFFFEB84"/>
        <color rgb="FF63BE7B"/>
      </colorScale>
    </cfRule>
    <cfRule type="colorScale" priority="33817">
      <colorScale>
        <cfvo type="num" val="1"/>
        <cfvo type="num" val="2"/>
        <cfvo type="num" val="3"/>
        <color rgb="FFF8696B"/>
        <color rgb="FFFFEB84"/>
        <color rgb="FF63BE7B"/>
      </colorScale>
    </cfRule>
    <cfRule type="colorScale" priority="33818">
      <colorScale>
        <cfvo type="num" val="1"/>
        <cfvo type="num" val="2"/>
        <cfvo type="num" val="3"/>
        <color rgb="FFF8696B"/>
        <color rgb="FFFFEB84"/>
        <color rgb="FF63BE7B"/>
      </colorScale>
    </cfRule>
  </conditionalFormatting>
  <conditionalFormatting sqref="J412 J440 J468 J495 AA414 AA420 AA422 AA442 AA448 AA450 AA470 AA476 AA478 AA497 AA503 AA505 J387 AA389 AA395 J232 J294 J327 J355 AA222 AA224 AA230 AA308 AA310 AA329 AA335 AA337 AA357 AA363 AA365 AA258 AA260 AA266 J268:N268 J367 K389 L391 M393 N387 O389 AE389 AE395 J5 J91 J122 J155 J194 L101 L134 L169 O99 O132 P101 P134 P169 S101 S134 S169 T105 T138 T165 V99:W99 W101 W105 V132:W132 W134 W138 W165 V167:W167 W169 Y72 Z99 Z132 Z167 AA13 AA15 AA36 AA42 AA70 AA97 AA103 AA130 AA136 AA163 AA171 AA196 AC70">
    <cfRule type="colorScale" priority="15551">
      <colorScale>
        <cfvo type="num" val="1"/>
        <cfvo type="num" val="2"/>
        <cfvo type="num" val="3"/>
        <color rgb="FFF8696B"/>
        <color rgb="FFFFEB84"/>
        <color rgb="FF63BE7B"/>
      </colorScale>
    </cfRule>
    <cfRule type="colorScale" priority="15552">
      <colorScale>
        <cfvo type="num" val="1"/>
        <cfvo type="num" val="2"/>
        <cfvo type="num" val="3"/>
        <color rgb="FFF8696B"/>
        <color rgb="FFFFEB84"/>
        <color rgb="FF63BE7B"/>
      </colorScale>
    </cfRule>
    <cfRule type="colorScale" priority="19610">
      <colorScale>
        <cfvo type="num" val="1"/>
        <cfvo type="num" val="2"/>
        <cfvo type="num" val="3"/>
        <color rgb="FFF8696B"/>
        <color rgb="FFFFEB84"/>
        <color rgb="FF63BE7B"/>
      </colorScale>
    </cfRule>
    <cfRule type="colorScale" priority="19611">
      <colorScale>
        <cfvo type="num" val="1"/>
        <cfvo type="num" val="2"/>
        <cfvo type="num" val="3"/>
        <color rgb="FFF8696B"/>
        <color rgb="FFFFEB84"/>
        <color rgb="FF63BE7B"/>
      </colorScale>
    </cfRule>
    <cfRule type="colorScale" priority="19612">
      <colorScale>
        <cfvo type="num" val="1"/>
        <cfvo type="num" val="2"/>
        <cfvo type="num" val="3"/>
        <color rgb="FFF8696B"/>
        <color rgb="FFFFEB84"/>
        <color rgb="FF63BE7B"/>
      </colorScale>
    </cfRule>
    <cfRule type="colorScale" priority="19615">
      <colorScale>
        <cfvo type="num" val="1"/>
        <cfvo type="num" val="2"/>
        <cfvo type="num" val="3"/>
        <color rgb="FFF8696B"/>
        <color rgb="FFFFEB84"/>
        <color rgb="FF63BE7B"/>
      </colorScale>
    </cfRule>
    <cfRule type="colorScale" priority="19618">
      <colorScale>
        <cfvo type="num" val="1"/>
        <cfvo type="num" val="2"/>
        <cfvo type="num" val="3"/>
        <color rgb="FFF8696B"/>
        <color rgb="FFFFEB84"/>
        <color rgb="FF63BE7B"/>
      </colorScale>
    </cfRule>
    <cfRule type="colorScale" priority="19619">
      <colorScale>
        <cfvo type="num" val="1"/>
        <cfvo type="num" val="2"/>
        <cfvo type="num" val="3"/>
        <color rgb="FFF8696B"/>
        <color rgb="FFFFEB84"/>
        <color rgb="FF63BE7B"/>
      </colorScale>
    </cfRule>
  </conditionalFormatting>
  <conditionalFormatting sqref="B504:H505 B450 X505:AD505 B397:F399 H397:W397 AD397:AE397 G398:AE399 K400:AE401 B402:AE403 B400:C401 B425:F427 H425:W425 AD425:AE425 G426:AE427 K428:AE429 B430:AE431 B428:C429 B453:F455 H453:W453 AD453:AE453 G454:AE455 K456:AE457 B458:AE459 B456:C457 B481:F483 H481:W481 AD481:AE481 G482:AE483 K484:AE485 B486:AE487 B484:C485 B508:F510 H508:W508 AD508:AE508 G509:AE510 K511:AE512 B513:AE514 B511:C512 B415:G415 K415:AF415 B414 B413:I413 B443:G443 K443:AF443 B442 B441:I441 B471:G471 K471:AF471 B470 B469:I469 B498:G498 K498:AF498 B497 B496:I496 L421:AF421 C423:H423 L423:AF423 B424:H424 L424:AC424 L449:AF449 L451:AF451 B452:H452 L452:AC452 L477:AF477 C479:H479 L479:AF479 B480:H480 L480:AC480 L504:AF504 C506:H506 L506:AF506 B507:H507 L507:AC507 D414:G414 J414:L414 D442:G442 J442:L442 D470:G470 J470:L470 D497:G497 J497:L497 J422:L422 N422:V422 J450:L450 V450 AF450 N450:R450 T450 J478:L478 N478:V478 J505:L505 N505:V505 C450:H451 H416 H444 I415 I443 I471 I498 J423 J451 J479 J506 L416 L420 I421:J421 L444 L448 B449:J449 H472 L472 L476 I477:J477 H499 L499 L503 I504:J504 N416:O416 N444:O444 N472:O472 N499:O499 N413:AF413 J413:J414 N441:AF441 J441:J442 N469:AF469 J469:J470 N496:AF496 J496:J497 M418 M446 M474 M501 S418:V418 S446:V446 S474:V474 S501:V501 B412:AF412 B440:AF440 B468:AF468 B495:AF495 V416 V444 V472 V499 R416:T416 R444:T444 R472:T472 R499:T499 B419:U419 B420:E420 X419:AF419 B447:AF447 B448:E448 B475:U475 B476:E476 X475:AF475 B502:U502 B503:E503 X502:AF502 X416:AB416 X418:AB418 X444:AB444 X446:AB446 X472:AB472 X474:AB474 X499:AB499 X501:AB501 B417:AC417 B445:AC445 B473:AC473 B500:AC500 N414:AE414 Y420:AE420 N442:AE442 Y448:AE448 X450:AD450 N470:AE470 Y476:AE476 N497:AE497 Y503:AE503 AD416 AD418 AD444 AD446 AD472 AD474 AD499 AD501 AE416:AE417 AE444:AE445 AE472:AE473 AE499:AE500 AF422 B421:H422 X422:AD422 AF478 B477:H478 X478:AD478 AF505 B372:F374 H372:W372 AD372:AE372 G373:AE374 K375:AE376 B377:AE378 B375:C376 B388:I388 L396:AF396 N388:AF388 B392:AC392 B387:D390 B394:D396 J369 B337 B235:F237 AD235:AE235 B318:AE319 H235:S235 B313:F315 C219:AF221 AD313:AE313 G314:AE315 K316:AE317 B316:C317 B340:F342 H340:W340 AD340:AE340 G341:AE342 B346:AE346 B343:C345 K343:AE345 B297:G303 B294:AF294 B330:G330 K330:AF330 B329 B328:I328 K358:AF358 B356:I356 L231:AF231 C311:H311 L311:AF311 B312:H312 L312:AC312 L336:AF336 L338:AF338 B339:H339 L339:AC339 L364:AF364 L366:AF366 L367:AC371 B240:J240 M240:AE240 B234:AF234 B232 L230 L363 D222:G222 J222:L222 D329:G329 J329:L329 D357:G357 J357:L357 J224:L224 V224 J337:L337 V337 AF337 N337:R337 T337 J365:L365 AF365 N365:V365 C337:H338 H304 H331 B223:AF223 C225:I225 C233:I233 I297:I303 I330 I358 B231:J231 J311 J338 B364:J364 J366 K225:AF225 H226 L226 I309:J309 L331 L335 B336:J336 H359 L359 G236:AE237 N331:O331 N359:O359 N295:AF295 N328:AF328 J328:J329 N356:AF356 J356:J357 N226 P226 N224:Q224 S224:T224 M228 M333 M361 R359:T359 S228:V228 S333:V333 V359 S361:V361 U230 W230 B327:AF327 V226 V331 X233:AF233 S226:T226 R331:T331 B229:AF229 B230:E230 B307:AF307 B308:E308 B334:U334 B335:E335 X334:AF334 B362:U362 B363:E363 X362:AF362 X228 X226:AB226 Z228:AB228 X331:AB331 X333:AB333 X359:AB359 X361:AB361 B227:AC227 B305:AC305 B332:AC332 N222:AE222 Y230:AE230 N329:AE329 Y335:AE335 X337:AD337 N357:AE357 Y363:AE363 X365:AD365 AD226 AD228 AD331 AD333 AD359 AD361 AE226:AE227 AE304:AE305 AE331:AE332 AE359:AE360 AF224 B224:H224 X224:AD224 AF310 J300:L300 B309:H310 J310:V310 X310:AD310 D302:J302 E238:AE239 B238:C239 R232:X232 B295:J295 D232:P232 H313:S313 B219:B222 C239:F239 B199:F207 H199:W199 AD199:AE199 G200:AE202 G207:AE207 G203:G206 B203:G203 X203:AE206 B216:AF217 K297:AF303 U235 E304:F304 J298 U313:W313 H316 D298:H298 H300 J304:P304 R304:AE304 F306:G306 I306 K306:AE306 G308:J308 L308:AF309 B271:F273 AD271:AE271 H271:S271 L267:AF267 B276:J276 B270:AF270 B268 L266 D258:G258 J258:L258 J260:L260 V260 B259:AF259 C261:I261 C269:I269 B267:J267 K261:AF261 H262 L262 G272:AE273 N262 P262 N260:Q260 S260:T260 M264 S264:V264 U266 W266 V262 X269:AF269 S262:T262 B265:AF265 B266:E266 X264 X262:AB262 Z264:AB264 B263:AC263 N258:AE258 Y266:AE266 AD262 AD264 AE262:AE263 AF260 B260:H260 X260:AD260 E274:AE275 B274:C275 D275 B258 M276:AE276 U271 J262 C257:I257 K257:AE257 B252:AE255 B365 B358:G358 B362:D364 B360:AC360 B356:D357 B355:AF355 C365:H366 B367:AF367 I369:I370 N368:AF368 B368:J368 K369:AF370 B367:H371 AF252:AF257 B262 D262 D268:AD268 B359 D359 B391 B396:J396 F387:K388 F387:H390 J387:O393 N387:P390 R387:T390 V387:X390 N387:AC388 Z387:AB390 F392:AC393 B390:AF390 AD387:AE393 J395:N395 Q395:U395 B387:AF387 C389:AE389 D391:AE391 B393:AF394 X395:AF395 B395:G395 B18:F20 H18:W18 AD18:AE18 G19:AE20 K21:AE22 B23:AE24 B21:C22 B37:F37 B36 C40 C42:D42 E40 B45:F45 B47:F49 H47:W47 AD47:AE47 G48:AE49 K50:AE52 B81:AE82 B50:C52 B75:F77 H75:W75 AD75:AE75 G76:AE77 K78:AE80 B78:C80 B65:F65 B64 C68 C70:D70 E68 B71:F71 B73:F73 B108:F110 H108:W108 AD108:AE108 G109:AE110 B113:AE114 K111:AE112 B111:C112 B141:F143 H141:W141 AD141:AE141 G142:AE143 B144:AE145 B174:F176 H174:W174 AD174:AE174 G175:AE176 B8:G8 K8:AF8 B7 B98:G98 K98:AF98 B97 B131:G131 K131:AF131 B130 B164:G166 K164:AF166 B163 L14:AF14 L16:AF16 L17:AC17 B46:H46 L46:AC46 B74:H74 L74:AC74 L104:AF104 B106:H106 L106:AF106 L137:AF137 B139:H139 L139:AF139 B172:H172 L172:AF172 B53:AE53 B107:AF107 B123:AF129 B140:AF140 B156:AF162 D36 D64 C44:F44 C72:F72 D7:G7 J7:L7 J15:L15 V15 N15:R15 T15 K105:L105 O105:R105 K138:L138 O138:R138 F38 F66 L43:AF43 L45:AF45 G44:H45 X71:AF71 L73:AF73 G71:H73 D105:H105 D138:H138 H38 H101 H134 H169 I8 I37 I65 I98 I131 I164:I166 C197:I197 J16 J45 J73 J99 J106 B104:J104 J132 B137:J137 J139 J167 J172 J103:K103 J136:K136 J171:K171 K197:T197 B195:J195 Y197:AF197 K37:AF37 B35:AF35 G36:G38 K36:L36 N36:S36 AE34:AF34 K65:AF65 B63:AF63 G64:G65 K64:L64 O64:P64 AE62:AF62 V64 S64 L9 L13 I14:J14 N195:AF195 B170:AF170 B177:AE177 B178:J178 M178:AE178 L38 L42 B43:J43 H66 L66 L99 L132 M101 M103 M134 M136 L167:M167 M169 M171 N9:O9 N99 N132 M11 S40 M40 S68 M68 Y68 T103 R132:T132 T136 S167:T167 T171 U105:V105 U138:V138 U196:U197 S11:V11 V40 T101:V101 T134:V134 T169:V169 B91:AF96 B122:Y122 D155:Y155 R9:T9 V9 S38:T38 V38 X38 V66 X132:Y132 X167:Y167 S66 X99:Y99 R99:T99 F9:H9 B12:AF12 C11:E11 B13:E13 D9 G11:H11 N7:Z7 AE70 B69:AF69 H68 X64:Z64 AE36 AE42 B41:AF41 G40:H40 B102:AF102 B103 D103:E103 B135:AF135 B136 D136:E136 B171 D171 B5:AF6 X66:Z66 V36:AB36 Y42:AB42 Y70:AB70 X103:AE103 X136:AE136 X171:AE171 X9:AB9 X11:AB11 AA38:AB38 X40:AB40 AB66 AA99:AB99 AA132:AB132 AA167:AB167 B10:AC10 B39:AC39 B67:AC67 B100:AC100 B133:AC133 B168:AC168 AB7:AD7 Y13:AE13 AC64:AE64 AD9 AD11 AD66 AD99 X101:AD101 AD132 X134:AD134 D163:AE163 AD167 X169:AD169 AE9:AE10 AE38:AE39 AE66:AE67 AE99:AE100 AE132:AE133 AE167:AE168 AF15 B14:H17 X15:AD15 AF44 AA44:AD44 AF72 Y72 AA72:AB72 D97:AF97 AF105 B105 X105:AD105 D130:AF130 AF138 B138 X138:AD138 B165:AF166 AH192 B196:AF196 B188:AF194">
    <cfRule type="colorScale" priority="21789">
      <colorScale>
        <cfvo type="num" val="1"/>
        <cfvo type="num" val="2"/>
        <cfvo type="num" val="3"/>
        <color rgb="FFF8696B"/>
        <color rgb="FFFFEB84"/>
        <color rgb="FF63BE7B"/>
      </colorScale>
    </cfRule>
  </conditionalFormatting>
  <conditionalFormatting sqref="C7">
    <cfRule type="cellIs" dxfId="2976" priority="40161" operator="equal">
      <formula>5</formula>
    </cfRule>
    <cfRule type="cellIs" dxfId="2975" priority="40162" operator="equal">
      <formula>4</formula>
    </cfRule>
    <cfRule type="cellIs" dxfId="2974" priority="40163" operator="equal">
      <formula>1</formula>
    </cfRule>
    <cfRule type="cellIs" dxfId="2973" priority="40164" operator="equal">
      <formula>3</formula>
    </cfRule>
    <cfRule type="cellIs" dxfId="2972" priority="40165" operator="equal">
      <formula>2</formula>
    </cfRule>
    <cfRule type="colorScale" priority="40166">
      <colorScale>
        <cfvo type="min" val="0"/>
        <cfvo type="percentile" val="50"/>
        <cfvo type="max" val="0"/>
        <color rgb="FFF8696B"/>
        <color rgb="FFFFEB84"/>
        <color rgb="FF63BE7B"/>
      </colorScale>
    </cfRule>
    <cfRule type="colorScale" priority="40167">
      <colorScale>
        <cfvo type="num" val="1"/>
        <cfvo type="num" val="2"/>
        <cfvo type="num" val="3"/>
        <color rgb="FFF8696B"/>
        <color rgb="FFFFEB84"/>
        <color rgb="FF63BE7B"/>
      </colorScale>
    </cfRule>
    <cfRule type="colorScale" priority="40168">
      <colorScale>
        <cfvo type="num" val="1"/>
        <cfvo type="num" val="2"/>
        <cfvo type="num" val="3"/>
        <color rgb="FFF8696B"/>
        <color rgb="FFFFEB84"/>
        <color rgb="FF63BE7B"/>
      </colorScale>
    </cfRule>
  </conditionalFormatting>
  <conditionalFormatting sqref="C9">
    <cfRule type="cellIs" dxfId="2971" priority="40180" operator="equal">
      <formula>5</formula>
    </cfRule>
    <cfRule type="cellIs" dxfId="2970" priority="40181" operator="equal">
      <formula>4</formula>
    </cfRule>
    <cfRule type="cellIs" dxfId="2969" priority="40182" operator="equal">
      <formula>1</formula>
    </cfRule>
    <cfRule type="cellIs" dxfId="2968" priority="40183" operator="equal">
      <formula>3</formula>
    </cfRule>
    <cfRule type="cellIs" dxfId="2967" priority="40184" operator="equal">
      <formula>2</formula>
    </cfRule>
    <cfRule type="colorScale" priority="40185">
      <colorScale>
        <cfvo type="min" val="0"/>
        <cfvo type="percentile" val="50"/>
        <cfvo type="max" val="0"/>
        <color rgb="FFF8696B"/>
        <color rgb="FFFFEB84"/>
        <color rgb="FF63BE7B"/>
      </colorScale>
    </cfRule>
    <cfRule type="colorScale" priority="40186">
      <colorScale>
        <cfvo type="num" val="1"/>
        <cfvo type="num" val="2"/>
        <cfvo type="num" val="3"/>
        <color rgb="FFF8696B"/>
        <color rgb="FFFFEB84"/>
        <color rgb="FF63BE7B"/>
      </colorScale>
    </cfRule>
    <cfRule type="colorScale" priority="40187">
      <colorScale>
        <cfvo type="num" val="1"/>
        <cfvo type="num" val="2"/>
        <cfvo type="num" val="3"/>
        <color rgb="FFF8696B"/>
        <color rgb="FFFFEB84"/>
        <color rgb="FF63BE7B"/>
      </colorScale>
    </cfRule>
    <cfRule type="colorScale" priority="40188">
      <colorScale>
        <cfvo type="num" val="1"/>
        <cfvo type="num" val="2"/>
        <cfvo type="num" val="3"/>
        <color rgb="FFF8696B"/>
        <color rgb="FFFFEB84"/>
        <color rgb="FF63BE7B"/>
      </colorScale>
    </cfRule>
    <cfRule type="colorScale" priority="40189">
      <colorScale>
        <cfvo type="num" val="1"/>
        <cfvo type="num" val="2"/>
        <cfvo type="num" val="3"/>
        <color rgb="FFF8696B"/>
        <color rgb="FFFFEB84"/>
        <color rgb="FF63BE7B"/>
      </colorScale>
    </cfRule>
    <cfRule type="colorScale" priority="40190">
      <colorScale>
        <cfvo type="num" val="1"/>
        <cfvo type="num" val="2"/>
        <cfvo type="num" val="3"/>
        <color rgb="FFF8696B"/>
        <color rgb="FFFFEB84"/>
        <color rgb="FF63BE7B"/>
      </colorScale>
    </cfRule>
    <cfRule type="colorScale" priority="40191">
      <colorScale>
        <cfvo type="num" val="1"/>
        <cfvo type="num" val="2"/>
        <cfvo type="num" val="3"/>
        <color rgb="FFF8696B"/>
        <color rgb="FFFFEB84"/>
        <color rgb="FF63BE7B"/>
      </colorScale>
    </cfRule>
  </conditionalFormatting>
  <conditionalFormatting sqref="C36">
    <cfRule type="cellIs" dxfId="2966" priority="36492" operator="equal">
      <formula>5</formula>
    </cfRule>
    <cfRule type="cellIs" dxfId="2965" priority="36493" operator="equal">
      <formula>4</formula>
    </cfRule>
    <cfRule type="cellIs" dxfId="2964" priority="36494" operator="equal">
      <formula>1</formula>
    </cfRule>
    <cfRule type="cellIs" dxfId="2963" priority="36495" operator="equal">
      <formula>3</formula>
    </cfRule>
    <cfRule type="cellIs" dxfId="2962" priority="36496" operator="equal">
      <formula>2</formula>
    </cfRule>
    <cfRule type="colorScale" priority="36497">
      <colorScale>
        <cfvo type="min" val="0"/>
        <cfvo type="percentile" val="50"/>
        <cfvo type="max" val="0"/>
        <color rgb="FFF8696B"/>
        <color rgb="FFFFEB84"/>
        <color rgb="FF63BE7B"/>
      </colorScale>
    </cfRule>
    <cfRule type="colorScale" priority="36498">
      <colorScale>
        <cfvo type="num" val="1"/>
        <cfvo type="num" val="2"/>
        <cfvo type="num" val="3"/>
        <color rgb="FFF8696B"/>
        <color rgb="FFFFEB84"/>
        <color rgb="FF63BE7B"/>
      </colorScale>
    </cfRule>
    <cfRule type="colorScale" priority="36499">
      <colorScale>
        <cfvo type="num" val="1"/>
        <cfvo type="num" val="2"/>
        <cfvo type="num" val="3"/>
        <color rgb="FFF8696B"/>
        <color rgb="FFFFEB84"/>
        <color rgb="FF63BE7B"/>
      </colorScale>
    </cfRule>
  </conditionalFormatting>
  <conditionalFormatting sqref="C38">
    <cfRule type="cellIs" dxfId="2961" priority="36502" operator="equal">
      <formula>5</formula>
    </cfRule>
    <cfRule type="cellIs" dxfId="2960" priority="36503" operator="equal">
      <formula>4</formula>
    </cfRule>
    <cfRule type="cellIs" dxfId="2959" priority="36504" operator="equal">
      <formula>1</formula>
    </cfRule>
    <cfRule type="colorScale" priority="36507">
      <colorScale>
        <cfvo type="min" val="0"/>
        <cfvo type="percentile" val="50"/>
        <cfvo type="max" val="0"/>
        <color rgb="FFF8696B"/>
        <color rgb="FFFFEB84"/>
        <color rgb="FF63BE7B"/>
      </colorScale>
    </cfRule>
    <cfRule type="colorScale" priority="36508">
      <colorScale>
        <cfvo type="num" val="1"/>
        <cfvo type="num" val="2"/>
        <cfvo type="num" val="3"/>
        <color rgb="FFF8696B"/>
        <color rgb="FFFFEB84"/>
        <color rgb="FF63BE7B"/>
      </colorScale>
    </cfRule>
    <cfRule type="colorScale" priority="36509">
      <colorScale>
        <cfvo type="num" val="1"/>
        <cfvo type="num" val="2"/>
        <cfvo type="num" val="3"/>
        <color rgb="FFF8696B"/>
        <color rgb="FFFFEB84"/>
        <color rgb="FF63BE7B"/>
      </colorScale>
    </cfRule>
    <cfRule type="colorScale" priority="36510">
      <colorScale>
        <cfvo type="num" val="1"/>
        <cfvo type="num" val="2"/>
        <cfvo type="num" val="3"/>
        <color rgb="FFF8696B"/>
        <color rgb="FFFFEB84"/>
        <color rgb="FF63BE7B"/>
      </colorScale>
    </cfRule>
    <cfRule type="colorScale" priority="36511">
      <colorScale>
        <cfvo type="num" val="1"/>
        <cfvo type="num" val="2"/>
        <cfvo type="num" val="3"/>
        <color rgb="FFF8696B"/>
        <color rgb="FFFFEB84"/>
        <color rgb="FF63BE7B"/>
      </colorScale>
    </cfRule>
    <cfRule type="colorScale" priority="36512">
      <colorScale>
        <cfvo type="num" val="1"/>
        <cfvo type="num" val="2"/>
        <cfvo type="num" val="3"/>
        <color rgb="FFF8696B"/>
        <color rgb="FFFFEB84"/>
        <color rgb="FF63BE7B"/>
      </colorScale>
    </cfRule>
    <cfRule type="colorScale" priority="36513">
      <colorScale>
        <cfvo type="num" val="1"/>
        <cfvo type="num" val="2"/>
        <cfvo type="num" val="3"/>
        <color rgb="FFF8696B"/>
        <color rgb="FFFFEB84"/>
        <color rgb="FF63BE7B"/>
      </colorScale>
    </cfRule>
  </conditionalFormatting>
  <conditionalFormatting sqref="C64">
    <cfRule type="cellIs" dxfId="2958" priority="35447" operator="equal">
      <formula>5</formula>
    </cfRule>
    <cfRule type="cellIs" dxfId="2957" priority="35448" operator="equal">
      <formula>4</formula>
    </cfRule>
    <cfRule type="cellIs" dxfId="2956" priority="35449" operator="equal">
      <formula>1</formula>
    </cfRule>
    <cfRule type="cellIs" dxfId="2955" priority="35450" operator="equal">
      <formula>3</formula>
    </cfRule>
    <cfRule type="cellIs" dxfId="2954" priority="35451" operator="equal">
      <formula>2</formula>
    </cfRule>
    <cfRule type="colorScale" priority="35452">
      <colorScale>
        <cfvo type="min" val="0"/>
        <cfvo type="percentile" val="50"/>
        <cfvo type="max" val="0"/>
        <color rgb="FFF8696B"/>
        <color rgb="FFFFEB84"/>
        <color rgb="FF63BE7B"/>
      </colorScale>
    </cfRule>
    <cfRule type="colorScale" priority="35453">
      <colorScale>
        <cfvo type="num" val="1"/>
        <cfvo type="num" val="2"/>
        <cfvo type="num" val="3"/>
        <color rgb="FFF8696B"/>
        <color rgb="FFFFEB84"/>
        <color rgb="FF63BE7B"/>
      </colorScale>
    </cfRule>
    <cfRule type="colorScale" priority="35454">
      <colorScale>
        <cfvo type="num" val="1"/>
        <cfvo type="num" val="2"/>
        <cfvo type="num" val="3"/>
        <color rgb="FFF8696B"/>
        <color rgb="FFFFEB84"/>
        <color rgb="FF63BE7B"/>
      </colorScale>
    </cfRule>
  </conditionalFormatting>
  <conditionalFormatting sqref="C66">
    <cfRule type="cellIs" dxfId="2953" priority="35457" operator="equal">
      <formula>5</formula>
    </cfRule>
    <cfRule type="cellIs" dxfId="2952" priority="35458" operator="equal">
      <formula>4</formula>
    </cfRule>
    <cfRule type="cellIs" dxfId="2951" priority="35459" operator="equal">
      <formula>1</formula>
    </cfRule>
    <cfRule type="colorScale" priority="35462">
      <colorScale>
        <cfvo type="min" val="0"/>
        <cfvo type="percentile" val="50"/>
        <cfvo type="max" val="0"/>
        <color rgb="FFF8696B"/>
        <color rgb="FFFFEB84"/>
        <color rgb="FF63BE7B"/>
      </colorScale>
    </cfRule>
    <cfRule type="colorScale" priority="35463">
      <colorScale>
        <cfvo type="num" val="1"/>
        <cfvo type="num" val="2"/>
        <cfvo type="num" val="3"/>
        <color rgb="FFF8696B"/>
        <color rgb="FFFFEB84"/>
        <color rgb="FF63BE7B"/>
      </colorScale>
    </cfRule>
    <cfRule type="colorScale" priority="35464">
      <colorScale>
        <cfvo type="num" val="1"/>
        <cfvo type="num" val="2"/>
        <cfvo type="num" val="3"/>
        <color rgb="FFF8696B"/>
        <color rgb="FFFFEB84"/>
        <color rgb="FF63BE7B"/>
      </colorScale>
    </cfRule>
    <cfRule type="colorScale" priority="35465">
      <colorScale>
        <cfvo type="num" val="1"/>
        <cfvo type="num" val="2"/>
        <cfvo type="num" val="3"/>
        <color rgb="FFF8696B"/>
        <color rgb="FFFFEB84"/>
        <color rgb="FF63BE7B"/>
      </colorScale>
    </cfRule>
    <cfRule type="colorScale" priority="35466">
      <colorScale>
        <cfvo type="num" val="1"/>
        <cfvo type="num" val="2"/>
        <cfvo type="num" val="3"/>
        <color rgb="FFF8696B"/>
        <color rgb="FFFFEB84"/>
        <color rgb="FF63BE7B"/>
      </colorScale>
    </cfRule>
    <cfRule type="colorScale" priority="35467">
      <colorScale>
        <cfvo type="num" val="1"/>
        <cfvo type="num" val="2"/>
        <cfvo type="num" val="3"/>
        <color rgb="FFF8696B"/>
        <color rgb="FFFFEB84"/>
        <color rgb="FF63BE7B"/>
      </colorScale>
    </cfRule>
    <cfRule type="colorScale" priority="35468">
      <colorScale>
        <cfvo type="num" val="1"/>
        <cfvo type="num" val="2"/>
        <cfvo type="num" val="3"/>
        <color rgb="FFF8696B"/>
        <color rgb="FFFFEB84"/>
        <color rgb="FF63BE7B"/>
      </colorScale>
    </cfRule>
  </conditionalFormatting>
  <conditionalFormatting sqref="C97">
    <cfRule type="cellIs" dxfId="2950" priority="37707" operator="equal">
      <formula>5</formula>
    </cfRule>
    <cfRule type="cellIs" dxfId="2949" priority="37708" operator="equal">
      <formula>4</formula>
    </cfRule>
    <cfRule type="cellIs" dxfId="2948" priority="37709" operator="equal">
      <formula>1</formula>
    </cfRule>
    <cfRule type="cellIs" dxfId="2947" priority="37710" operator="equal">
      <formula>3</formula>
    </cfRule>
    <cfRule type="cellIs" dxfId="2946" priority="37711" operator="equal">
      <formula>2</formula>
    </cfRule>
    <cfRule type="colorScale" priority="37712">
      <colorScale>
        <cfvo type="min" val="0"/>
        <cfvo type="percentile" val="50"/>
        <cfvo type="max" val="0"/>
        <color rgb="FFF8696B"/>
        <color rgb="FFFFEB84"/>
        <color rgb="FF63BE7B"/>
      </colorScale>
    </cfRule>
    <cfRule type="colorScale" priority="37713">
      <colorScale>
        <cfvo type="num" val="1"/>
        <cfvo type="num" val="2"/>
        <cfvo type="num" val="3"/>
        <color rgb="FFF8696B"/>
        <color rgb="FFFFEB84"/>
        <color rgb="FF63BE7B"/>
      </colorScale>
    </cfRule>
    <cfRule type="colorScale" priority="37714">
      <colorScale>
        <cfvo type="num" val="1"/>
        <cfvo type="num" val="2"/>
        <cfvo type="num" val="3"/>
        <color rgb="FFF8696B"/>
        <color rgb="FFFFEB84"/>
        <color rgb="FF63BE7B"/>
      </colorScale>
    </cfRule>
  </conditionalFormatting>
  <conditionalFormatting sqref="C103">
    <cfRule type="cellIs" dxfId="2945" priority="27865" operator="equal">
      <formula>5</formula>
    </cfRule>
    <cfRule type="cellIs" dxfId="2944" priority="27866" operator="equal">
      <formula>4</formula>
    </cfRule>
    <cfRule type="cellIs" dxfId="2943" priority="27867" operator="equal">
      <formula>1</formula>
    </cfRule>
    <cfRule type="cellIs" dxfId="2942" priority="27868" operator="equal">
      <formula>3</formula>
    </cfRule>
    <cfRule type="cellIs" dxfId="2941" priority="27869" operator="equal">
      <formula>2</formula>
    </cfRule>
    <cfRule type="colorScale" priority="27870">
      <colorScale>
        <cfvo type="num" val="1"/>
        <cfvo type="num" val="2"/>
        <cfvo type="num" val="3"/>
        <color rgb="FFF8696B"/>
        <color rgb="FFFFEB84"/>
        <color rgb="FF63BE7B"/>
      </colorScale>
    </cfRule>
    <cfRule type="colorScale" priority="27871">
      <colorScale>
        <cfvo type="num" val="1"/>
        <cfvo type="num" val="2"/>
        <cfvo type="num" val="3"/>
        <color rgb="FFF8696B"/>
        <color rgb="FFFFEB84"/>
        <color rgb="FF63BE7B"/>
      </colorScale>
    </cfRule>
    <cfRule type="colorScale" priority="27872">
      <colorScale>
        <cfvo type="min" val="0"/>
        <cfvo type="percentile" val="50"/>
        <cfvo type="max" val="0"/>
        <color rgb="FFF8696B"/>
        <color rgb="FFFFEB84"/>
        <color rgb="FF63BE7B"/>
      </colorScale>
    </cfRule>
  </conditionalFormatting>
  <conditionalFormatting sqref="C105">
    <cfRule type="cellIs" dxfId="2940" priority="27857" operator="equal">
      <formula>5</formula>
    </cfRule>
    <cfRule type="cellIs" dxfId="2939" priority="27858" operator="equal">
      <formula>4</formula>
    </cfRule>
    <cfRule type="cellIs" dxfId="2938" priority="27859" operator="equal">
      <formula>1</formula>
    </cfRule>
    <cfRule type="cellIs" dxfId="2937" priority="27860" operator="equal">
      <formula>3</formula>
    </cfRule>
    <cfRule type="cellIs" dxfId="2936" priority="27861" operator="equal">
      <formula>2</formula>
    </cfRule>
    <cfRule type="colorScale" priority="27862">
      <colorScale>
        <cfvo type="num" val="1"/>
        <cfvo type="num" val="2"/>
        <cfvo type="num" val="3"/>
        <color rgb="FFF8696B"/>
        <color rgb="FFFFEB84"/>
        <color rgb="FF63BE7B"/>
      </colorScale>
    </cfRule>
    <cfRule type="colorScale" priority="27863">
      <colorScale>
        <cfvo type="num" val="1"/>
        <cfvo type="num" val="2"/>
        <cfvo type="num" val="3"/>
        <color rgb="FFF8696B"/>
        <color rgb="FFFFEB84"/>
        <color rgb="FF63BE7B"/>
      </colorScale>
    </cfRule>
    <cfRule type="colorScale" priority="27864">
      <colorScale>
        <cfvo type="min" val="0"/>
        <cfvo type="percentile" val="50"/>
        <cfvo type="max" val="0"/>
        <color rgb="FFF8696B"/>
        <color rgb="FFFFEB84"/>
        <color rgb="FF63BE7B"/>
      </colorScale>
    </cfRule>
  </conditionalFormatting>
  <conditionalFormatting sqref="C130">
    <cfRule type="cellIs" dxfId="2935" priority="26285" operator="equal">
      <formula>5</formula>
    </cfRule>
    <cfRule type="cellIs" dxfId="2934" priority="26286" operator="equal">
      <formula>4</formula>
    </cfRule>
    <cfRule type="cellIs" dxfId="2933" priority="26287" operator="equal">
      <formula>1</formula>
    </cfRule>
    <cfRule type="cellIs" dxfId="2932" priority="26288" operator="equal">
      <formula>3</formula>
    </cfRule>
    <cfRule type="cellIs" dxfId="2931" priority="26289" operator="equal">
      <formula>2</formula>
    </cfRule>
    <cfRule type="colorScale" priority="26290">
      <colorScale>
        <cfvo type="min" val="0"/>
        <cfvo type="percentile" val="50"/>
        <cfvo type="max" val="0"/>
        <color rgb="FFF8696B"/>
        <color rgb="FFFFEB84"/>
        <color rgb="FF63BE7B"/>
      </colorScale>
    </cfRule>
    <cfRule type="colorScale" priority="26291">
      <colorScale>
        <cfvo type="num" val="1"/>
        <cfvo type="num" val="2"/>
        <cfvo type="num" val="3"/>
        <color rgb="FFF8696B"/>
        <color rgb="FFFFEB84"/>
        <color rgb="FF63BE7B"/>
      </colorScale>
    </cfRule>
    <cfRule type="colorScale" priority="26292">
      <colorScale>
        <cfvo type="num" val="1"/>
        <cfvo type="num" val="2"/>
        <cfvo type="num" val="3"/>
        <color rgb="FFF8696B"/>
        <color rgb="FFFFEB84"/>
        <color rgb="FF63BE7B"/>
      </colorScale>
    </cfRule>
  </conditionalFormatting>
  <conditionalFormatting sqref="C136">
    <cfRule type="cellIs" dxfId="2930" priority="26000" operator="equal">
      <formula>5</formula>
    </cfRule>
    <cfRule type="cellIs" dxfId="2929" priority="26001" operator="equal">
      <formula>4</formula>
    </cfRule>
    <cfRule type="cellIs" dxfId="2928" priority="26002" operator="equal">
      <formula>1</formula>
    </cfRule>
    <cfRule type="cellIs" dxfId="2927" priority="26003" operator="equal">
      <formula>3</formula>
    </cfRule>
    <cfRule type="cellIs" dxfId="2926" priority="26004" operator="equal">
      <formula>2</formula>
    </cfRule>
    <cfRule type="colorScale" priority="26005">
      <colorScale>
        <cfvo type="num" val="1"/>
        <cfvo type="num" val="2"/>
        <cfvo type="num" val="3"/>
        <color rgb="FFF8696B"/>
        <color rgb="FFFFEB84"/>
        <color rgb="FF63BE7B"/>
      </colorScale>
    </cfRule>
    <cfRule type="colorScale" priority="26006">
      <colorScale>
        <cfvo type="num" val="1"/>
        <cfvo type="num" val="2"/>
        <cfvo type="num" val="3"/>
        <color rgb="FFF8696B"/>
        <color rgb="FFFFEB84"/>
        <color rgb="FF63BE7B"/>
      </colorScale>
    </cfRule>
    <cfRule type="colorScale" priority="26007">
      <colorScale>
        <cfvo type="min" val="0"/>
        <cfvo type="percentile" val="50"/>
        <cfvo type="max" val="0"/>
        <color rgb="FFF8696B"/>
        <color rgb="FFFFEB84"/>
        <color rgb="FF63BE7B"/>
      </colorScale>
    </cfRule>
  </conditionalFormatting>
  <conditionalFormatting sqref="C138">
    <cfRule type="cellIs" dxfId="2925" priority="25992" operator="equal">
      <formula>5</formula>
    </cfRule>
    <cfRule type="cellIs" dxfId="2924" priority="25993" operator="equal">
      <formula>4</formula>
    </cfRule>
    <cfRule type="cellIs" dxfId="2923" priority="25994" operator="equal">
      <formula>1</formula>
    </cfRule>
    <cfRule type="cellIs" dxfId="2922" priority="25995" operator="equal">
      <formula>3</formula>
    </cfRule>
    <cfRule type="cellIs" dxfId="2921" priority="25996" operator="equal">
      <formula>2</formula>
    </cfRule>
    <cfRule type="colorScale" priority="25997">
      <colorScale>
        <cfvo type="num" val="1"/>
        <cfvo type="num" val="2"/>
        <cfvo type="num" val="3"/>
        <color rgb="FFF8696B"/>
        <color rgb="FFFFEB84"/>
        <color rgb="FF63BE7B"/>
      </colorScale>
    </cfRule>
    <cfRule type="colorScale" priority="25998">
      <colorScale>
        <cfvo type="num" val="1"/>
        <cfvo type="num" val="2"/>
        <cfvo type="num" val="3"/>
        <color rgb="FFF8696B"/>
        <color rgb="FFFFEB84"/>
        <color rgb="FF63BE7B"/>
      </colorScale>
    </cfRule>
    <cfRule type="colorScale" priority="25999">
      <colorScale>
        <cfvo type="min" val="0"/>
        <cfvo type="percentile" val="50"/>
        <cfvo type="max" val="0"/>
        <color rgb="FFF8696B"/>
        <color rgb="FFFFEB84"/>
        <color rgb="FF63BE7B"/>
      </colorScale>
    </cfRule>
  </conditionalFormatting>
  <conditionalFormatting sqref="C155">
    <cfRule type="cellIs" dxfId="2920" priority="19319" operator="equal">
      <formula>5</formula>
    </cfRule>
    <cfRule type="cellIs" dxfId="2919" priority="19320" operator="equal">
      <formula>4</formula>
    </cfRule>
    <cfRule type="cellIs" dxfId="2918" priority="19321" operator="equal">
      <formula>1</formula>
    </cfRule>
    <cfRule type="cellIs" dxfId="2917" priority="19322" operator="equal">
      <formula>3</formula>
    </cfRule>
    <cfRule type="cellIs" dxfId="2916" priority="19323" operator="equal">
      <formula>2</formula>
    </cfRule>
    <cfRule type="colorScale" priority="19324">
      <colorScale>
        <cfvo type="min" val="0"/>
        <cfvo type="percentile" val="50"/>
        <cfvo type="max" val="0"/>
        <color rgb="FFF8696B"/>
        <color rgb="FFFFEB84"/>
        <color rgb="FF63BE7B"/>
      </colorScale>
    </cfRule>
    <cfRule type="colorScale" priority="19325">
      <colorScale>
        <cfvo type="num" val="1"/>
        <cfvo type="num" val="2"/>
        <cfvo type="num" val="3"/>
        <color rgb="FFF8696B"/>
        <color rgb="FFFFEB84"/>
        <color rgb="FF63BE7B"/>
      </colorScale>
    </cfRule>
    <cfRule type="colorScale" priority="19326">
      <colorScale>
        <cfvo type="num" val="1"/>
        <cfvo type="num" val="2"/>
        <cfvo type="num" val="3"/>
        <color rgb="FFF8696B"/>
        <color rgb="FFFFEB84"/>
        <color rgb="FF63BE7B"/>
      </colorScale>
    </cfRule>
    <cfRule type="colorScale" priority="19327">
      <colorScale>
        <cfvo type="num" val="1"/>
        <cfvo type="num" val="2"/>
        <cfvo type="num" val="3"/>
        <color rgb="FFF8696B"/>
        <color rgb="FFFFEB84"/>
        <color rgb="FF63BE7B"/>
      </colorScale>
    </cfRule>
    <cfRule type="colorScale" priority="19328">
      <colorScale>
        <cfvo type="num" val="1"/>
        <cfvo type="num" val="2"/>
        <cfvo type="num" val="3"/>
        <color rgb="FFF8696B"/>
        <color rgb="FFFFEB84"/>
        <color rgb="FF63BE7B"/>
      </colorScale>
    </cfRule>
    <cfRule type="colorScale" priority="19329">
      <colorScale>
        <cfvo type="num" val="1"/>
        <cfvo type="num" val="2"/>
        <cfvo type="num" val="3"/>
        <color rgb="FFF8696B"/>
        <color rgb="FFFFEB84"/>
        <color rgb="FF63BE7B"/>
      </colorScale>
    </cfRule>
    <cfRule type="colorScale" priority="19330">
      <colorScale>
        <cfvo type="num" val="1"/>
        <cfvo type="num" val="2"/>
        <cfvo type="num" val="3"/>
        <color rgb="FFF8696B"/>
        <color rgb="FFFFEB84"/>
        <color rgb="FF63BE7B"/>
      </colorScale>
    </cfRule>
  </conditionalFormatting>
  <conditionalFormatting sqref="C163">
    <cfRule type="cellIs" dxfId="2915" priority="25204" operator="equal">
      <formula>5</formula>
    </cfRule>
    <cfRule type="cellIs" dxfId="2914" priority="25205" operator="equal">
      <formula>4</formula>
    </cfRule>
    <cfRule type="cellIs" dxfId="2913" priority="25206" operator="equal">
      <formula>1</formula>
    </cfRule>
    <cfRule type="cellIs" dxfId="2912" priority="25207" operator="equal">
      <formula>3</formula>
    </cfRule>
    <cfRule type="cellIs" dxfId="2911" priority="25208" operator="equal">
      <formula>2</formula>
    </cfRule>
    <cfRule type="colorScale" priority="25209">
      <colorScale>
        <cfvo type="min" val="0"/>
        <cfvo type="percentile" val="50"/>
        <cfvo type="max" val="0"/>
        <color rgb="FFF8696B"/>
        <color rgb="FFFFEB84"/>
        <color rgb="FF63BE7B"/>
      </colorScale>
    </cfRule>
    <cfRule type="colorScale" priority="25210">
      <colorScale>
        <cfvo type="num" val="1"/>
        <cfvo type="num" val="2"/>
        <cfvo type="num" val="3"/>
        <color rgb="FFF8696B"/>
        <color rgb="FFFFEB84"/>
        <color rgb="FF63BE7B"/>
      </colorScale>
    </cfRule>
    <cfRule type="colorScale" priority="25211">
      <colorScale>
        <cfvo type="num" val="1"/>
        <cfvo type="num" val="2"/>
        <cfvo type="num" val="3"/>
        <color rgb="FFF8696B"/>
        <color rgb="FFFFEB84"/>
        <color rgb="FF63BE7B"/>
      </colorScale>
    </cfRule>
  </conditionalFormatting>
  <conditionalFormatting sqref="C165">
    <cfRule type="cellIs" dxfId="2910" priority="24911" operator="equal">
      <formula>5</formula>
    </cfRule>
    <cfRule type="cellIs" dxfId="2909" priority="24912" operator="equal">
      <formula>4</formula>
    </cfRule>
    <cfRule type="cellIs" dxfId="2908" priority="24913" operator="equal">
      <formula>1</formula>
    </cfRule>
    <cfRule type="cellIs" dxfId="2907" priority="24914" operator="equal">
      <formula>3</formula>
    </cfRule>
    <cfRule type="cellIs" dxfId="2906" priority="24915" operator="equal">
      <formula>2</formula>
    </cfRule>
    <cfRule type="colorScale" priority="24916">
      <colorScale>
        <cfvo type="num" val="1"/>
        <cfvo type="num" val="2"/>
        <cfvo type="num" val="3"/>
        <color rgb="FFF8696B"/>
        <color rgb="FFFFEB84"/>
        <color rgb="FF63BE7B"/>
      </colorScale>
    </cfRule>
    <cfRule type="colorScale" priority="24917">
      <colorScale>
        <cfvo type="num" val="1"/>
        <cfvo type="num" val="2"/>
        <cfvo type="num" val="3"/>
        <color rgb="FFF8696B"/>
        <color rgb="FFFFEB84"/>
        <color rgb="FF63BE7B"/>
      </colorScale>
    </cfRule>
    <cfRule type="colorScale" priority="24918">
      <colorScale>
        <cfvo type="min" val="0"/>
        <cfvo type="percentile" val="50"/>
        <cfvo type="max" val="0"/>
        <color rgb="FFF8696B"/>
        <color rgb="FFFFEB84"/>
        <color rgb="FF63BE7B"/>
      </colorScale>
    </cfRule>
  </conditionalFormatting>
  <conditionalFormatting sqref="C171">
    <cfRule type="cellIs" dxfId="2905" priority="24919" operator="equal">
      <formula>5</formula>
    </cfRule>
    <cfRule type="cellIs" dxfId="2904" priority="24920" operator="equal">
      <formula>4</formula>
    </cfRule>
    <cfRule type="cellIs" dxfId="2903" priority="24921" operator="equal">
      <formula>1</formula>
    </cfRule>
    <cfRule type="cellIs" dxfId="2902" priority="24922" operator="equal">
      <formula>3</formula>
    </cfRule>
    <cfRule type="cellIs" dxfId="2901" priority="24923" operator="equal">
      <formula>2</formula>
    </cfRule>
    <cfRule type="colorScale" priority="24924">
      <colorScale>
        <cfvo type="num" val="1"/>
        <cfvo type="num" val="2"/>
        <cfvo type="num" val="3"/>
        <color rgb="FFF8696B"/>
        <color rgb="FFFFEB84"/>
        <color rgb="FF63BE7B"/>
      </colorScale>
    </cfRule>
    <cfRule type="colorScale" priority="24925">
      <colorScale>
        <cfvo type="num" val="1"/>
        <cfvo type="num" val="2"/>
        <cfvo type="num" val="3"/>
        <color rgb="FFF8696B"/>
        <color rgb="FFFFEB84"/>
        <color rgb="FF63BE7B"/>
      </colorScale>
    </cfRule>
    <cfRule type="colorScale" priority="24926">
      <colorScale>
        <cfvo type="min" val="0"/>
        <cfvo type="percentile" val="50"/>
        <cfvo type="max" val="0"/>
        <color rgb="FFF8696B"/>
        <color rgb="FFFFEB84"/>
        <color rgb="FF63BE7B"/>
      </colorScale>
    </cfRule>
  </conditionalFormatting>
  <conditionalFormatting sqref="H414:I414 H470:I470 H497:I497 I416:J416 I418:J418 I444:J444 I446:J446 I472:J472 I474:J474 I499:J499 I501:J501 I391:J391 H357:I357 I226:J226 I228:J228 I359:J359 I361:J361 F304 I304:K304 G306 I306:L306 N304:P304 S304:U304 X304:Z304 AC304:AE304 N306:Q306 S306:V306 X306:AA306 AC306:AE306 J308:L308 O308:Q308 T308:V308 Y308:AA308 AD308:AF308 I262:J262 I264:J264 I393:K393 I389 M391:N391 M393:O393 M389">
    <cfRule type="cellIs" dxfId="2900" priority="15217" operator="equal">
      <formula>2</formula>
    </cfRule>
  </conditionalFormatting>
  <conditionalFormatting sqref="C222">
    <cfRule type="cellIs" dxfId="2899" priority="16664" operator="equal">
      <formula>5</formula>
    </cfRule>
    <cfRule type="cellIs" dxfId="2898" priority="16665" operator="equal">
      <formula>4</formula>
    </cfRule>
    <cfRule type="cellIs" dxfId="2897" priority="16666" operator="equal">
      <formula>1</formula>
    </cfRule>
    <cfRule type="cellIs" dxfId="2896" priority="16667" operator="equal">
      <formula>3</formula>
    </cfRule>
    <cfRule type="cellIs" dxfId="2895" priority="16668" operator="equal">
      <formula>2</formula>
    </cfRule>
    <cfRule type="colorScale" priority="16669">
      <colorScale>
        <cfvo type="min" val="0"/>
        <cfvo type="percentile" val="50"/>
        <cfvo type="max" val="0"/>
        <color rgb="FFF8696B"/>
        <color rgb="FFFFEB84"/>
        <color rgb="FF63BE7B"/>
      </colorScale>
    </cfRule>
    <cfRule type="colorScale" priority="16670">
      <colorScale>
        <cfvo type="num" val="1"/>
        <cfvo type="num" val="2"/>
        <cfvo type="num" val="3"/>
        <color rgb="FFF8696B"/>
        <color rgb="FFFFEB84"/>
        <color rgb="FF63BE7B"/>
      </colorScale>
    </cfRule>
    <cfRule type="colorScale" priority="16671">
      <colorScale>
        <cfvo type="num" val="1"/>
        <cfvo type="num" val="2"/>
        <cfvo type="num" val="3"/>
        <color rgb="FFF8696B"/>
        <color rgb="FFFFEB84"/>
        <color rgb="FF63BE7B"/>
      </colorScale>
    </cfRule>
  </conditionalFormatting>
  <conditionalFormatting sqref="C232">
    <cfRule type="cellIs" dxfId="2894" priority="6977" operator="equal">
      <formula>5</formula>
    </cfRule>
    <cfRule type="cellIs" dxfId="2893" priority="6978" operator="equal">
      <formula>4</formula>
    </cfRule>
    <cfRule type="cellIs" dxfId="2892" priority="6979" operator="equal">
      <formula>1</formula>
    </cfRule>
    <cfRule type="cellIs" dxfId="2891" priority="6980" operator="equal">
      <formula>3</formula>
    </cfRule>
    <cfRule type="cellIs" dxfId="2890" priority="6981" operator="equal">
      <formula>2</formula>
    </cfRule>
    <cfRule type="colorScale" priority="6982">
      <colorScale>
        <cfvo type="min" val="0"/>
        <cfvo type="percentile" val="50"/>
        <cfvo type="max" val="0"/>
        <color rgb="FFF8696B"/>
        <color rgb="FFFFEB84"/>
        <color rgb="FF63BE7B"/>
      </colorScale>
    </cfRule>
    <cfRule type="colorScale" priority="6983">
      <colorScale>
        <cfvo type="num" val="1"/>
        <cfvo type="num" val="2"/>
        <cfvo type="num" val="3"/>
        <color rgb="FFF8696B"/>
        <color rgb="FFFFEB84"/>
        <color rgb="FF63BE7B"/>
      </colorScale>
    </cfRule>
    <cfRule type="colorScale" priority="6984">
      <colorScale>
        <cfvo type="num" val="1"/>
        <cfvo type="num" val="2"/>
        <cfvo type="num" val="3"/>
        <color rgb="FFF8696B"/>
        <color rgb="FFFFEB84"/>
        <color rgb="FF63BE7B"/>
      </colorScale>
    </cfRule>
  </conditionalFormatting>
  <conditionalFormatting sqref="C329">
    <cfRule type="cellIs" dxfId="2889" priority="21476" operator="equal">
      <formula>5</formula>
    </cfRule>
    <cfRule type="cellIs" dxfId="2888" priority="21477" operator="equal">
      <formula>4</formula>
    </cfRule>
    <cfRule type="cellIs" dxfId="2887" priority="21478" operator="equal">
      <formula>1</formula>
    </cfRule>
    <cfRule type="cellIs" dxfId="2886" priority="21479" operator="equal">
      <formula>3</formula>
    </cfRule>
    <cfRule type="cellIs" dxfId="2885" priority="21480" operator="equal">
      <formula>2</formula>
    </cfRule>
    <cfRule type="colorScale" priority="21481">
      <colorScale>
        <cfvo type="min" val="0"/>
        <cfvo type="percentile" val="50"/>
        <cfvo type="max" val="0"/>
        <color rgb="FFF8696B"/>
        <color rgb="FFFFEB84"/>
        <color rgb="FF63BE7B"/>
      </colorScale>
    </cfRule>
    <cfRule type="colorScale" priority="21482">
      <colorScale>
        <cfvo type="num" val="1"/>
        <cfvo type="num" val="2"/>
        <cfvo type="num" val="3"/>
        <color rgb="FFF8696B"/>
        <color rgb="FFFFEB84"/>
        <color rgb="FF63BE7B"/>
      </colorScale>
    </cfRule>
    <cfRule type="colorScale" priority="21483">
      <colorScale>
        <cfvo type="num" val="1"/>
        <cfvo type="num" val="2"/>
        <cfvo type="num" val="3"/>
        <color rgb="FFF8696B"/>
        <color rgb="FFFFEB84"/>
        <color rgb="FF63BE7B"/>
      </colorScale>
    </cfRule>
  </conditionalFormatting>
  <conditionalFormatting sqref="C357">
    <cfRule type="cellIs" dxfId="2884" priority="18423" operator="equal">
      <formula>5</formula>
    </cfRule>
    <cfRule type="cellIs" dxfId="2883" priority="18424" operator="equal">
      <formula>4</formula>
    </cfRule>
    <cfRule type="cellIs" dxfId="2882" priority="18425" operator="equal">
      <formula>1</formula>
    </cfRule>
    <cfRule type="cellIs" dxfId="2881" priority="18426" operator="equal">
      <formula>3</formula>
    </cfRule>
    <cfRule type="cellIs" dxfId="2880" priority="18427" operator="equal">
      <formula>2</formula>
    </cfRule>
    <cfRule type="colorScale" priority="18428">
      <colorScale>
        <cfvo type="min" val="0"/>
        <cfvo type="percentile" val="50"/>
        <cfvo type="max" val="0"/>
        <color rgb="FFF8696B"/>
        <color rgb="FFFFEB84"/>
        <color rgb="FF63BE7B"/>
      </colorScale>
    </cfRule>
    <cfRule type="colorScale" priority="18429">
      <colorScale>
        <cfvo type="num" val="1"/>
        <cfvo type="num" val="2"/>
        <cfvo type="num" val="3"/>
        <color rgb="FFF8696B"/>
        <color rgb="FFFFEB84"/>
        <color rgb="FF63BE7B"/>
      </colorScale>
    </cfRule>
    <cfRule type="colorScale" priority="18430">
      <colorScale>
        <cfvo type="num" val="1"/>
        <cfvo type="num" val="2"/>
        <cfvo type="num" val="3"/>
        <color rgb="FFF8696B"/>
        <color rgb="FFFFEB84"/>
        <color rgb="FF63BE7B"/>
      </colorScale>
    </cfRule>
  </conditionalFormatting>
  <conditionalFormatting sqref="C389">
    <cfRule type="cellIs" dxfId="2879" priority="11798" operator="equal">
      <formula>5</formula>
    </cfRule>
    <cfRule type="cellIs" dxfId="2878" priority="11799" operator="equal">
      <formula>4</formula>
    </cfRule>
    <cfRule type="cellIs" dxfId="2877" priority="11800" operator="equal">
      <formula>1</formula>
    </cfRule>
    <cfRule type="cellIs" dxfId="2876" priority="11801" operator="equal">
      <formula>3</formula>
    </cfRule>
    <cfRule type="cellIs" dxfId="2875" priority="11802" operator="equal">
      <formula>2</formula>
    </cfRule>
    <cfRule type="colorScale" priority="11803">
      <colorScale>
        <cfvo type="min" val="0"/>
        <cfvo type="percentile" val="50"/>
        <cfvo type="max" val="0"/>
        <color rgb="FFF8696B"/>
        <color rgb="FFFFEB84"/>
        <color rgb="FF63BE7B"/>
      </colorScale>
    </cfRule>
    <cfRule type="colorScale" priority="11804">
      <colorScale>
        <cfvo type="num" val="1"/>
        <cfvo type="num" val="2"/>
        <cfvo type="num" val="3"/>
        <color rgb="FFF8696B"/>
        <color rgb="FFFFEB84"/>
        <color rgb="FF63BE7B"/>
      </colorScale>
    </cfRule>
    <cfRule type="colorScale" priority="11805">
      <colorScale>
        <cfvo type="num" val="1"/>
        <cfvo type="num" val="2"/>
        <cfvo type="num" val="3"/>
        <color rgb="FFF8696B"/>
        <color rgb="FFFFEB84"/>
        <color rgb="FF63BE7B"/>
      </colorScale>
    </cfRule>
  </conditionalFormatting>
  <conditionalFormatting sqref="C414">
    <cfRule type="cellIs" dxfId="2874" priority="10650" operator="equal">
      <formula>5</formula>
    </cfRule>
    <cfRule type="cellIs" dxfId="2873" priority="10651" operator="equal">
      <formula>4</formula>
    </cfRule>
    <cfRule type="cellIs" dxfId="2872" priority="10652" operator="equal">
      <formula>1</formula>
    </cfRule>
    <cfRule type="cellIs" dxfId="2871" priority="10653" operator="equal">
      <formula>3</formula>
    </cfRule>
    <cfRule type="cellIs" dxfId="2870" priority="10654" operator="equal">
      <formula>2</formula>
    </cfRule>
    <cfRule type="colorScale" priority="10655">
      <colorScale>
        <cfvo type="min" val="0"/>
        <cfvo type="percentile" val="50"/>
        <cfvo type="max" val="0"/>
        <color rgb="FFF8696B"/>
        <color rgb="FFFFEB84"/>
        <color rgb="FF63BE7B"/>
      </colorScale>
    </cfRule>
    <cfRule type="colorScale" priority="10656">
      <colorScale>
        <cfvo type="num" val="1"/>
        <cfvo type="num" val="2"/>
        <cfvo type="num" val="3"/>
        <color rgb="FFF8696B"/>
        <color rgb="FFFFEB84"/>
        <color rgb="FF63BE7B"/>
      </colorScale>
    </cfRule>
    <cfRule type="colorScale" priority="10657">
      <colorScale>
        <cfvo type="num" val="1"/>
        <cfvo type="num" val="2"/>
        <cfvo type="num" val="3"/>
        <color rgb="FFF8696B"/>
        <color rgb="FFFFEB84"/>
        <color rgb="FF63BE7B"/>
      </colorScale>
    </cfRule>
  </conditionalFormatting>
  <conditionalFormatting sqref="C442">
    <cfRule type="cellIs" dxfId="2869" priority="9535" operator="equal">
      <formula>5</formula>
    </cfRule>
    <cfRule type="cellIs" dxfId="2868" priority="9536" operator="equal">
      <formula>4</formula>
    </cfRule>
    <cfRule type="cellIs" dxfId="2867" priority="9537" operator="equal">
      <formula>1</formula>
    </cfRule>
    <cfRule type="cellIs" dxfId="2866" priority="9538" operator="equal">
      <formula>3</formula>
    </cfRule>
    <cfRule type="cellIs" dxfId="2865" priority="9539" operator="equal">
      <formula>2</formula>
    </cfRule>
    <cfRule type="colorScale" priority="9540">
      <colorScale>
        <cfvo type="min" val="0"/>
        <cfvo type="percentile" val="50"/>
        <cfvo type="max" val="0"/>
        <color rgb="FFF8696B"/>
        <color rgb="FFFFEB84"/>
        <color rgb="FF63BE7B"/>
      </colorScale>
    </cfRule>
    <cfRule type="colorScale" priority="9541">
      <colorScale>
        <cfvo type="num" val="1"/>
        <cfvo type="num" val="2"/>
        <cfvo type="num" val="3"/>
        <color rgb="FFF8696B"/>
        <color rgb="FFFFEB84"/>
        <color rgb="FF63BE7B"/>
      </colorScale>
    </cfRule>
    <cfRule type="colorScale" priority="9542">
      <colorScale>
        <cfvo type="num" val="1"/>
        <cfvo type="num" val="2"/>
        <cfvo type="num" val="3"/>
        <color rgb="FFF8696B"/>
        <color rgb="FFFFEB84"/>
        <color rgb="FF63BE7B"/>
      </colorScale>
    </cfRule>
  </conditionalFormatting>
  <conditionalFormatting sqref="C470">
    <cfRule type="cellIs" dxfId="2864" priority="8387" operator="equal">
      <formula>5</formula>
    </cfRule>
    <cfRule type="cellIs" dxfId="2863" priority="8388" operator="equal">
      <formula>4</formula>
    </cfRule>
    <cfRule type="cellIs" dxfId="2862" priority="8389" operator="equal">
      <formula>1</formula>
    </cfRule>
    <cfRule type="cellIs" dxfId="2861" priority="8390" operator="equal">
      <formula>3</formula>
    </cfRule>
    <cfRule type="cellIs" dxfId="2860" priority="8391" operator="equal">
      <formula>2</formula>
    </cfRule>
    <cfRule type="colorScale" priority="8392">
      <colorScale>
        <cfvo type="min" val="0"/>
        <cfvo type="percentile" val="50"/>
        <cfvo type="max" val="0"/>
        <color rgb="FFF8696B"/>
        <color rgb="FFFFEB84"/>
        <color rgb="FF63BE7B"/>
      </colorScale>
    </cfRule>
    <cfRule type="colorScale" priority="8393">
      <colorScale>
        <cfvo type="num" val="1"/>
        <cfvo type="num" val="2"/>
        <cfvo type="num" val="3"/>
        <color rgb="FFF8696B"/>
        <color rgb="FFFFEB84"/>
        <color rgb="FF63BE7B"/>
      </colorScale>
    </cfRule>
    <cfRule type="colorScale" priority="8394">
      <colorScale>
        <cfvo type="num" val="1"/>
        <cfvo type="num" val="2"/>
        <cfvo type="num" val="3"/>
        <color rgb="FFF8696B"/>
        <color rgb="FFFFEB84"/>
        <color rgb="FF63BE7B"/>
      </colorScale>
    </cfRule>
  </conditionalFormatting>
  <conditionalFormatting sqref="C497">
    <cfRule type="cellIs" dxfId="2859" priority="7272" operator="equal">
      <formula>5</formula>
    </cfRule>
    <cfRule type="cellIs" dxfId="2858" priority="7273" operator="equal">
      <formula>4</formula>
    </cfRule>
    <cfRule type="cellIs" dxfId="2857" priority="7274" operator="equal">
      <formula>1</formula>
    </cfRule>
    <cfRule type="cellIs" dxfId="2856" priority="7275" operator="equal">
      <formula>3</formula>
    </cfRule>
    <cfRule type="cellIs" dxfId="2855" priority="7276" operator="equal">
      <formula>2</formula>
    </cfRule>
    <cfRule type="colorScale" priority="7277">
      <colorScale>
        <cfvo type="min" val="0"/>
        <cfvo type="percentile" val="50"/>
        <cfvo type="max" val="0"/>
        <color rgb="FFF8696B"/>
        <color rgb="FFFFEB84"/>
        <color rgb="FF63BE7B"/>
      </colorScale>
    </cfRule>
    <cfRule type="colorScale" priority="7278">
      <colorScale>
        <cfvo type="num" val="1"/>
        <cfvo type="num" val="2"/>
        <cfvo type="num" val="3"/>
        <color rgb="FFF8696B"/>
        <color rgb="FFFFEB84"/>
        <color rgb="FF63BE7B"/>
      </colorScale>
    </cfRule>
    <cfRule type="colorScale" priority="7279">
      <colorScale>
        <cfvo type="num" val="1"/>
        <cfvo type="num" val="2"/>
        <cfvo type="num" val="3"/>
        <color rgb="FFF8696B"/>
        <color rgb="FFFFEB84"/>
        <color rgb="FF63BE7B"/>
      </colorScale>
    </cfRule>
  </conditionalFormatting>
  <conditionalFormatting sqref="H442:I442 H389:I389 H329:I329 I331:J331 I333:J333 L389:M389 AD68:AE68 C38:D38 C66:D66 C99:I99 C132:I132 C167:I167 D50:D52 D78:D80 D111:D112 E36:F36 E42:F42 E64:F64 E70:F70 E165:F165 E171:F171 F68:G68 H7:I7 AE7:AF7 H36:J36 H64:J64 I9:J9 I11:J11 I40:J40 I44:J44 I68:J68 I72:J72 I38:K38 I66:K66 M64:N64 M72:O72 O38:P38 O40:P40 O68:P68 O66:R66 Q64:R64 T36:U36 T40:U40 T64:U64 T66:U66 T68:W68 T72:W72 Y38:Z38 Y44:Z44 AA64:AB64 AC36:AD36 AC38:AD38 AD40:AE40">
    <cfRule type="cellIs" dxfId="2854" priority="36358" operator="equal">
      <formula>3</formula>
    </cfRule>
    <cfRule type="cellIs" dxfId="2853" priority="36359" operator="equal">
      <formula>2</formula>
    </cfRule>
  </conditionalFormatting>
  <conditionalFormatting sqref="C228:E228">
    <cfRule type="cellIs" dxfId="2852" priority="16149" operator="equal">
      <formula>5</formula>
    </cfRule>
    <cfRule type="cellIs" dxfId="2851" priority="16150" operator="equal">
      <formula>4</formula>
    </cfRule>
    <cfRule type="cellIs" dxfId="2850" priority="16151" operator="equal">
      <formula>1</formula>
    </cfRule>
    <cfRule type="cellIs" dxfId="2849" priority="16152" operator="equal">
      <formula>3</formula>
    </cfRule>
    <cfRule type="cellIs" dxfId="2848" priority="16153" operator="equal">
      <formula>2</formula>
    </cfRule>
    <cfRule type="colorScale" priority="16154">
      <colorScale>
        <cfvo type="min" val="0"/>
        <cfvo type="percentile" val="50"/>
        <cfvo type="max" val="0"/>
        <color rgb="FFF8696B"/>
        <color rgb="FFFFEB84"/>
        <color rgb="FF63BE7B"/>
      </colorScale>
    </cfRule>
    <cfRule type="colorScale" priority="16155">
      <colorScale>
        <cfvo type="num" val="1"/>
        <cfvo type="num" val="2"/>
        <cfvo type="num" val="3"/>
        <color rgb="FFF8696B"/>
        <color rgb="FFFFEB84"/>
        <color rgb="FF63BE7B"/>
      </colorScale>
    </cfRule>
    <cfRule type="colorScale" priority="16156">
      <colorScale>
        <cfvo type="num" val="1"/>
        <cfvo type="num" val="2"/>
        <cfvo type="num" val="3"/>
        <color rgb="FFF8696B"/>
        <color rgb="FFFFEB84"/>
        <color rgb="FF63BE7B"/>
      </colorScale>
    </cfRule>
    <cfRule type="colorScale" priority="16157">
      <colorScale>
        <cfvo type="num" val="1"/>
        <cfvo type="num" val="2"/>
        <cfvo type="num" val="3"/>
        <color rgb="FFF8696B"/>
        <color rgb="FFFFEB84"/>
        <color rgb="FF63BE7B"/>
      </colorScale>
    </cfRule>
    <cfRule type="colorScale" priority="16158">
      <colorScale>
        <cfvo type="num" val="1"/>
        <cfvo type="num" val="2"/>
        <cfvo type="num" val="3"/>
        <color rgb="FFF8696B"/>
        <color rgb="FFFFEB84"/>
        <color rgb="FF63BE7B"/>
      </colorScale>
    </cfRule>
    <cfRule type="colorScale" priority="16159">
      <colorScale>
        <cfvo type="num" val="1"/>
        <cfvo type="num" val="2"/>
        <cfvo type="num" val="3"/>
        <color rgb="FFF8696B"/>
        <color rgb="FFFFEB84"/>
        <color rgb="FF63BE7B"/>
      </colorScale>
    </cfRule>
    <cfRule type="colorScale" priority="16160">
      <colorScale>
        <cfvo type="num" val="1"/>
        <cfvo type="num" val="2"/>
        <cfvo type="num" val="3"/>
        <color rgb="FFF8696B"/>
        <color rgb="FFFFEB84"/>
        <color rgb="FF63BE7B"/>
      </colorScale>
    </cfRule>
  </conditionalFormatting>
  <conditionalFormatting sqref="C226:F226">
    <cfRule type="cellIs" dxfId="2847" priority="16297" operator="equal">
      <formula>5</formula>
    </cfRule>
    <cfRule type="cellIs" dxfId="2846" priority="16298" operator="equal">
      <formula>4</formula>
    </cfRule>
    <cfRule type="cellIs" dxfId="2845" priority="16299" operator="equal">
      <formula>1</formula>
    </cfRule>
    <cfRule type="cellIs" dxfId="2844" priority="16300" operator="equal">
      <formula>3</formula>
    </cfRule>
    <cfRule type="cellIs" dxfId="2843" priority="16301" operator="equal">
      <formula>2</formula>
    </cfRule>
    <cfRule type="colorScale" priority="16302">
      <colorScale>
        <cfvo type="min" val="0"/>
        <cfvo type="percentile" val="50"/>
        <cfvo type="max" val="0"/>
        <color rgb="FFF8696B"/>
        <color rgb="FFFFEB84"/>
        <color rgb="FF63BE7B"/>
      </colorScale>
    </cfRule>
    <cfRule type="colorScale" priority="16303">
      <colorScale>
        <cfvo type="num" val="1"/>
        <cfvo type="num" val="2"/>
        <cfvo type="num" val="3"/>
        <color rgb="FFF8696B"/>
        <color rgb="FFFFEB84"/>
        <color rgb="FF63BE7B"/>
      </colorScale>
    </cfRule>
    <cfRule type="colorScale" priority="16304">
      <colorScale>
        <cfvo type="num" val="1"/>
        <cfvo type="num" val="2"/>
        <cfvo type="num" val="3"/>
        <color rgb="FFF8696B"/>
        <color rgb="FFFFEB84"/>
        <color rgb="FF63BE7B"/>
      </colorScale>
    </cfRule>
    <cfRule type="colorScale" priority="16305">
      <colorScale>
        <cfvo type="num" val="1"/>
        <cfvo type="num" val="2"/>
        <cfvo type="num" val="3"/>
        <color rgb="FFF8696B"/>
        <color rgb="FFFFEB84"/>
        <color rgb="FF63BE7B"/>
      </colorScale>
    </cfRule>
    <cfRule type="colorScale" priority="16306">
      <colorScale>
        <cfvo type="num" val="1"/>
        <cfvo type="num" val="2"/>
        <cfvo type="num" val="3"/>
        <color rgb="FFF8696B"/>
        <color rgb="FFFFEB84"/>
        <color rgb="FF63BE7B"/>
      </colorScale>
    </cfRule>
    <cfRule type="colorScale" priority="16307">
      <colorScale>
        <cfvo type="num" val="1"/>
        <cfvo type="num" val="2"/>
        <cfvo type="num" val="3"/>
        <color rgb="FFF8696B"/>
        <color rgb="FFFFEB84"/>
        <color rgb="FF63BE7B"/>
      </colorScale>
    </cfRule>
    <cfRule type="colorScale" priority="16308">
      <colorScale>
        <cfvo type="num" val="1"/>
        <cfvo type="num" val="2"/>
        <cfvo type="num" val="3"/>
        <color rgb="FFF8696B"/>
        <color rgb="FFFFEB84"/>
        <color rgb="FF63BE7B"/>
      </colorScale>
    </cfRule>
  </conditionalFormatting>
  <conditionalFormatting sqref="C101:G101">
    <cfRule type="cellIs" dxfId="2842" priority="37398" operator="equal">
      <formula>5</formula>
    </cfRule>
    <cfRule type="cellIs" dxfId="2841" priority="37399" operator="equal">
      <formula>4</formula>
    </cfRule>
    <cfRule type="cellIs" dxfId="2840" priority="37400" operator="equal">
      <formula>1</formula>
    </cfRule>
    <cfRule type="cellIs" dxfId="2839" priority="37401" operator="equal">
      <formula>3</formula>
    </cfRule>
    <cfRule type="cellIs" dxfId="2838" priority="37402" operator="equal">
      <formula>2</formula>
    </cfRule>
    <cfRule type="colorScale" priority="37403">
      <colorScale>
        <cfvo type="min" val="0"/>
        <cfvo type="percentile" val="50"/>
        <cfvo type="max" val="0"/>
        <color rgb="FFF8696B"/>
        <color rgb="FFFFEB84"/>
        <color rgb="FF63BE7B"/>
      </colorScale>
    </cfRule>
    <cfRule type="colorScale" priority="37404">
      <colorScale>
        <cfvo type="num" val="1"/>
        <cfvo type="num" val="2"/>
        <cfvo type="num" val="3"/>
        <color rgb="FFF8696B"/>
        <color rgb="FFFFEB84"/>
        <color rgb="FF63BE7B"/>
      </colorScale>
    </cfRule>
    <cfRule type="colorScale" priority="37405">
      <colorScale>
        <cfvo type="num" val="1"/>
        <cfvo type="num" val="2"/>
        <cfvo type="num" val="3"/>
        <color rgb="FFF8696B"/>
        <color rgb="FFFFEB84"/>
        <color rgb="FF63BE7B"/>
      </colorScale>
    </cfRule>
    <cfRule type="colorScale" priority="37406">
      <colorScale>
        <cfvo type="num" val="1"/>
        <cfvo type="num" val="2"/>
        <cfvo type="num" val="3"/>
        <color rgb="FFF8696B"/>
        <color rgb="FFFFEB84"/>
        <color rgb="FF63BE7B"/>
      </colorScale>
    </cfRule>
    <cfRule type="colorScale" priority="37407">
      <colorScale>
        <cfvo type="num" val="1"/>
        <cfvo type="num" val="2"/>
        <cfvo type="num" val="3"/>
        <color rgb="FFF8696B"/>
        <color rgb="FFFFEB84"/>
        <color rgb="FF63BE7B"/>
      </colorScale>
    </cfRule>
    <cfRule type="colorScale" priority="37408">
      <colorScale>
        <cfvo type="num" val="1"/>
        <cfvo type="num" val="2"/>
        <cfvo type="num" val="3"/>
        <color rgb="FFF8696B"/>
        <color rgb="FFFFEB84"/>
        <color rgb="FF63BE7B"/>
      </colorScale>
    </cfRule>
    <cfRule type="colorScale" priority="37409">
      <colorScale>
        <cfvo type="num" val="1"/>
        <cfvo type="num" val="2"/>
        <cfvo type="num" val="3"/>
        <color rgb="FFF8696B"/>
        <color rgb="FFFFEB84"/>
        <color rgb="FF63BE7B"/>
      </colorScale>
    </cfRule>
  </conditionalFormatting>
  <conditionalFormatting sqref="C134:G134">
    <cfRule type="cellIs" dxfId="2837" priority="26161" operator="equal">
      <formula>5</formula>
    </cfRule>
    <cfRule type="cellIs" dxfId="2836" priority="26162" operator="equal">
      <formula>4</formula>
    </cfRule>
    <cfRule type="cellIs" dxfId="2835" priority="26163" operator="equal">
      <formula>1</formula>
    </cfRule>
    <cfRule type="cellIs" dxfId="2834" priority="26164" operator="equal">
      <formula>3</formula>
    </cfRule>
    <cfRule type="cellIs" dxfId="2833" priority="26165" operator="equal">
      <formula>2</formula>
    </cfRule>
    <cfRule type="colorScale" priority="26166">
      <colorScale>
        <cfvo type="min" val="0"/>
        <cfvo type="percentile" val="50"/>
        <cfvo type="max" val="0"/>
        <color rgb="FFF8696B"/>
        <color rgb="FFFFEB84"/>
        <color rgb="FF63BE7B"/>
      </colorScale>
    </cfRule>
    <cfRule type="colorScale" priority="26167">
      <colorScale>
        <cfvo type="num" val="1"/>
        <cfvo type="num" val="2"/>
        <cfvo type="num" val="3"/>
        <color rgb="FFF8696B"/>
        <color rgb="FFFFEB84"/>
        <color rgb="FF63BE7B"/>
      </colorScale>
    </cfRule>
    <cfRule type="colorScale" priority="26168">
      <colorScale>
        <cfvo type="num" val="1"/>
        <cfvo type="num" val="2"/>
        <cfvo type="num" val="3"/>
        <color rgb="FFF8696B"/>
        <color rgb="FFFFEB84"/>
        <color rgb="FF63BE7B"/>
      </colorScale>
    </cfRule>
    <cfRule type="colorScale" priority="26169">
      <colorScale>
        <cfvo type="num" val="1"/>
        <cfvo type="num" val="2"/>
        <cfvo type="num" val="3"/>
        <color rgb="FFF8696B"/>
        <color rgb="FFFFEB84"/>
        <color rgb="FF63BE7B"/>
      </colorScale>
    </cfRule>
    <cfRule type="colorScale" priority="26170">
      <colorScale>
        <cfvo type="num" val="1"/>
        <cfvo type="num" val="2"/>
        <cfvo type="num" val="3"/>
        <color rgb="FFF8696B"/>
        <color rgb="FFFFEB84"/>
        <color rgb="FF63BE7B"/>
      </colorScale>
    </cfRule>
    <cfRule type="colorScale" priority="26171">
      <colorScale>
        <cfvo type="num" val="1"/>
        <cfvo type="num" val="2"/>
        <cfvo type="num" val="3"/>
        <color rgb="FFF8696B"/>
        <color rgb="FFFFEB84"/>
        <color rgb="FF63BE7B"/>
      </colorScale>
    </cfRule>
    <cfRule type="colorScale" priority="26172">
      <colorScale>
        <cfvo type="num" val="1"/>
        <cfvo type="num" val="2"/>
        <cfvo type="num" val="3"/>
        <color rgb="FFF8696B"/>
        <color rgb="FFFFEB84"/>
        <color rgb="FF63BE7B"/>
      </colorScale>
    </cfRule>
  </conditionalFormatting>
  <conditionalFormatting sqref="C169:G169">
    <cfRule type="cellIs" dxfId="2832" priority="25080" operator="equal">
      <formula>5</formula>
    </cfRule>
    <cfRule type="cellIs" dxfId="2831" priority="25081" operator="equal">
      <formula>4</formula>
    </cfRule>
    <cfRule type="cellIs" dxfId="2830" priority="25082" operator="equal">
      <formula>1</formula>
    </cfRule>
    <cfRule type="cellIs" dxfId="2829" priority="25083" operator="equal">
      <formula>3</formula>
    </cfRule>
    <cfRule type="cellIs" dxfId="2828" priority="25084" operator="equal">
      <formula>2</formula>
    </cfRule>
    <cfRule type="colorScale" priority="25085">
      <colorScale>
        <cfvo type="min" val="0"/>
        <cfvo type="percentile" val="50"/>
        <cfvo type="max" val="0"/>
        <color rgb="FFF8696B"/>
        <color rgb="FFFFEB84"/>
        <color rgb="FF63BE7B"/>
      </colorScale>
    </cfRule>
    <cfRule type="colorScale" priority="25086">
      <colorScale>
        <cfvo type="num" val="1"/>
        <cfvo type="num" val="2"/>
        <cfvo type="num" val="3"/>
        <color rgb="FFF8696B"/>
        <color rgb="FFFFEB84"/>
        <color rgb="FF63BE7B"/>
      </colorScale>
    </cfRule>
    <cfRule type="colorScale" priority="25087">
      <colorScale>
        <cfvo type="num" val="1"/>
        <cfvo type="num" val="2"/>
        <cfvo type="num" val="3"/>
        <color rgb="FFF8696B"/>
        <color rgb="FFFFEB84"/>
        <color rgb="FF63BE7B"/>
      </colorScale>
    </cfRule>
    <cfRule type="colorScale" priority="25088">
      <colorScale>
        <cfvo type="num" val="1"/>
        <cfvo type="num" val="2"/>
        <cfvo type="num" val="3"/>
        <color rgb="FFF8696B"/>
        <color rgb="FFFFEB84"/>
        <color rgb="FF63BE7B"/>
      </colorScale>
    </cfRule>
    <cfRule type="colorScale" priority="25089">
      <colorScale>
        <cfvo type="num" val="1"/>
        <cfvo type="num" val="2"/>
        <cfvo type="num" val="3"/>
        <color rgb="FFF8696B"/>
        <color rgb="FFFFEB84"/>
        <color rgb="FF63BE7B"/>
      </colorScale>
    </cfRule>
    <cfRule type="colorScale" priority="25090">
      <colorScale>
        <cfvo type="num" val="1"/>
        <cfvo type="num" val="2"/>
        <cfvo type="num" val="3"/>
        <color rgb="FFF8696B"/>
        <color rgb="FFFFEB84"/>
        <color rgb="FF63BE7B"/>
      </colorScale>
    </cfRule>
    <cfRule type="colorScale" priority="25091">
      <colorScale>
        <cfvo type="num" val="1"/>
        <cfvo type="num" val="2"/>
        <cfvo type="num" val="3"/>
        <color rgb="FFF8696B"/>
        <color rgb="FFFFEB84"/>
        <color rgb="FF63BE7B"/>
      </colorScale>
    </cfRule>
  </conditionalFormatting>
  <conditionalFormatting sqref="C304:G304">
    <cfRule type="cellIs" dxfId="2827" priority="20319" operator="equal">
      <formula>5</formula>
    </cfRule>
    <cfRule type="cellIs" dxfId="2826" priority="20320" operator="equal">
      <formula>4</formula>
    </cfRule>
    <cfRule type="cellIs" dxfId="2825" priority="20321" operator="equal">
      <formula>1</formula>
    </cfRule>
    <cfRule type="cellIs" dxfId="2824" priority="20322" operator="equal">
      <formula>3</formula>
    </cfRule>
    <cfRule type="cellIs" dxfId="2823" priority="20323" operator="equal">
      <formula>2</formula>
    </cfRule>
    <cfRule type="colorScale" priority="20324">
      <colorScale>
        <cfvo type="min" val="0"/>
        <cfvo type="percentile" val="50"/>
        <cfvo type="max" val="0"/>
        <color rgb="FFF8696B"/>
        <color rgb="FFFFEB84"/>
        <color rgb="FF63BE7B"/>
      </colorScale>
    </cfRule>
    <cfRule type="colorScale" priority="20325">
      <colorScale>
        <cfvo type="num" val="1"/>
        <cfvo type="num" val="2"/>
        <cfvo type="num" val="3"/>
        <color rgb="FFF8696B"/>
        <color rgb="FFFFEB84"/>
        <color rgb="FF63BE7B"/>
      </colorScale>
    </cfRule>
    <cfRule type="colorScale" priority="20326">
      <colorScale>
        <cfvo type="num" val="1"/>
        <cfvo type="num" val="2"/>
        <cfvo type="num" val="3"/>
        <color rgb="FFF8696B"/>
        <color rgb="FFFFEB84"/>
        <color rgb="FF63BE7B"/>
      </colorScale>
    </cfRule>
    <cfRule type="colorScale" priority="20327">
      <colorScale>
        <cfvo type="num" val="1"/>
        <cfvo type="num" val="2"/>
        <cfvo type="num" val="3"/>
        <color rgb="FFF8696B"/>
        <color rgb="FFFFEB84"/>
        <color rgb="FF63BE7B"/>
      </colorScale>
    </cfRule>
    <cfRule type="colorScale" priority="20328">
      <colorScale>
        <cfvo type="num" val="1"/>
        <cfvo type="num" val="2"/>
        <cfvo type="num" val="3"/>
        <color rgb="FFF8696B"/>
        <color rgb="FFFFEB84"/>
        <color rgb="FF63BE7B"/>
      </colorScale>
    </cfRule>
    <cfRule type="colorScale" priority="20329">
      <colorScale>
        <cfvo type="num" val="1"/>
        <cfvo type="num" val="2"/>
        <cfvo type="num" val="3"/>
        <color rgb="FFF8696B"/>
        <color rgb="FFFFEB84"/>
        <color rgb="FF63BE7B"/>
      </colorScale>
    </cfRule>
    <cfRule type="colorScale" priority="20330">
      <colorScale>
        <cfvo type="num" val="1"/>
        <cfvo type="num" val="2"/>
        <cfvo type="num" val="3"/>
        <color rgb="FFF8696B"/>
        <color rgb="FFFFEB84"/>
        <color rgb="FF63BE7B"/>
      </colorScale>
    </cfRule>
  </conditionalFormatting>
  <conditionalFormatting sqref="C306:G306">
    <cfRule type="cellIs" dxfId="2822" priority="20053" operator="equal">
      <formula>5</formula>
    </cfRule>
    <cfRule type="cellIs" dxfId="2821" priority="20054" operator="equal">
      <formula>4</formula>
    </cfRule>
    <cfRule type="cellIs" dxfId="2820" priority="20055" operator="equal">
      <formula>1</formula>
    </cfRule>
    <cfRule type="cellIs" dxfId="2819" priority="20056" operator="equal">
      <formula>3</formula>
    </cfRule>
    <cfRule type="cellIs" dxfId="2818" priority="20057" operator="equal">
      <formula>2</formula>
    </cfRule>
    <cfRule type="colorScale" priority="20058">
      <colorScale>
        <cfvo type="min" val="0"/>
        <cfvo type="percentile" val="50"/>
        <cfvo type="max" val="0"/>
        <color rgb="FFF8696B"/>
        <color rgb="FFFFEB84"/>
        <color rgb="FF63BE7B"/>
      </colorScale>
    </cfRule>
    <cfRule type="colorScale" priority="20059">
      <colorScale>
        <cfvo type="num" val="1"/>
        <cfvo type="num" val="2"/>
        <cfvo type="num" val="3"/>
        <color rgb="FFF8696B"/>
        <color rgb="FFFFEB84"/>
        <color rgb="FF63BE7B"/>
      </colorScale>
    </cfRule>
    <cfRule type="colorScale" priority="20060">
      <colorScale>
        <cfvo type="num" val="1"/>
        <cfvo type="num" val="2"/>
        <cfvo type="num" val="3"/>
        <color rgb="FFF8696B"/>
        <color rgb="FFFFEB84"/>
        <color rgb="FF63BE7B"/>
      </colorScale>
    </cfRule>
    <cfRule type="colorScale" priority="20061">
      <colorScale>
        <cfvo type="num" val="1"/>
        <cfvo type="num" val="2"/>
        <cfvo type="num" val="3"/>
        <color rgb="FFF8696B"/>
        <color rgb="FFFFEB84"/>
        <color rgb="FF63BE7B"/>
      </colorScale>
    </cfRule>
    <cfRule type="colorScale" priority="20062">
      <colorScale>
        <cfvo type="num" val="1"/>
        <cfvo type="num" val="2"/>
        <cfvo type="num" val="3"/>
        <color rgb="FFF8696B"/>
        <color rgb="FFFFEB84"/>
        <color rgb="FF63BE7B"/>
      </colorScale>
    </cfRule>
    <cfRule type="colorScale" priority="20063">
      <colorScale>
        <cfvo type="num" val="1"/>
        <cfvo type="num" val="2"/>
        <cfvo type="num" val="3"/>
        <color rgb="FFF8696B"/>
        <color rgb="FFFFEB84"/>
        <color rgb="FF63BE7B"/>
      </colorScale>
    </cfRule>
    <cfRule type="colorScale" priority="20064">
      <colorScale>
        <cfvo type="num" val="1"/>
        <cfvo type="num" val="2"/>
        <cfvo type="num" val="3"/>
        <color rgb="FFF8696B"/>
        <color rgb="FFFFEB84"/>
        <color rgb="FF63BE7B"/>
      </colorScale>
    </cfRule>
  </conditionalFormatting>
  <conditionalFormatting sqref="C331:G331">
    <cfRule type="cellIs" dxfId="2817" priority="21487" operator="equal">
      <formula>5</formula>
    </cfRule>
    <cfRule type="cellIs" dxfId="2816" priority="21488" operator="equal">
      <formula>4</formula>
    </cfRule>
    <cfRule type="cellIs" dxfId="2815" priority="21489" operator="equal">
      <formula>1</formula>
    </cfRule>
    <cfRule type="cellIs" dxfId="2814" priority="21490" operator="equal">
      <formula>3</formula>
    </cfRule>
    <cfRule type="cellIs" dxfId="2813" priority="21491" operator="equal">
      <formula>2</formula>
    </cfRule>
    <cfRule type="colorScale" priority="21492">
      <colorScale>
        <cfvo type="min" val="0"/>
        <cfvo type="percentile" val="50"/>
        <cfvo type="max" val="0"/>
        <color rgb="FFF8696B"/>
        <color rgb="FFFFEB84"/>
        <color rgb="FF63BE7B"/>
      </colorScale>
    </cfRule>
    <cfRule type="colorScale" priority="21493">
      <colorScale>
        <cfvo type="num" val="1"/>
        <cfvo type="num" val="2"/>
        <cfvo type="num" val="3"/>
        <color rgb="FFF8696B"/>
        <color rgb="FFFFEB84"/>
        <color rgb="FF63BE7B"/>
      </colorScale>
    </cfRule>
    <cfRule type="colorScale" priority="21494">
      <colorScale>
        <cfvo type="num" val="1"/>
        <cfvo type="num" val="2"/>
        <cfvo type="num" val="3"/>
        <color rgb="FFF8696B"/>
        <color rgb="FFFFEB84"/>
        <color rgb="FF63BE7B"/>
      </colorScale>
    </cfRule>
    <cfRule type="colorScale" priority="21495">
      <colorScale>
        <cfvo type="num" val="1"/>
        <cfvo type="num" val="2"/>
        <cfvo type="num" val="3"/>
        <color rgb="FFF8696B"/>
        <color rgb="FFFFEB84"/>
        <color rgb="FF63BE7B"/>
      </colorScale>
    </cfRule>
    <cfRule type="colorScale" priority="21496">
      <colorScale>
        <cfvo type="num" val="1"/>
        <cfvo type="num" val="2"/>
        <cfvo type="num" val="3"/>
        <color rgb="FFF8696B"/>
        <color rgb="FFFFEB84"/>
        <color rgb="FF63BE7B"/>
      </colorScale>
    </cfRule>
    <cfRule type="colorScale" priority="21497">
      <colorScale>
        <cfvo type="num" val="1"/>
        <cfvo type="num" val="2"/>
        <cfvo type="num" val="3"/>
        <color rgb="FFF8696B"/>
        <color rgb="FFFFEB84"/>
        <color rgb="FF63BE7B"/>
      </colorScale>
    </cfRule>
    <cfRule type="colorScale" priority="21498">
      <colorScale>
        <cfvo type="num" val="1"/>
        <cfvo type="num" val="2"/>
        <cfvo type="num" val="3"/>
        <color rgb="FFF8696B"/>
        <color rgb="FFFFEB84"/>
        <color rgb="FF63BE7B"/>
      </colorScale>
    </cfRule>
  </conditionalFormatting>
  <conditionalFormatting sqref="C333:G333">
    <cfRule type="cellIs" dxfId="2812" priority="21220" operator="equal">
      <formula>5</formula>
    </cfRule>
    <cfRule type="cellIs" dxfId="2811" priority="21221" operator="equal">
      <formula>4</formula>
    </cfRule>
    <cfRule type="cellIs" dxfId="2810" priority="21222" operator="equal">
      <formula>1</formula>
    </cfRule>
    <cfRule type="cellIs" dxfId="2809" priority="21223" operator="equal">
      <formula>3</formula>
    </cfRule>
    <cfRule type="cellIs" dxfId="2808" priority="21224" operator="equal">
      <formula>2</formula>
    </cfRule>
    <cfRule type="colorScale" priority="21225">
      <colorScale>
        <cfvo type="min" val="0"/>
        <cfvo type="percentile" val="50"/>
        <cfvo type="max" val="0"/>
        <color rgb="FFF8696B"/>
        <color rgb="FFFFEB84"/>
        <color rgb="FF63BE7B"/>
      </colorScale>
    </cfRule>
    <cfRule type="colorScale" priority="21226">
      <colorScale>
        <cfvo type="num" val="1"/>
        <cfvo type="num" val="2"/>
        <cfvo type="num" val="3"/>
        <color rgb="FFF8696B"/>
        <color rgb="FFFFEB84"/>
        <color rgb="FF63BE7B"/>
      </colorScale>
    </cfRule>
    <cfRule type="colorScale" priority="21227">
      <colorScale>
        <cfvo type="num" val="1"/>
        <cfvo type="num" val="2"/>
        <cfvo type="num" val="3"/>
        <color rgb="FFF8696B"/>
        <color rgb="FFFFEB84"/>
        <color rgb="FF63BE7B"/>
      </colorScale>
    </cfRule>
    <cfRule type="colorScale" priority="21228">
      <colorScale>
        <cfvo type="num" val="1"/>
        <cfvo type="num" val="2"/>
        <cfvo type="num" val="3"/>
        <color rgb="FFF8696B"/>
        <color rgb="FFFFEB84"/>
        <color rgb="FF63BE7B"/>
      </colorScale>
    </cfRule>
    <cfRule type="colorScale" priority="21229">
      <colorScale>
        <cfvo type="num" val="1"/>
        <cfvo type="num" val="2"/>
        <cfvo type="num" val="3"/>
        <color rgb="FFF8696B"/>
        <color rgb="FFFFEB84"/>
        <color rgb="FF63BE7B"/>
      </colorScale>
    </cfRule>
    <cfRule type="colorScale" priority="21230">
      <colorScale>
        <cfvo type="num" val="1"/>
        <cfvo type="num" val="2"/>
        <cfvo type="num" val="3"/>
        <color rgb="FFF8696B"/>
        <color rgb="FFFFEB84"/>
        <color rgb="FF63BE7B"/>
      </colorScale>
    </cfRule>
    <cfRule type="colorScale" priority="21231">
      <colorScale>
        <cfvo type="num" val="1"/>
        <cfvo type="num" val="2"/>
        <cfvo type="num" val="3"/>
        <color rgb="FFF8696B"/>
        <color rgb="FFFFEB84"/>
        <color rgb="FF63BE7B"/>
      </colorScale>
    </cfRule>
  </conditionalFormatting>
  <conditionalFormatting sqref="C359:G359">
    <cfRule type="cellIs" dxfId="2807" priority="18434" operator="equal">
      <formula>5</formula>
    </cfRule>
    <cfRule type="cellIs" dxfId="2806" priority="18435" operator="equal">
      <formula>4</formula>
    </cfRule>
    <cfRule type="cellIs" dxfId="2805" priority="18436" operator="equal">
      <formula>1</formula>
    </cfRule>
    <cfRule type="cellIs" dxfId="2804" priority="18437" operator="equal">
      <formula>3</formula>
    </cfRule>
    <cfRule type="cellIs" dxfId="2803" priority="18438" operator="equal">
      <formula>2</formula>
    </cfRule>
    <cfRule type="colorScale" priority="18439">
      <colorScale>
        <cfvo type="min" val="0"/>
        <cfvo type="percentile" val="50"/>
        <cfvo type="max" val="0"/>
        <color rgb="FFF8696B"/>
        <color rgb="FFFFEB84"/>
        <color rgb="FF63BE7B"/>
      </colorScale>
    </cfRule>
    <cfRule type="colorScale" priority="18440">
      <colorScale>
        <cfvo type="num" val="1"/>
        <cfvo type="num" val="2"/>
        <cfvo type="num" val="3"/>
        <color rgb="FFF8696B"/>
        <color rgb="FFFFEB84"/>
        <color rgb="FF63BE7B"/>
      </colorScale>
    </cfRule>
    <cfRule type="colorScale" priority="18441">
      <colorScale>
        <cfvo type="num" val="1"/>
        <cfvo type="num" val="2"/>
        <cfvo type="num" val="3"/>
        <color rgb="FFF8696B"/>
        <color rgb="FFFFEB84"/>
        <color rgb="FF63BE7B"/>
      </colorScale>
    </cfRule>
    <cfRule type="colorScale" priority="18442">
      <colorScale>
        <cfvo type="num" val="1"/>
        <cfvo type="num" val="2"/>
        <cfvo type="num" val="3"/>
        <color rgb="FFF8696B"/>
        <color rgb="FFFFEB84"/>
        <color rgb="FF63BE7B"/>
      </colorScale>
    </cfRule>
    <cfRule type="colorScale" priority="18443">
      <colorScale>
        <cfvo type="num" val="1"/>
        <cfvo type="num" val="2"/>
        <cfvo type="num" val="3"/>
        <color rgb="FFF8696B"/>
        <color rgb="FFFFEB84"/>
        <color rgb="FF63BE7B"/>
      </colorScale>
    </cfRule>
    <cfRule type="colorScale" priority="18444">
      <colorScale>
        <cfvo type="num" val="1"/>
        <cfvo type="num" val="2"/>
        <cfvo type="num" val="3"/>
        <color rgb="FFF8696B"/>
        <color rgb="FFFFEB84"/>
        <color rgb="FF63BE7B"/>
      </colorScale>
    </cfRule>
    <cfRule type="colorScale" priority="18445">
      <colorScale>
        <cfvo type="num" val="1"/>
        <cfvo type="num" val="2"/>
        <cfvo type="num" val="3"/>
        <color rgb="FFF8696B"/>
        <color rgb="FFFFEB84"/>
        <color rgb="FF63BE7B"/>
      </colorScale>
    </cfRule>
  </conditionalFormatting>
  <conditionalFormatting sqref="C361:G361">
    <cfRule type="cellIs" dxfId="2802" priority="18167" operator="equal">
      <formula>5</formula>
    </cfRule>
    <cfRule type="cellIs" dxfId="2801" priority="18168" operator="equal">
      <formula>4</formula>
    </cfRule>
    <cfRule type="cellIs" dxfId="2800" priority="18169" operator="equal">
      <formula>1</formula>
    </cfRule>
    <cfRule type="cellIs" dxfId="2799" priority="18170" operator="equal">
      <formula>3</formula>
    </cfRule>
    <cfRule type="cellIs" dxfId="2798" priority="18171" operator="equal">
      <formula>2</formula>
    </cfRule>
    <cfRule type="colorScale" priority="18172">
      <colorScale>
        <cfvo type="min" val="0"/>
        <cfvo type="percentile" val="50"/>
        <cfvo type="max" val="0"/>
        <color rgb="FFF8696B"/>
        <color rgb="FFFFEB84"/>
        <color rgb="FF63BE7B"/>
      </colorScale>
    </cfRule>
    <cfRule type="colorScale" priority="18173">
      <colorScale>
        <cfvo type="num" val="1"/>
        <cfvo type="num" val="2"/>
        <cfvo type="num" val="3"/>
        <color rgb="FFF8696B"/>
        <color rgb="FFFFEB84"/>
        <color rgb="FF63BE7B"/>
      </colorScale>
    </cfRule>
    <cfRule type="colorScale" priority="18174">
      <colorScale>
        <cfvo type="num" val="1"/>
        <cfvo type="num" val="2"/>
        <cfvo type="num" val="3"/>
        <color rgb="FFF8696B"/>
        <color rgb="FFFFEB84"/>
        <color rgb="FF63BE7B"/>
      </colorScale>
    </cfRule>
    <cfRule type="colorScale" priority="18175">
      <colorScale>
        <cfvo type="num" val="1"/>
        <cfvo type="num" val="2"/>
        <cfvo type="num" val="3"/>
        <color rgb="FFF8696B"/>
        <color rgb="FFFFEB84"/>
        <color rgb="FF63BE7B"/>
      </colorScale>
    </cfRule>
    <cfRule type="colorScale" priority="18176">
      <colorScale>
        <cfvo type="num" val="1"/>
        <cfvo type="num" val="2"/>
        <cfvo type="num" val="3"/>
        <color rgb="FFF8696B"/>
        <color rgb="FFFFEB84"/>
        <color rgb="FF63BE7B"/>
      </colorScale>
    </cfRule>
    <cfRule type="colorScale" priority="18177">
      <colorScale>
        <cfvo type="num" val="1"/>
        <cfvo type="num" val="2"/>
        <cfvo type="num" val="3"/>
        <color rgb="FFF8696B"/>
        <color rgb="FFFFEB84"/>
        <color rgb="FF63BE7B"/>
      </colorScale>
    </cfRule>
    <cfRule type="colorScale" priority="18178">
      <colorScale>
        <cfvo type="num" val="1"/>
        <cfvo type="num" val="2"/>
        <cfvo type="num" val="3"/>
        <color rgb="FFF8696B"/>
        <color rgb="FFFFEB84"/>
        <color rgb="FF63BE7B"/>
      </colorScale>
    </cfRule>
  </conditionalFormatting>
  <conditionalFormatting sqref="C391:Q391">
    <cfRule type="cellIs" dxfId="2797" priority="11808" operator="equal">
      <formula>5</formula>
    </cfRule>
    <cfRule type="cellIs" dxfId="2796" priority="11809" operator="equal">
      <formula>4</formula>
    </cfRule>
    <cfRule type="cellIs" dxfId="2795" priority="11810" operator="equal">
      <formula>1</formula>
    </cfRule>
    <cfRule type="cellIs" dxfId="2794" priority="11811" operator="equal">
      <formula>3</formula>
    </cfRule>
    <cfRule type="cellIs" dxfId="2793" priority="11812" operator="equal">
      <formula>2</formula>
    </cfRule>
    <cfRule type="colorScale" priority="11813">
      <colorScale>
        <cfvo type="min" val="0"/>
        <cfvo type="percentile" val="50"/>
        <cfvo type="max" val="0"/>
        <color rgb="FFF8696B"/>
        <color rgb="FFFFEB84"/>
        <color rgb="FF63BE7B"/>
      </colorScale>
    </cfRule>
    <cfRule type="colorScale" priority="11814">
      <colorScale>
        <cfvo type="num" val="1"/>
        <cfvo type="num" val="2"/>
        <cfvo type="num" val="3"/>
        <color rgb="FFF8696B"/>
        <color rgb="FFFFEB84"/>
        <color rgb="FF63BE7B"/>
      </colorScale>
    </cfRule>
    <cfRule type="colorScale" priority="11815">
      <colorScale>
        <cfvo type="num" val="1"/>
        <cfvo type="num" val="2"/>
        <cfvo type="num" val="3"/>
        <color rgb="FFF8696B"/>
        <color rgb="FFFFEB84"/>
        <color rgb="FF63BE7B"/>
      </colorScale>
    </cfRule>
    <cfRule type="colorScale" priority="11816">
      <colorScale>
        <cfvo type="num" val="1"/>
        <cfvo type="num" val="2"/>
        <cfvo type="num" val="3"/>
        <color rgb="FFF8696B"/>
        <color rgb="FFFFEB84"/>
        <color rgb="FF63BE7B"/>
      </colorScale>
    </cfRule>
    <cfRule type="colorScale" priority="11817">
      <colorScale>
        <cfvo type="num" val="1"/>
        <cfvo type="num" val="2"/>
        <cfvo type="num" val="3"/>
        <color rgb="FFF8696B"/>
        <color rgb="FFFFEB84"/>
        <color rgb="FF63BE7B"/>
      </colorScale>
    </cfRule>
    <cfRule type="colorScale" priority="11818">
      <colorScale>
        <cfvo type="num" val="1"/>
        <cfvo type="num" val="2"/>
        <cfvo type="num" val="3"/>
        <color rgb="FFF8696B"/>
        <color rgb="FFFFEB84"/>
        <color rgb="FF63BE7B"/>
      </colorScale>
    </cfRule>
    <cfRule type="colorScale" priority="11819">
      <colorScale>
        <cfvo type="num" val="1"/>
        <cfvo type="num" val="2"/>
        <cfvo type="num" val="3"/>
        <color rgb="FFF8696B"/>
        <color rgb="FFFFEB84"/>
        <color rgb="FF63BE7B"/>
      </colorScale>
    </cfRule>
  </conditionalFormatting>
  <conditionalFormatting sqref="C393:Q393">
    <cfRule type="cellIs" dxfId="2792" priority="11546" operator="equal">
      <formula>5</formula>
    </cfRule>
    <cfRule type="cellIs" dxfId="2791" priority="11547" operator="equal">
      <formula>4</formula>
    </cfRule>
    <cfRule type="cellIs" dxfId="2790" priority="11548" operator="equal">
      <formula>1</formula>
    </cfRule>
    <cfRule type="cellIs" dxfId="2789" priority="11549" operator="equal">
      <formula>3</formula>
    </cfRule>
    <cfRule type="cellIs" dxfId="2788" priority="11550" operator="equal">
      <formula>2</formula>
    </cfRule>
    <cfRule type="colorScale" priority="11551">
      <colorScale>
        <cfvo type="min" val="0"/>
        <cfvo type="percentile" val="50"/>
        <cfvo type="max" val="0"/>
        <color rgb="FFF8696B"/>
        <color rgb="FFFFEB84"/>
        <color rgb="FF63BE7B"/>
      </colorScale>
    </cfRule>
    <cfRule type="colorScale" priority="11552">
      <colorScale>
        <cfvo type="num" val="1"/>
        <cfvo type="num" val="2"/>
        <cfvo type="num" val="3"/>
        <color rgb="FFF8696B"/>
        <color rgb="FFFFEB84"/>
        <color rgb="FF63BE7B"/>
      </colorScale>
    </cfRule>
    <cfRule type="colorScale" priority="11553">
      <colorScale>
        <cfvo type="num" val="1"/>
        <cfvo type="num" val="2"/>
        <cfvo type="num" val="3"/>
        <color rgb="FFF8696B"/>
        <color rgb="FFFFEB84"/>
        <color rgb="FF63BE7B"/>
      </colorScale>
    </cfRule>
    <cfRule type="colorScale" priority="11554">
      <colorScale>
        <cfvo type="num" val="1"/>
        <cfvo type="num" val="2"/>
        <cfvo type="num" val="3"/>
        <color rgb="FFF8696B"/>
        <color rgb="FFFFEB84"/>
        <color rgb="FF63BE7B"/>
      </colorScale>
    </cfRule>
    <cfRule type="colorScale" priority="11555">
      <colorScale>
        <cfvo type="num" val="1"/>
        <cfvo type="num" val="2"/>
        <cfvo type="num" val="3"/>
        <color rgb="FFF8696B"/>
        <color rgb="FFFFEB84"/>
        <color rgb="FF63BE7B"/>
      </colorScale>
    </cfRule>
    <cfRule type="colorScale" priority="11556">
      <colorScale>
        <cfvo type="num" val="1"/>
        <cfvo type="num" val="2"/>
        <cfvo type="num" val="3"/>
        <color rgb="FFF8696B"/>
        <color rgb="FFFFEB84"/>
        <color rgb="FF63BE7B"/>
      </colorScale>
    </cfRule>
    <cfRule type="colorScale" priority="11557">
      <colorScale>
        <cfvo type="num" val="1"/>
        <cfvo type="num" val="2"/>
        <cfvo type="num" val="3"/>
        <color rgb="FFF8696B"/>
        <color rgb="FFFFEB84"/>
        <color rgb="FF63BE7B"/>
      </colorScale>
    </cfRule>
  </conditionalFormatting>
  <conditionalFormatting sqref="C416:G416">
    <cfRule type="cellIs" dxfId="2787" priority="10661" operator="equal">
      <formula>5</formula>
    </cfRule>
    <cfRule type="cellIs" dxfId="2786" priority="10662" operator="equal">
      <formula>4</formula>
    </cfRule>
    <cfRule type="cellIs" dxfId="2785" priority="10663" operator="equal">
      <formula>1</formula>
    </cfRule>
    <cfRule type="cellIs" dxfId="2784" priority="10664" operator="equal">
      <formula>3</formula>
    </cfRule>
    <cfRule type="cellIs" dxfId="2783" priority="10665" operator="equal">
      <formula>2</formula>
    </cfRule>
    <cfRule type="colorScale" priority="10666">
      <colorScale>
        <cfvo type="min" val="0"/>
        <cfvo type="percentile" val="50"/>
        <cfvo type="max" val="0"/>
        <color rgb="FFF8696B"/>
        <color rgb="FFFFEB84"/>
        <color rgb="FF63BE7B"/>
      </colorScale>
    </cfRule>
    <cfRule type="colorScale" priority="10667">
      <colorScale>
        <cfvo type="num" val="1"/>
        <cfvo type="num" val="2"/>
        <cfvo type="num" val="3"/>
        <color rgb="FFF8696B"/>
        <color rgb="FFFFEB84"/>
        <color rgb="FF63BE7B"/>
      </colorScale>
    </cfRule>
    <cfRule type="colorScale" priority="10668">
      <colorScale>
        <cfvo type="num" val="1"/>
        <cfvo type="num" val="2"/>
        <cfvo type="num" val="3"/>
        <color rgb="FFF8696B"/>
        <color rgb="FFFFEB84"/>
        <color rgb="FF63BE7B"/>
      </colorScale>
    </cfRule>
    <cfRule type="colorScale" priority="10669">
      <colorScale>
        <cfvo type="num" val="1"/>
        <cfvo type="num" val="2"/>
        <cfvo type="num" val="3"/>
        <color rgb="FFF8696B"/>
        <color rgb="FFFFEB84"/>
        <color rgb="FF63BE7B"/>
      </colorScale>
    </cfRule>
    <cfRule type="colorScale" priority="10670">
      <colorScale>
        <cfvo type="num" val="1"/>
        <cfvo type="num" val="2"/>
        <cfvo type="num" val="3"/>
        <color rgb="FFF8696B"/>
        <color rgb="FFFFEB84"/>
        <color rgb="FF63BE7B"/>
      </colorScale>
    </cfRule>
    <cfRule type="colorScale" priority="10671">
      <colorScale>
        <cfvo type="num" val="1"/>
        <cfvo type="num" val="2"/>
        <cfvo type="num" val="3"/>
        <color rgb="FFF8696B"/>
        <color rgb="FFFFEB84"/>
        <color rgb="FF63BE7B"/>
      </colorScale>
    </cfRule>
    <cfRule type="colorScale" priority="10672">
      <colorScale>
        <cfvo type="num" val="1"/>
        <cfvo type="num" val="2"/>
        <cfvo type="num" val="3"/>
        <color rgb="FFF8696B"/>
        <color rgb="FFFFEB84"/>
        <color rgb="FF63BE7B"/>
      </colorScale>
    </cfRule>
  </conditionalFormatting>
  <conditionalFormatting sqref="C418:G418">
    <cfRule type="cellIs" dxfId="2782" priority="10431" operator="equal">
      <formula>5</formula>
    </cfRule>
    <cfRule type="cellIs" dxfId="2781" priority="10432" operator="equal">
      <formula>4</formula>
    </cfRule>
    <cfRule type="cellIs" dxfId="2780" priority="10433" operator="equal">
      <formula>1</formula>
    </cfRule>
    <cfRule type="cellIs" dxfId="2779" priority="10434" operator="equal">
      <formula>3</formula>
    </cfRule>
    <cfRule type="cellIs" dxfId="2778" priority="10435" operator="equal">
      <formula>2</formula>
    </cfRule>
    <cfRule type="colorScale" priority="10436">
      <colorScale>
        <cfvo type="min" val="0"/>
        <cfvo type="percentile" val="50"/>
        <cfvo type="max" val="0"/>
        <color rgb="FFF8696B"/>
        <color rgb="FFFFEB84"/>
        <color rgb="FF63BE7B"/>
      </colorScale>
    </cfRule>
    <cfRule type="colorScale" priority="10437">
      <colorScale>
        <cfvo type="num" val="1"/>
        <cfvo type="num" val="2"/>
        <cfvo type="num" val="3"/>
        <color rgb="FFF8696B"/>
        <color rgb="FFFFEB84"/>
        <color rgb="FF63BE7B"/>
      </colorScale>
    </cfRule>
    <cfRule type="colorScale" priority="10438">
      <colorScale>
        <cfvo type="num" val="1"/>
        <cfvo type="num" val="2"/>
        <cfvo type="num" val="3"/>
        <color rgb="FFF8696B"/>
        <color rgb="FFFFEB84"/>
        <color rgb="FF63BE7B"/>
      </colorScale>
    </cfRule>
    <cfRule type="colorScale" priority="10439">
      <colorScale>
        <cfvo type="num" val="1"/>
        <cfvo type="num" val="2"/>
        <cfvo type="num" val="3"/>
        <color rgb="FFF8696B"/>
        <color rgb="FFFFEB84"/>
        <color rgb="FF63BE7B"/>
      </colorScale>
    </cfRule>
    <cfRule type="colorScale" priority="10440">
      <colorScale>
        <cfvo type="num" val="1"/>
        <cfvo type="num" val="2"/>
        <cfvo type="num" val="3"/>
        <color rgb="FFF8696B"/>
        <color rgb="FFFFEB84"/>
        <color rgb="FF63BE7B"/>
      </colorScale>
    </cfRule>
    <cfRule type="colorScale" priority="10441">
      <colorScale>
        <cfvo type="num" val="1"/>
        <cfvo type="num" val="2"/>
        <cfvo type="num" val="3"/>
        <color rgb="FFF8696B"/>
        <color rgb="FFFFEB84"/>
        <color rgb="FF63BE7B"/>
      </colorScale>
    </cfRule>
    <cfRule type="colorScale" priority="10442">
      <colorScale>
        <cfvo type="num" val="1"/>
        <cfvo type="num" val="2"/>
        <cfvo type="num" val="3"/>
        <color rgb="FFF8696B"/>
        <color rgb="FFFFEB84"/>
        <color rgb="FF63BE7B"/>
      </colorScale>
    </cfRule>
  </conditionalFormatting>
  <conditionalFormatting sqref="C444:G444">
    <cfRule type="cellIs" dxfId="2777" priority="9545" operator="equal">
      <formula>5</formula>
    </cfRule>
    <cfRule type="cellIs" dxfId="2776" priority="9546" operator="equal">
      <formula>4</formula>
    </cfRule>
    <cfRule type="cellIs" dxfId="2775" priority="9547" operator="equal">
      <formula>1</formula>
    </cfRule>
    <cfRule type="cellIs" dxfId="2774" priority="9548" operator="equal">
      <formula>3</formula>
    </cfRule>
    <cfRule type="cellIs" dxfId="2773" priority="9549" operator="equal">
      <formula>2</formula>
    </cfRule>
    <cfRule type="colorScale" priority="9550">
      <colorScale>
        <cfvo type="min" val="0"/>
        <cfvo type="percentile" val="50"/>
        <cfvo type="max" val="0"/>
        <color rgb="FFF8696B"/>
        <color rgb="FFFFEB84"/>
        <color rgb="FF63BE7B"/>
      </colorScale>
    </cfRule>
    <cfRule type="colorScale" priority="9551">
      <colorScale>
        <cfvo type="num" val="1"/>
        <cfvo type="num" val="2"/>
        <cfvo type="num" val="3"/>
        <color rgb="FFF8696B"/>
        <color rgb="FFFFEB84"/>
        <color rgb="FF63BE7B"/>
      </colorScale>
    </cfRule>
    <cfRule type="colorScale" priority="9552">
      <colorScale>
        <cfvo type="num" val="1"/>
        <cfvo type="num" val="2"/>
        <cfvo type="num" val="3"/>
        <color rgb="FFF8696B"/>
        <color rgb="FFFFEB84"/>
        <color rgb="FF63BE7B"/>
      </colorScale>
    </cfRule>
    <cfRule type="colorScale" priority="9553">
      <colorScale>
        <cfvo type="num" val="1"/>
        <cfvo type="num" val="2"/>
        <cfvo type="num" val="3"/>
        <color rgb="FFF8696B"/>
        <color rgb="FFFFEB84"/>
        <color rgb="FF63BE7B"/>
      </colorScale>
    </cfRule>
    <cfRule type="colorScale" priority="9554">
      <colorScale>
        <cfvo type="num" val="1"/>
        <cfvo type="num" val="2"/>
        <cfvo type="num" val="3"/>
        <color rgb="FFF8696B"/>
        <color rgb="FFFFEB84"/>
        <color rgb="FF63BE7B"/>
      </colorScale>
    </cfRule>
    <cfRule type="colorScale" priority="9555">
      <colorScale>
        <cfvo type="num" val="1"/>
        <cfvo type="num" val="2"/>
        <cfvo type="num" val="3"/>
        <color rgb="FFF8696B"/>
        <color rgb="FFFFEB84"/>
        <color rgb="FF63BE7B"/>
      </colorScale>
    </cfRule>
    <cfRule type="colorScale" priority="9556">
      <colorScale>
        <cfvo type="num" val="1"/>
        <cfvo type="num" val="2"/>
        <cfvo type="num" val="3"/>
        <color rgb="FFF8696B"/>
        <color rgb="FFFFEB84"/>
        <color rgb="FF63BE7B"/>
      </colorScale>
    </cfRule>
  </conditionalFormatting>
  <conditionalFormatting sqref="C446:G446">
    <cfRule type="cellIs" dxfId="2772" priority="9283" operator="equal">
      <formula>5</formula>
    </cfRule>
    <cfRule type="cellIs" dxfId="2771" priority="9284" operator="equal">
      <formula>4</formula>
    </cfRule>
    <cfRule type="cellIs" dxfId="2770" priority="9285" operator="equal">
      <formula>1</formula>
    </cfRule>
    <cfRule type="cellIs" dxfId="2769" priority="9286" operator="equal">
      <formula>3</formula>
    </cfRule>
    <cfRule type="cellIs" dxfId="2768" priority="9287" operator="equal">
      <formula>2</formula>
    </cfRule>
    <cfRule type="colorScale" priority="9288">
      <colorScale>
        <cfvo type="min" val="0"/>
        <cfvo type="percentile" val="50"/>
        <cfvo type="max" val="0"/>
        <color rgb="FFF8696B"/>
        <color rgb="FFFFEB84"/>
        <color rgb="FF63BE7B"/>
      </colorScale>
    </cfRule>
    <cfRule type="colorScale" priority="9289">
      <colorScale>
        <cfvo type="num" val="1"/>
        <cfvo type="num" val="2"/>
        <cfvo type="num" val="3"/>
        <color rgb="FFF8696B"/>
        <color rgb="FFFFEB84"/>
        <color rgb="FF63BE7B"/>
      </colorScale>
    </cfRule>
    <cfRule type="colorScale" priority="9290">
      <colorScale>
        <cfvo type="num" val="1"/>
        <cfvo type="num" val="2"/>
        <cfvo type="num" val="3"/>
        <color rgb="FFF8696B"/>
        <color rgb="FFFFEB84"/>
        <color rgb="FF63BE7B"/>
      </colorScale>
    </cfRule>
    <cfRule type="colorScale" priority="9291">
      <colorScale>
        <cfvo type="num" val="1"/>
        <cfvo type="num" val="2"/>
        <cfvo type="num" val="3"/>
        <color rgb="FFF8696B"/>
        <color rgb="FFFFEB84"/>
        <color rgb="FF63BE7B"/>
      </colorScale>
    </cfRule>
    <cfRule type="colorScale" priority="9292">
      <colorScale>
        <cfvo type="num" val="1"/>
        <cfvo type="num" val="2"/>
        <cfvo type="num" val="3"/>
        <color rgb="FFF8696B"/>
        <color rgb="FFFFEB84"/>
        <color rgb="FF63BE7B"/>
      </colorScale>
    </cfRule>
    <cfRule type="colorScale" priority="9293">
      <colorScale>
        <cfvo type="num" val="1"/>
        <cfvo type="num" val="2"/>
        <cfvo type="num" val="3"/>
        <color rgb="FFF8696B"/>
        <color rgb="FFFFEB84"/>
        <color rgb="FF63BE7B"/>
      </colorScale>
    </cfRule>
    <cfRule type="colorScale" priority="9294">
      <colorScale>
        <cfvo type="num" val="1"/>
        <cfvo type="num" val="2"/>
        <cfvo type="num" val="3"/>
        <color rgb="FFF8696B"/>
        <color rgb="FFFFEB84"/>
        <color rgb="FF63BE7B"/>
      </colorScale>
    </cfRule>
  </conditionalFormatting>
  <conditionalFormatting sqref="C472:G472">
    <cfRule type="cellIs" dxfId="2767" priority="8398" operator="equal">
      <formula>5</formula>
    </cfRule>
    <cfRule type="cellIs" dxfId="2766" priority="8399" operator="equal">
      <formula>4</formula>
    </cfRule>
    <cfRule type="cellIs" dxfId="2765" priority="8400" operator="equal">
      <formula>1</formula>
    </cfRule>
    <cfRule type="cellIs" dxfId="2764" priority="8401" operator="equal">
      <formula>3</formula>
    </cfRule>
    <cfRule type="cellIs" dxfId="2763" priority="8402" operator="equal">
      <formula>2</formula>
    </cfRule>
    <cfRule type="colorScale" priority="8403">
      <colorScale>
        <cfvo type="min" val="0"/>
        <cfvo type="percentile" val="50"/>
        <cfvo type="max" val="0"/>
        <color rgb="FFF8696B"/>
        <color rgb="FFFFEB84"/>
        <color rgb="FF63BE7B"/>
      </colorScale>
    </cfRule>
    <cfRule type="colorScale" priority="8404">
      <colorScale>
        <cfvo type="num" val="1"/>
        <cfvo type="num" val="2"/>
        <cfvo type="num" val="3"/>
        <color rgb="FFF8696B"/>
        <color rgb="FFFFEB84"/>
        <color rgb="FF63BE7B"/>
      </colorScale>
    </cfRule>
    <cfRule type="colorScale" priority="8405">
      <colorScale>
        <cfvo type="num" val="1"/>
        <cfvo type="num" val="2"/>
        <cfvo type="num" val="3"/>
        <color rgb="FFF8696B"/>
        <color rgb="FFFFEB84"/>
        <color rgb="FF63BE7B"/>
      </colorScale>
    </cfRule>
    <cfRule type="colorScale" priority="8406">
      <colorScale>
        <cfvo type="num" val="1"/>
        <cfvo type="num" val="2"/>
        <cfvo type="num" val="3"/>
        <color rgb="FFF8696B"/>
        <color rgb="FFFFEB84"/>
        <color rgb="FF63BE7B"/>
      </colorScale>
    </cfRule>
    <cfRule type="colorScale" priority="8407">
      <colorScale>
        <cfvo type="num" val="1"/>
        <cfvo type="num" val="2"/>
        <cfvo type="num" val="3"/>
        <color rgb="FFF8696B"/>
        <color rgb="FFFFEB84"/>
        <color rgb="FF63BE7B"/>
      </colorScale>
    </cfRule>
    <cfRule type="colorScale" priority="8408">
      <colorScale>
        <cfvo type="num" val="1"/>
        <cfvo type="num" val="2"/>
        <cfvo type="num" val="3"/>
        <color rgb="FFF8696B"/>
        <color rgb="FFFFEB84"/>
        <color rgb="FF63BE7B"/>
      </colorScale>
    </cfRule>
    <cfRule type="colorScale" priority="8409">
      <colorScale>
        <cfvo type="num" val="1"/>
        <cfvo type="num" val="2"/>
        <cfvo type="num" val="3"/>
        <color rgb="FFF8696B"/>
        <color rgb="FFFFEB84"/>
        <color rgb="FF63BE7B"/>
      </colorScale>
    </cfRule>
  </conditionalFormatting>
  <conditionalFormatting sqref="C474:G474">
    <cfRule type="cellIs" dxfId="2762" priority="8168" operator="equal">
      <formula>5</formula>
    </cfRule>
    <cfRule type="cellIs" dxfId="2761" priority="8169" operator="equal">
      <formula>4</formula>
    </cfRule>
    <cfRule type="cellIs" dxfId="2760" priority="8170" operator="equal">
      <formula>1</formula>
    </cfRule>
    <cfRule type="cellIs" dxfId="2759" priority="8171" operator="equal">
      <formula>3</formula>
    </cfRule>
    <cfRule type="cellIs" dxfId="2758" priority="8172" operator="equal">
      <formula>2</formula>
    </cfRule>
    <cfRule type="colorScale" priority="8173">
      <colorScale>
        <cfvo type="min" val="0"/>
        <cfvo type="percentile" val="50"/>
        <cfvo type="max" val="0"/>
        <color rgb="FFF8696B"/>
        <color rgb="FFFFEB84"/>
        <color rgb="FF63BE7B"/>
      </colorScale>
    </cfRule>
    <cfRule type="colorScale" priority="8174">
      <colorScale>
        <cfvo type="num" val="1"/>
        <cfvo type="num" val="2"/>
        <cfvo type="num" val="3"/>
        <color rgb="FFF8696B"/>
        <color rgb="FFFFEB84"/>
        <color rgb="FF63BE7B"/>
      </colorScale>
    </cfRule>
    <cfRule type="colorScale" priority="8175">
      <colorScale>
        <cfvo type="num" val="1"/>
        <cfvo type="num" val="2"/>
        <cfvo type="num" val="3"/>
        <color rgb="FFF8696B"/>
        <color rgb="FFFFEB84"/>
        <color rgb="FF63BE7B"/>
      </colorScale>
    </cfRule>
    <cfRule type="colorScale" priority="8176">
      <colorScale>
        <cfvo type="num" val="1"/>
        <cfvo type="num" val="2"/>
        <cfvo type="num" val="3"/>
        <color rgb="FFF8696B"/>
        <color rgb="FFFFEB84"/>
        <color rgb="FF63BE7B"/>
      </colorScale>
    </cfRule>
    <cfRule type="colorScale" priority="8177">
      <colorScale>
        <cfvo type="num" val="1"/>
        <cfvo type="num" val="2"/>
        <cfvo type="num" val="3"/>
        <color rgb="FFF8696B"/>
        <color rgb="FFFFEB84"/>
        <color rgb="FF63BE7B"/>
      </colorScale>
    </cfRule>
    <cfRule type="colorScale" priority="8178">
      <colorScale>
        <cfvo type="num" val="1"/>
        <cfvo type="num" val="2"/>
        <cfvo type="num" val="3"/>
        <color rgb="FFF8696B"/>
        <color rgb="FFFFEB84"/>
        <color rgb="FF63BE7B"/>
      </colorScale>
    </cfRule>
    <cfRule type="colorScale" priority="8179">
      <colorScale>
        <cfvo type="num" val="1"/>
        <cfvo type="num" val="2"/>
        <cfvo type="num" val="3"/>
        <color rgb="FFF8696B"/>
        <color rgb="FFFFEB84"/>
        <color rgb="FF63BE7B"/>
      </colorScale>
    </cfRule>
  </conditionalFormatting>
  <conditionalFormatting sqref="C499:G499">
    <cfRule type="cellIs" dxfId="2757" priority="7283" operator="equal">
      <formula>5</formula>
    </cfRule>
    <cfRule type="cellIs" dxfId="2756" priority="7284" operator="equal">
      <formula>4</formula>
    </cfRule>
    <cfRule type="cellIs" dxfId="2755" priority="7285" operator="equal">
      <formula>1</formula>
    </cfRule>
    <cfRule type="cellIs" dxfId="2754" priority="7286" operator="equal">
      <formula>3</formula>
    </cfRule>
    <cfRule type="cellIs" dxfId="2753" priority="7287" operator="equal">
      <formula>2</formula>
    </cfRule>
    <cfRule type="colorScale" priority="7288">
      <colorScale>
        <cfvo type="min" val="0"/>
        <cfvo type="percentile" val="50"/>
        <cfvo type="max" val="0"/>
        <color rgb="FFF8696B"/>
        <color rgb="FFFFEB84"/>
        <color rgb="FF63BE7B"/>
      </colorScale>
    </cfRule>
    <cfRule type="colorScale" priority="7289">
      <colorScale>
        <cfvo type="num" val="1"/>
        <cfvo type="num" val="2"/>
        <cfvo type="num" val="3"/>
        <color rgb="FFF8696B"/>
        <color rgb="FFFFEB84"/>
        <color rgb="FF63BE7B"/>
      </colorScale>
    </cfRule>
    <cfRule type="colorScale" priority="7290">
      <colorScale>
        <cfvo type="num" val="1"/>
        <cfvo type="num" val="2"/>
        <cfvo type="num" val="3"/>
        <color rgb="FFF8696B"/>
        <color rgb="FFFFEB84"/>
        <color rgb="FF63BE7B"/>
      </colorScale>
    </cfRule>
    <cfRule type="colorScale" priority="7291">
      <colorScale>
        <cfvo type="num" val="1"/>
        <cfvo type="num" val="2"/>
        <cfvo type="num" val="3"/>
        <color rgb="FFF8696B"/>
        <color rgb="FFFFEB84"/>
        <color rgb="FF63BE7B"/>
      </colorScale>
    </cfRule>
    <cfRule type="colorScale" priority="7292">
      <colorScale>
        <cfvo type="num" val="1"/>
        <cfvo type="num" val="2"/>
        <cfvo type="num" val="3"/>
        <color rgb="FFF8696B"/>
        <color rgb="FFFFEB84"/>
        <color rgb="FF63BE7B"/>
      </colorScale>
    </cfRule>
    <cfRule type="colorScale" priority="7293">
      <colorScale>
        <cfvo type="num" val="1"/>
        <cfvo type="num" val="2"/>
        <cfvo type="num" val="3"/>
        <color rgb="FFF8696B"/>
        <color rgb="FFFFEB84"/>
        <color rgb="FF63BE7B"/>
      </colorScale>
    </cfRule>
    <cfRule type="colorScale" priority="7294">
      <colorScale>
        <cfvo type="num" val="1"/>
        <cfvo type="num" val="2"/>
        <cfvo type="num" val="3"/>
        <color rgb="FFF8696B"/>
        <color rgb="FFFFEB84"/>
        <color rgb="FF63BE7B"/>
      </colorScale>
    </cfRule>
  </conditionalFormatting>
  <conditionalFormatting sqref="C501:G501">
    <cfRule type="cellIs" dxfId="2752" priority="7053" operator="equal">
      <formula>5</formula>
    </cfRule>
    <cfRule type="cellIs" dxfId="2751" priority="7054" operator="equal">
      <formula>4</formula>
    </cfRule>
    <cfRule type="cellIs" dxfId="2750" priority="7055" operator="equal">
      <formula>1</formula>
    </cfRule>
    <cfRule type="cellIs" dxfId="2749" priority="7056" operator="equal">
      <formula>3</formula>
    </cfRule>
    <cfRule type="cellIs" dxfId="2748" priority="7057" operator="equal">
      <formula>2</formula>
    </cfRule>
    <cfRule type="colorScale" priority="7058">
      <colorScale>
        <cfvo type="min" val="0"/>
        <cfvo type="percentile" val="50"/>
        <cfvo type="max" val="0"/>
        <color rgb="FFF8696B"/>
        <color rgb="FFFFEB84"/>
        <color rgb="FF63BE7B"/>
      </colorScale>
    </cfRule>
    <cfRule type="colorScale" priority="7059">
      <colorScale>
        <cfvo type="num" val="1"/>
        <cfvo type="num" val="2"/>
        <cfvo type="num" val="3"/>
        <color rgb="FFF8696B"/>
        <color rgb="FFFFEB84"/>
        <color rgb="FF63BE7B"/>
      </colorScale>
    </cfRule>
    <cfRule type="colorScale" priority="7060">
      <colorScale>
        <cfvo type="num" val="1"/>
        <cfvo type="num" val="2"/>
        <cfvo type="num" val="3"/>
        <color rgb="FFF8696B"/>
        <color rgb="FFFFEB84"/>
        <color rgb="FF63BE7B"/>
      </colorScale>
    </cfRule>
    <cfRule type="colorScale" priority="7061">
      <colorScale>
        <cfvo type="num" val="1"/>
        <cfvo type="num" val="2"/>
        <cfvo type="num" val="3"/>
        <color rgb="FFF8696B"/>
        <color rgb="FFFFEB84"/>
        <color rgb="FF63BE7B"/>
      </colorScale>
    </cfRule>
    <cfRule type="colorScale" priority="7062">
      <colorScale>
        <cfvo type="num" val="1"/>
        <cfvo type="num" val="2"/>
        <cfvo type="num" val="3"/>
        <color rgb="FFF8696B"/>
        <color rgb="FFFFEB84"/>
        <color rgb="FF63BE7B"/>
      </colorScale>
    </cfRule>
    <cfRule type="colorScale" priority="7063">
      <colorScale>
        <cfvo type="num" val="1"/>
        <cfvo type="num" val="2"/>
        <cfvo type="num" val="3"/>
        <color rgb="FFF8696B"/>
        <color rgb="FFFFEB84"/>
        <color rgb="FF63BE7B"/>
      </colorScale>
    </cfRule>
    <cfRule type="colorScale" priority="7064">
      <colorScale>
        <cfvo type="num" val="1"/>
        <cfvo type="num" val="2"/>
        <cfvo type="num" val="3"/>
        <color rgb="FFF8696B"/>
        <color rgb="FFFFEB84"/>
        <color rgb="FF63BE7B"/>
      </colorScale>
    </cfRule>
  </conditionalFormatting>
  <conditionalFormatting sqref="C99:H99">
    <cfRule type="cellIs" dxfId="2747" priority="37726" operator="equal">
      <formula>5</formula>
    </cfRule>
    <cfRule type="cellIs" dxfId="2746" priority="37727" operator="equal">
      <formula>4</formula>
    </cfRule>
    <cfRule type="cellIs" dxfId="2745" priority="37728" operator="equal">
      <formula>1</formula>
    </cfRule>
    <cfRule type="colorScale" priority="37731">
      <colorScale>
        <cfvo type="min" val="0"/>
        <cfvo type="percentile" val="50"/>
        <cfvo type="max" val="0"/>
        <color rgb="FFF8696B"/>
        <color rgb="FFFFEB84"/>
        <color rgb="FF63BE7B"/>
      </colorScale>
    </cfRule>
    <cfRule type="colorScale" priority="37732">
      <colorScale>
        <cfvo type="num" val="1"/>
        <cfvo type="num" val="2"/>
        <cfvo type="num" val="3"/>
        <color rgb="FFF8696B"/>
        <color rgb="FFFFEB84"/>
        <color rgb="FF63BE7B"/>
      </colorScale>
    </cfRule>
    <cfRule type="colorScale" priority="37733">
      <colorScale>
        <cfvo type="num" val="1"/>
        <cfvo type="num" val="2"/>
        <cfvo type="num" val="3"/>
        <color rgb="FFF8696B"/>
        <color rgb="FFFFEB84"/>
        <color rgb="FF63BE7B"/>
      </colorScale>
    </cfRule>
    <cfRule type="colorScale" priority="37734">
      <colorScale>
        <cfvo type="num" val="1"/>
        <cfvo type="num" val="2"/>
        <cfvo type="num" val="3"/>
        <color rgb="FFF8696B"/>
        <color rgb="FFFFEB84"/>
        <color rgb="FF63BE7B"/>
      </colorScale>
    </cfRule>
    <cfRule type="colorScale" priority="37735">
      <colorScale>
        <cfvo type="num" val="1"/>
        <cfvo type="num" val="2"/>
        <cfvo type="num" val="3"/>
        <color rgb="FFF8696B"/>
        <color rgb="FFFFEB84"/>
        <color rgb="FF63BE7B"/>
      </colorScale>
    </cfRule>
    <cfRule type="colorScale" priority="37736">
      <colorScale>
        <cfvo type="num" val="1"/>
        <cfvo type="num" val="2"/>
        <cfvo type="num" val="3"/>
        <color rgb="FFF8696B"/>
        <color rgb="FFFFEB84"/>
        <color rgb="FF63BE7B"/>
      </colorScale>
    </cfRule>
    <cfRule type="colorScale" priority="37737">
      <colorScale>
        <cfvo type="num" val="1"/>
        <cfvo type="num" val="2"/>
        <cfvo type="num" val="3"/>
        <color rgb="FFF8696B"/>
        <color rgb="FFFFEB84"/>
        <color rgb="FF63BE7B"/>
      </colorScale>
    </cfRule>
  </conditionalFormatting>
  <conditionalFormatting sqref="C132:H132">
    <cfRule type="cellIs" dxfId="2744" priority="26295" operator="equal">
      <formula>5</formula>
    </cfRule>
    <cfRule type="cellIs" dxfId="2743" priority="26296" operator="equal">
      <formula>4</formula>
    </cfRule>
    <cfRule type="cellIs" dxfId="2742" priority="26297" operator="equal">
      <formula>1</formula>
    </cfRule>
    <cfRule type="colorScale" priority="26300">
      <colorScale>
        <cfvo type="min" val="0"/>
        <cfvo type="percentile" val="50"/>
        <cfvo type="max" val="0"/>
        <color rgb="FFF8696B"/>
        <color rgb="FFFFEB84"/>
        <color rgb="FF63BE7B"/>
      </colorScale>
    </cfRule>
    <cfRule type="colorScale" priority="26301">
      <colorScale>
        <cfvo type="num" val="1"/>
        <cfvo type="num" val="2"/>
        <cfvo type="num" val="3"/>
        <color rgb="FFF8696B"/>
        <color rgb="FFFFEB84"/>
        <color rgb="FF63BE7B"/>
      </colorScale>
    </cfRule>
    <cfRule type="colorScale" priority="26302">
      <colorScale>
        <cfvo type="num" val="1"/>
        <cfvo type="num" val="2"/>
        <cfvo type="num" val="3"/>
        <color rgb="FFF8696B"/>
        <color rgb="FFFFEB84"/>
        <color rgb="FF63BE7B"/>
      </colorScale>
    </cfRule>
    <cfRule type="colorScale" priority="26303">
      <colorScale>
        <cfvo type="num" val="1"/>
        <cfvo type="num" val="2"/>
        <cfvo type="num" val="3"/>
        <color rgb="FFF8696B"/>
        <color rgb="FFFFEB84"/>
        <color rgb="FF63BE7B"/>
      </colorScale>
    </cfRule>
    <cfRule type="colorScale" priority="26304">
      <colorScale>
        <cfvo type="num" val="1"/>
        <cfvo type="num" val="2"/>
        <cfvo type="num" val="3"/>
        <color rgb="FFF8696B"/>
        <color rgb="FFFFEB84"/>
        <color rgb="FF63BE7B"/>
      </colorScale>
    </cfRule>
    <cfRule type="colorScale" priority="26305">
      <colorScale>
        <cfvo type="num" val="1"/>
        <cfvo type="num" val="2"/>
        <cfvo type="num" val="3"/>
        <color rgb="FFF8696B"/>
        <color rgb="FFFFEB84"/>
        <color rgb="FF63BE7B"/>
      </colorScale>
    </cfRule>
    <cfRule type="colorScale" priority="26306">
      <colorScale>
        <cfvo type="num" val="1"/>
        <cfvo type="num" val="2"/>
        <cfvo type="num" val="3"/>
        <color rgb="FFF8696B"/>
        <color rgb="FFFFEB84"/>
        <color rgb="FF63BE7B"/>
      </colorScale>
    </cfRule>
  </conditionalFormatting>
  <conditionalFormatting sqref="C167:H167">
    <cfRule type="cellIs" dxfId="2741" priority="25214" operator="equal">
      <formula>5</formula>
    </cfRule>
    <cfRule type="cellIs" dxfId="2740" priority="25215" operator="equal">
      <formula>4</formula>
    </cfRule>
    <cfRule type="cellIs" dxfId="2739" priority="25216" operator="equal">
      <formula>1</formula>
    </cfRule>
    <cfRule type="colorScale" priority="25219">
      <colorScale>
        <cfvo type="min" val="0"/>
        <cfvo type="percentile" val="50"/>
        <cfvo type="max" val="0"/>
        <color rgb="FFF8696B"/>
        <color rgb="FFFFEB84"/>
        <color rgb="FF63BE7B"/>
      </colorScale>
    </cfRule>
    <cfRule type="colorScale" priority="25220">
      <colorScale>
        <cfvo type="num" val="1"/>
        <cfvo type="num" val="2"/>
        <cfvo type="num" val="3"/>
        <color rgb="FFF8696B"/>
        <color rgb="FFFFEB84"/>
        <color rgb="FF63BE7B"/>
      </colorScale>
    </cfRule>
    <cfRule type="colorScale" priority="25221">
      <colorScale>
        <cfvo type="num" val="1"/>
        <cfvo type="num" val="2"/>
        <cfvo type="num" val="3"/>
        <color rgb="FFF8696B"/>
        <color rgb="FFFFEB84"/>
        <color rgb="FF63BE7B"/>
      </colorScale>
    </cfRule>
    <cfRule type="colorScale" priority="25222">
      <colorScale>
        <cfvo type="num" val="1"/>
        <cfvo type="num" val="2"/>
        <cfvo type="num" val="3"/>
        <color rgb="FFF8696B"/>
        <color rgb="FFFFEB84"/>
        <color rgb="FF63BE7B"/>
      </colorScale>
    </cfRule>
    <cfRule type="colorScale" priority="25223">
      <colorScale>
        <cfvo type="num" val="1"/>
        <cfvo type="num" val="2"/>
        <cfvo type="num" val="3"/>
        <color rgb="FFF8696B"/>
        <color rgb="FFFFEB84"/>
        <color rgb="FF63BE7B"/>
      </colorScale>
    </cfRule>
    <cfRule type="colorScale" priority="25224">
      <colorScale>
        <cfvo type="num" val="1"/>
        <cfvo type="num" val="2"/>
        <cfvo type="num" val="3"/>
        <color rgb="FFF8696B"/>
        <color rgb="FFFFEB84"/>
        <color rgb="FF63BE7B"/>
      </colorScale>
    </cfRule>
    <cfRule type="colorScale" priority="25225">
      <colorScale>
        <cfvo type="num" val="1"/>
        <cfvo type="num" val="2"/>
        <cfvo type="num" val="3"/>
        <color rgb="FFF8696B"/>
        <color rgb="FFFFEB84"/>
        <color rgb="FF63BE7B"/>
      </colorScale>
    </cfRule>
  </conditionalFormatting>
  <conditionalFormatting sqref="D21:D22">
    <cfRule type="cellIs" dxfId="2738" priority="40169" operator="equal">
      <formula>5</formula>
    </cfRule>
    <cfRule type="cellIs" dxfId="2737" priority="40170" operator="equal">
      <formula>4</formula>
    </cfRule>
    <cfRule type="cellIs" dxfId="2736" priority="40171" operator="equal">
      <formula>1</formula>
    </cfRule>
    <cfRule type="cellIs" dxfId="2735" priority="40172" operator="equal">
      <formula>3</formula>
    </cfRule>
    <cfRule type="cellIs" dxfId="2734" priority="40173" operator="equal">
      <formula>2</formula>
    </cfRule>
    <cfRule type="colorScale" priority="40174">
      <colorScale>
        <cfvo type="num" val="1"/>
        <cfvo type="num" val="2"/>
        <cfvo type="num" val="3"/>
        <color rgb="FFF8696B"/>
        <color rgb="FFFFEB84"/>
        <color rgb="FF63BE7B"/>
      </colorScale>
    </cfRule>
    <cfRule type="colorScale" priority="40175">
      <colorScale>
        <cfvo type="num" val="1"/>
        <cfvo type="num" val="2"/>
        <cfvo type="num" val="3"/>
        <color rgb="FFF8696B"/>
        <color rgb="FFFFEB84"/>
        <color rgb="FF63BE7B"/>
      </colorScale>
    </cfRule>
    <cfRule type="colorScale" priority="40176">
      <colorScale>
        <cfvo type="min" val="0"/>
        <cfvo type="percentile" val="50"/>
        <cfvo type="max" val="0"/>
        <color rgb="FFF8696B"/>
        <color rgb="FFFFEB84"/>
        <color rgb="FF63BE7B"/>
      </colorScale>
    </cfRule>
  </conditionalFormatting>
  <conditionalFormatting sqref="D38">
    <cfRule type="cellIs" dxfId="2733" priority="36355" operator="equal">
      <formula>5</formula>
    </cfRule>
    <cfRule type="cellIs" dxfId="2732" priority="36356" operator="equal">
      <formula>4</formula>
    </cfRule>
    <cfRule type="cellIs" dxfId="2731" priority="36357" operator="equal">
      <formula>1</formula>
    </cfRule>
    <cfRule type="colorScale" priority="36360">
      <colorScale>
        <cfvo type="num" val="1"/>
        <cfvo type="num" val="2"/>
        <cfvo type="num" val="3"/>
        <color rgb="FFF8696B"/>
        <color rgb="FFFFEB84"/>
        <color rgb="FF63BE7B"/>
      </colorScale>
    </cfRule>
    <cfRule type="colorScale" priority="36361">
      <colorScale>
        <cfvo type="num" val="1"/>
        <cfvo type="num" val="2"/>
        <cfvo type="num" val="3"/>
        <color rgb="FFF8696B"/>
        <color rgb="FFFFEB84"/>
        <color rgb="FF63BE7B"/>
      </colorScale>
    </cfRule>
    <cfRule type="colorScale" priority="36362">
      <colorScale>
        <cfvo type="min" val="0"/>
        <cfvo type="percentile" val="50"/>
        <cfvo type="max" val="0"/>
        <color rgb="FFF8696B"/>
        <color rgb="FFFFEB84"/>
        <color rgb="FF63BE7B"/>
      </colorScale>
    </cfRule>
  </conditionalFormatting>
  <conditionalFormatting sqref="D40">
    <cfRule type="cellIs" dxfId="2730" priority="36363" operator="equal">
      <formula>5</formula>
    </cfRule>
    <cfRule type="cellIs" dxfId="2729" priority="36364" operator="equal">
      <formula>4</formula>
    </cfRule>
    <cfRule type="cellIs" dxfId="2728" priority="36365" operator="equal">
      <formula>1</formula>
    </cfRule>
    <cfRule type="cellIs" dxfId="2727" priority="36366" operator="equal">
      <formula>3</formula>
    </cfRule>
    <cfRule type="cellIs" dxfId="2726" priority="36367" operator="equal">
      <formula>2</formula>
    </cfRule>
    <cfRule type="colorScale" priority="36368">
      <colorScale>
        <cfvo type="num" val="1"/>
        <cfvo type="num" val="2"/>
        <cfvo type="num" val="3"/>
        <color rgb="FFF8696B"/>
        <color rgb="FFFFEB84"/>
        <color rgb="FF63BE7B"/>
      </colorScale>
    </cfRule>
    <cfRule type="colorScale" priority="36369">
      <colorScale>
        <cfvo type="num" val="1"/>
        <cfvo type="num" val="2"/>
        <cfvo type="num" val="3"/>
        <color rgb="FFF8696B"/>
        <color rgb="FFFFEB84"/>
        <color rgb="FF63BE7B"/>
      </colorScale>
    </cfRule>
    <cfRule type="colorScale" priority="36370">
      <colorScale>
        <cfvo type="min" val="0"/>
        <cfvo type="percentile" val="50"/>
        <cfvo type="max" val="0"/>
        <color rgb="FFF8696B"/>
        <color rgb="FFFFEB84"/>
        <color rgb="FF63BE7B"/>
      </colorScale>
    </cfRule>
  </conditionalFormatting>
  <conditionalFormatting sqref="D50">
    <cfRule type="cellIs" dxfId="2725" priority="36449" operator="equal">
      <formula>5</formula>
    </cfRule>
    <cfRule type="cellIs" dxfId="2724" priority="36450" operator="equal">
      <formula>4</formula>
    </cfRule>
    <cfRule type="cellIs" dxfId="2723" priority="36451" operator="equal">
      <formula>1</formula>
    </cfRule>
    <cfRule type="colorScale" priority="36454">
      <colorScale>
        <cfvo type="num" val="1"/>
        <cfvo type="num" val="2"/>
        <cfvo type="num" val="3"/>
        <color rgb="FFF8696B"/>
        <color rgb="FFFFEB84"/>
        <color rgb="FF63BE7B"/>
      </colorScale>
    </cfRule>
    <cfRule type="colorScale" priority="36455">
      <colorScale>
        <cfvo type="num" val="1"/>
        <cfvo type="num" val="2"/>
        <cfvo type="num" val="3"/>
        <color rgb="FFF8696B"/>
        <color rgb="FFFFEB84"/>
        <color rgb="FF63BE7B"/>
      </colorScale>
    </cfRule>
    <cfRule type="colorScale" priority="36456">
      <colorScale>
        <cfvo type="min" val="0"/>
        <cfvo type="percentile" val="50"/>
        <cfvo type="max" val="0"/>
        <color rgb="FFF8696B"/>
        <color rgb="FFFFEB84"/>
        <color rgb="FF63BE7B"/>
      </colorScale>
    </cfRule>
  </conditionalFormatting>
  <conditionalFormatting sqref="D51:D52 D79:D80">
    <cfRule type="cellIs" dxfId="2722" priority="36457" operator="equal">
      <formula>5</formula>
    </cfRule>
    <cfRule type="cellIs" dxfId="2721" priority="36458" operator="equal">
      <formula>4</formula>
    </cfRule>
    <cfRule type="cellIs" dxfId="2720" priority="36459" operator="equal">
      <formula>1</formula>
    </cfRule>
    <cfRule type="colorScale" priority="36462">
      <colorScale>
        <cfvo type="num" val="1"/>
        <cfvo type="num" val="2"/>
        <cfvo type="num" val="3"/>
        <color rgb="FFF8696B"/>
        <color rgb="FFFFEB84"/>
        <color rgb="FF63BE7B"/>
      </colorScale>
    </cfRule>
    <cfRule type="colorScale" priority="36463">
      <colorScale>
        <cfvo type="num" val="1"/>
        <cfvo type="num" val="2"/>
        <cfvo type="num" val="3"/>
        <color rgb="FFF8696B"/>
        <color rgb="FFFFEB84"/>
        <color rgb="FF63BE7B"/>
      </colorScale>
    </cfRule>
    <cfRule type="colorScale" priority="36464">
      <colorScale>
        <cfvo type="min" val="0"/>
        <cfvo type="percentile" val="50"/>
        <cfvo type="max" val="0"/>
        <color rgb="FFF8696B"/>
        <color rgb="FFFFEB84"/>
        <color rgb="FF63BE7B"/>
      </colorScale>
    </cfRule>
  </conditionalFormatting>
  <conditionalFormatting sqref="D66">
    <cfRule type="cellIs" dxfId="2719" priority="35342" operator="equal">
      <formula>5</formula>
    </cfRule>
    <cfRule type="cellIs" dxfId="2718" priority="35343" operator="equal">
      <formula>4</formula>
    </cfRule>
    <cfRule type="cellIs" dxfId="2717" priority="35344" operator="equal">
      <formula>1</formula>
    </cfRule>
    <cfRule type="colorScale" priority="35347">
      <colorScale>
        <cfvo type="num" val="1"/>
        <cfvo type="num" val="2"/>
        <cfvo type="num" val="3"/>
        <color rgb="FFF8696B"/>
        <color rgb="FFFFEB84"/>
        <color rgb="FF63BE7B"/>
      </colorScale>
    </cfRule>
    <cfRule type="colorScale" priority="35348">
      <colorScale>
        <cfvo type="num" val="1"/>
        <cfvo type="num" val="2"/>
        <cfvo type="num" val="3"/>
        <color rgb="FFF8696B"/>
        <color rgb="FFFFEB84"/>
        <color rgb="FF63BE7B"/>
      </colorScale>
    </cfRule>
    <cfRule type="colorScale" priority="35349">
      <colorScale>
        <cfvo type="min" val="0"/>
        <cfvo type="percentile" val="50"/>
        <cfvo type="max" val="0"/>
        <color rgb="FFF8696B"/>
        <color rgb="FFFFEB84"/>
        <color rgb="FF63BE7B"/>
      </colorScale>
    </cfRule>
  </conditionalFormatting>
  <conditionalFormatting sqref="D68">
    <cfRule type="cellIs" dxfId="2716" priority="35350" operator="equal">
      <formula>5</formula>
    </cfRule>
    <cfRule type="cellIs" dxfId="2715" priority="35351" operator="equal">
      <formula>4</formula>
    </cfRule>
    <cfRule type="cellIs" dxfId="2714" priority="35352" operator="equal">
      <formula>1</formula>
    </cfRule>
    <cfRule type="cellIs" dxfId="2713" priority="35353" operator="equal">
      <formula>3</formula>
    </cfRule>
    <cfRule type="cellIs" dxfId="2712" priority="35354" operator="equal">
      <formula>2</formula>
    </cfRule>
    <cfRule type="colorScale" priority="35355">
      <colorScale>
        <cfvo type="num" val="1"/>
        <cfvo type="num" val="2"/>
        <cfvo type="num" val="3"/>
        <color rgb="FFF8696B"/>
        <color rgb="FFFFEB84"/>
        <color rgb="FF63BE7B"/>
      </colorScale>
    </cfRule>
    <cfRule type="colorScale" priority="35356">
      <colorScale>
        <cfvo type="num" val="1"/>
        <cfvo type="num" val="2"/>
        <cfvo type="num" val="3"/>
        <color rgb="FFF8696B"/>
        <color rgb="FFFFEB84"/>
        <color rgb="FF63BE7B"/>
      </colorScale>
    </cfRule>
    <cfRule type="colorScale" priority="35357">
      <colorScale>
        <cfvo type="min" val="0"/>
        <cfvo type="percentile" val="50"/>
        <cfvo type="max" val="0"/>
        <color rgb="FFF8696B"/>
        <color rgb="FFFFEB84"/>
        <color rgb="FF63BE7B"/>
      </colorScale>
    </cfRule>
  </conditionalFormatting>
  <conditionalFormatting sqref="D78">
    <cfRule type="cellIs" dxfId="2711" priority="35420" operator="equal">
      <formula>5</formula>
    </cfRule>
    <cfRule type="cellIs" dxfId="2710" priority="35421" operator="equal">
      <formula>4</formula>
    </cfRule>
    <cfRule type="cellIs" dxfId="2709" priority="35422" operator="equal">
      <formula>1</formula>
    </cfRule>
    <cfRule type="colorScale" priority="35425">
      <colorScale>
        <cfvo type="num" val="1"/>
        <cfvo type="num" val="2"/>
        <cfvo type="num" val="3"/>
        <color rgb="FFF8696B"/>
        <color rgb="FFFFEB84"/>
        <color rgb="FF63BE7B"/>
      </colorScale>
    </cfRule>
    <cfRule type="colorScale" priority="35426">
      <colorScale>
        <cfvo type="num" val="1"/>
        <cfvo type="num" val="2"/>
        <cfvo type="num" val="3"/>
        <color rgb="FFF8696B"/>
        <color rgb="FFFFEB84"/>
        <color rgb="FF63BE7B"/>
      </colorScale>
    </cfRule>
    <cfRule type="colorScale" priority="35427">
      <colorScale>
        <cfvo type="min" val="0"/>
        <cfvo type="percentile" val="50"/>
        <cfvo type="max" val="0"/>
        <color rgb="FFF8696B"/>
        <color rgb="FFFFEB84"/>
        <color rgb="FF63BE7B"/>
      </colorScale>
    </cfRule>
  </conditionalFormatting>
  <conditionalFormatting sqref="D111">
    <cfRule type="cellIs" dxfId="2708" priority="27841" operator="equal">
      <formula>5</formula>
    </cfRule>
    <cfRule type="cellIs" dxfId="2707" priority="27842" operator="equal">
      <formula>4</formula>
    </cfRule>
    <cfRule type="cellIs" dxfId="2706" priority="27843" operator="equal">
      <formula>1</formula>
    </cfRule>
    <cfRule type="colorScale" priority="27846">
      <colorScale>
        <cfvo type="num" val="1"/>
        <cfvo type="num" val="2"/>
        <cfvo type="num" val="3"/>
        <color rgb="FFF8696B"/>
        <color rgb="FFFFEB84"/>
        <color rgb="FF63BE7B"/>
      </colorScale>
    </cfRule>
    <cfRule type="colorScale" priority="27847">
      <colorScale>
        <cfvo type="num" val="1"/>
        <cfvo type="num" val="2"/>
        <cfvo type="num" val="3"/>
        <color rgb="FFF8696B"/>
        <color rgb="FFFFEB84"/>
        <color rgb="FF63BE7B"/>
      </colorScale>
    </cfRule>
    <cfRule type="colorScale" priority="27848">
      <colorScale>
        <cfvo type="min" val="0"/>
        <cfvo type="percentile" val="50"/>
        <cfvo type="max" val="0"/>
        <color rgb="FFF8696B"/>
        <color rgb="FFFFEB84"/>
        <color rgb="FF63BE7B"/>
      </colorScale>
    </cfRule>
  </conditionalFormatting>
  <conditionalFormatting sqref="D112">
    <cfRule type="cellIs" dxfId="2705" priority="27849" operator="equal">
      <formula>5</formula>
    </cfRule>
    <cfRule type="cellIs" dxfId="2704" priority="27850" operator="equal">
      <formula>4</formula>
    </cfRule>
    <cfRule type="cellIs" dxfId="2703" priority="27851" operator="equal">
      <formula>1</formula>
    </cfRule>
    <cfRule type="colorScale" priority="27854">
      <colorScale>
        <cfvo type="num" val="1"/>
        <cfvo type="num" val="2"/>
        <cfvo type="num" val="3"/>
        <color rgb="FFF8696B"/>
        <color rgb="FFFFEB84"/>
        <color rgb="FF63BE7B"/>
      </colorScale>
    </cfRule>
    <cfRule type="colorScale" priority="27855">
      <colorScale>
        <cfvo type="num" val="1"/>
        <cfvo type="num" val="2"/>
        <cfvo type="num" val="3"/>
        <color rgb="FFF8696B"/>
        <color rgb="FFFFEB84"/>
        <color rgb="FF63BE7B"/>
      </colorScale>
    </cfRule>
    <cfRule type="colorScale" priority="27856">
      <colorScale>
        <cfvo type="min" val="0"/>
        <cfvo type="percentile" val="50"/>
        <cfvo type="max" val="0"/>
        <color rgb="FFF8696B"/>
        <color rgb="FFFFEB84"/>
        <color rgb="FF63BE7B"/>
      </colorScale>
    </cfRule>
  </conditionalFormatting>
  <conditionalFormatting sqref="G412 G440 G468 G495 H422 H450 H478 H505 K416 K418 K444 K446 K472 K474 K499 K501 L412:P412 L440:P440 L468:P468 L495:P495 M420:N420 M448:N448 M476:N476 M503:N503 Q416 Q418 Q444 Q446 Q472 Q474 Q499 Q501 AF505 P414:R414 P420:R420 P442:R442 P448:R448 P450:R450 P470:R470 P476:R476 P497:R497 P503:R503 P422:V422 P478:V478 P505:V505 S412:W412 S440:W440 S468:W468 S495:W495 W416 W444 W472 W499 Z414 Z420 Z422 Z442 Z448 Z450 Z470 Z476 Z478 Z497 Z503 Z505 AA412 AA440 AA468 AA495 AC416 AC418 AC444 AC446 AC472 AC474 AC499 AC501 AE414 AE420 AE442 AE448 AE470 AE476 AE497 AE503 AF422 AF450 AF478 G387 K391 M395:N395 P395:R395 S387:W387 Z389 Z395 AA387 AC393 AE395 G294 G232 G327 G355 H224:H225 H233 H310 H337 H365 K226 K228 K230 K304 K306 K331 K333 K359 K361 L232:P232 L327:P327 L355:P355 M230:N230 M335:N335 M363:N363 Q226 Q228 Q304 Q306 Q331 Q333 Q359 Q361 P222:R222 P230:R230 P308:R308 P310:R310 P329:R329 P335:R335 P337:R337 P357:R357 P363:R363 P365:V365 S327:W327 S355:W355 W226 W304 W331 W359 Z222 Z224 Z230 L294:AA294 Z310 Z329 Z335 Z337 Z357 Z363 Z365 AA232 AA327 AA355 AC226 AC228 AC331 AC333 AC359 AC361 AE222 AE230 R232:W232 AE329 AE335 AE357 AE363 AF224 AF310 AF337 AF365 F298 M298 T298 AA298 AB304:AC304 X306 AC306:AD306 L308:N308 Y308:Z308 AD308:AE308 H260:H261 G268 H269 K262 K264 K266 M266:N266 Q262 Q264 P258:R258 P266:R266 W262 Z258 Z260 Z266 AC262 AC264 AE258 AE266 AF260 H257 L268:AB268 I268 AD268 G367 L367:AA367 F369 M369 T369 AA369 H389 T389:X389 AB389 I391 U391:Y391 AC391 J393:L393 V393 L389:R389 M391:R391 N393:S393 K387:P387 AD389:AE389 AE387 E9 E38 E66 G5 G91 G122 G155 G194 H15 H44 H72 H105 H138 H165 H196:H197 K9 K11 K40 K68 K195 L5:M5 L91:P91 L122:P122 L155:P155 L194:P194 M13:N13 N42 N103 N136 N167 N171 Q9 Q11 Q38 Q40 P42:Q42 Q44 Q68 Q72 Q99 Q101 Q132 Q134 Q169 P7:R7 P13:R13 P15:R15 P36:R36 P97:R97 P103:R103 P105:R105 P130:R130 P136:R136 P138:R138 P163:R163 R165 P171:R171 R196 S5 S91:W91 S122:W122 S155:W155 S194:W194 W9 W38 W66 Z13 Z15 Z36 Z42 Z70 Z97 Z103 Z130 Z136 Z163 Z171 Z196 AA5 AA91 AA122 AA155 AA194 AC9 AC11 AC40 AC68 AC99 AC132 AC167 AE13 AE36 AE42 AE64 AE70 AE97 AE103 AE130 AE136 AE163 AE171 AF15 AF44 AF72 AF105 AF138 AF165 AF196">
    <cfRule type="colorScale" priority="45605">
      <colorScale>
        <cfvo type="num" val="1"/>
        <cfvo type="num" val="2"/>
        <cfvo type="num" val="3"/>
        <color rgb="FFF8696B"/>
        <color rgb="FFFFEB84"/>
        <color rgb="FF63BE7B"/>
      </colorScale>
    </cfRule>
    <cfRule type="colorScale" priority="45606">
      <colorScale>
        <cfvo type="num" val="1"/>
        <cfvo type="num" val="2"/>
        <cfvo type="num" val="3"/>
        <color rgb="FFF8696B"/>
        <color rgb="FFFFEB84"/>
        <color rgb="FF63BE7B"/>
      </colorScale>
    </cfRule>
    <cfRule type="colorScale" priority="45607">
      <colorScale>
        <cfvo type="num" val="1"/>
        <cfvo type="num" val="2"/>
        <cfvo type="num" val="3"/>
        <color rgb="FFF8696B"/>
        <color rgb="FFFFEB84"/>
        <color rgb="FF63BE7B"/>
      </colorScale>
    </cfRule>
    <cfRule type="colorScale" priority="45608">
      <colorScale>
        <cfvo type="num" val="1"/>
        <cfvo type="num" val="2"/>
        <cfvo type="num" val="3"/>
        <color rgb="FFF8696B"/>
        <color rgb="FFFFEB84"/>
        <color rgb="FF63BE7B"/>
      </colorScale>
    </cfRule>
    <cfRule type="colorScale" priority="45609">
      <colorScale>
        <cfvo type="num" val="1"/>
        <cfvo type="num" val="2"/>
        <cfvo type="num" val="3"/>
        <color rgb="FFF8696B"/>
        <color rgb="FFFFEB84"/>
        <color rgb="FF63BE7B"/>
      </colorScale>
    </cfRule>
  </conditionalFormatting>
  <conditionalFormatting sqref="E36">
    <cfRule type="cellIs" dxfId="2702" priority="36433" operator="equal">
      <formula>5</formula>
    </cfRule>
    <cfRule type="cellIs" dxfId="2701" priority="36434" operator="equal">
      <formula>4</formula>
    </cfRule>
    <cfRule type="cellIs" dxfId="2700" priority="36435" operator="equal">
      <formula>1</formula>
    </cfRule>
    <cfRule type="colorScale" priority="36438">
      <colorScale>
        <cfvo type="min" val="0"/>
        <cfvo type="percentile" val="50"/>
        <cfvo type="max" val="0"/>
        <color rgb="FFF8696B"/>
        <color rgb="FFFFEB84"/>
        <color rgb="FF63BE7B"/>
      </colorScale>
    </cfRule>
    <cfRule type="colorScale" priority="36439">
      <colorScale>
        <cfvo type="num" val="1"/>
        <cfvo type="num" val="2"/>
        <cfvo type="num" val="3"/>
        <color rgb="FFF8696B"/>
        <color rgb="FFFFEB84"/>
        <color rgb="FF63BE7B"/>
      </colorScale>
    </cfRule>
    <cfRule type="colorScale" priority="36440">
      <colorScale>
        <cfvo type="num" val="1"/>
        <cfvo type="num" val="2"/>
        <cfvo type="num" val="3"/>
        <color rgb="FFF8696B"/>
        <color rgb="FFFFEB84"/>
        <color rgb="FF63BE7B"/>
      </colorScale>
    </cfRule>
  </conditionalFormatting>
  <conditionalFormatting sqref="E42">
    <cfRule type="cellIs" dxfId="2699" priority="36423" operator="equal">
      <formula>5</formula>
    </cfRule>
    <cfRule type="cellIs" dxfId="2698" priority="36424" operator="equal">
      <formula>4</formula>
    </cfRule>
    <cfRule type="cellIs" dxfId="2697" priority="36425" operator="equal">
      <formula>1</formula>
    </cfRule>
    <cfRule type="colorScale" priority="36428">
      <colorScale>
        <cfvo type="min" val="0"/>
        <cfvo type="percentile" val="50"/>
        <cfvo type="max" val="0"/>
        <color rgb="FFF8696B"/>
        <color rgb="FFFFEB84"/>
        <color rgb="FF63BE7B"/>
      </colorScale>
    </cfRule>
    <cfRule type="colorScale" priority="36429">
      <colorScale>
        <cfvo type="num" val="1"/>
        <cfvo type="num" val="2"/>
        <cfvo type="num" val="3"/>
        <color rgb="FFF8696B"/>
        <color rgb="FFFFEB84"/>
        <color rgb="FF63BE7B"/>
      </colorScale>
    </cfRule>
    <cfRule type="colorScale" priority="36430">
      <colorScale>
        <cfvo type="num" val="1"/>
        <cfvo type="num" val="2"/>
        <cfvo type="num" val="3"/>
        <color rgb="FFF8696B"/>
        <color rgb="FFFFEB84"/>
        <color rgb="FF63BE7B"/>
      </colorScale>
    </cfRule>
  </conditionalFormatting>
  <conditionalFormatting sqref="E64">
    <cfRule type="cellIs" dxfId="2696" priority="35412" operator="equal">
      <formula>5</formula>
    </cfRule>
    <cfRule type="cellIs" dxfId="2695" priority="35413" operator="equal">
      <formula>4</formula>
    </cfRule>
    <cfRule type="cellIs" dxfId="2694" priority="35414" operator="equal">
      <formula>1</formula>
    </cfRule>
    <cfRule type="colorScale" priority="35417">
      <colorScale>
        <cfvo type="min" val="0"/>
        <cfvo type="percentile" val="50"/>
        <cfvo type="max" val="0"/>
        <color rgb="FFF8696B"/>
        <color rgb="FFFFEB84"/>
        <color rgb="FF63BE7B"/>
      </colorScale>
    </cfRule>
    <cfRule type="colorScale" priority="35418">
      <colorScale>
        <cfvo type="num" val="1"/>
        <cfvo type="num" val="2"/>
        <cfvo type="num" val="3"/>
        <color rgb="FFF8696B"/>
        <color rgb="FFFFEB84"/>
        <color rgb="FF63BE7B"/>
      </colorScale>
    </cfRule>
    <cfRule type="colorScale" priority="35419">
      <colorScale>
        <cfvo type="num" val="1"/>
        <cfvo type="num" val="2"/>
        <cfvo type="num" val="3"/>
        <color rgb="FFF8696B"/>
        <color rgb="FFFFEB84"/>
        <color rgb="FF63BE7B"/>
      </colorScale>
    </cfRule>
  </conditionalFormatting>
  <conditionalFormatting sqref="E70">
    <cfRule type="cellIs" dxfId="2693" priority="35402" operator="equal">
      <formula>5</formula>
    </cfRule>
    <cfRule type="cellIs" dxfId="2692" priority="35403" operator="equal">
      <formula>4</formula>
    </cfRule>
    <cfRule type="cellIs" dxfId="2691" priority="35404" operator="equal">
      <formula>1</formula>
    </cfRule>
    <cfRule type="colorScale" priority="35407">
      <colorScale>
        <cfvo type="min" val="0"/>
        <cfvo type="percentile" val="50"/>
        <cfvo type="max" val="0"/>
        <color rgb="FFF8696B"/>
        <color rgb="FFFFEB84"/>
        <color rgb="FF63BE7B"/>
      </colorScale>
    </cfRule>
    <cfRule type="colorScale" priority="35408">
      <colorScale>
        <cfvo type="num" val="1"/>
        <cfvo type="num" val="2"/>
        <cfvo type="num" val="3"/>
        <color rgb="FFF8696B"/>
        <color rgb="FFFFEB84"/>
        <color rgb="FF63BE7B"/>
      </colorScale>
    </cfRule>
    <cfRule type="colorScale" priority="35409">
      <colorScale>
        <cfvo type="num" val="1"/>
        <cfvo type="num" val="2"/>
        <cfvo type="num" val="3"/>
        <color rgb="FFF8696B"/>
        <color rgb="FFFFEB84"/>
        <color rgb="FF63BE7B"/>
      </colorScale>
    </cfRule>
  </conditionalFormatting>
  <conditionalFormatting sqref="E165">
    <cfRule type="cellIs" dxfId="2690" priority="24877" operator="equal">
      <formula>5</formula>
    </cfRule>
    <cfRule type="cellIs" dxfId="2689" priority="24878" operator="equal">
      <formula>4</formula>
    </cfRule>
    <cfRule type="cellIs" dxfId="2688" priority="24879" operator="equal">
      <formula>1</formula>
    </cfRule>
    <cfRule type="colorScale" priority="24882">
      <colorScale>
        <cfvo type="num" val="1"/>
        <cfvo type="num" val="2"/>
        <cfvo type="num" val="3"/>
        <color rgb="FFF8696B"/>
        <color rgb="FFFFEB84"/>
        <color rgb="FF63BE7B"/>
      </colorScale>
    </cfRule>
    <cfRule type="colorScale" priority="24883">
      <colorScale>
        <cfvo type="num" val="1"/>
        <cfvo type="num" val="2"/>
        <cfvo type="num" val="3"/>
        <color rgb="FFF8696B"/>
        <color rgb="FFFFEB84"/>
        <color rgb="FF63BE7B"/>
      </colorScale>
    </cfRule>
    <cfRule type="colorScale" priority="24884">
      <colorScale>
        <cfvo type="min" val="0"/>
        <cfvo type="percentile" val="50"/>
        <cfvo type="max" val="0"/>
        <color rgb="FFF8696B"/>
        <color rgb="FFFFEB84"/>
        <color rgb="FF63BE7B"/>
      </colorScale>
    </cfRule>
  </conditionalFormatting>
  <conditionalFormatting sqref="E171">
    <cfRule type="cellIs" dxfId="2687" priority="24869" operator="equal">
      <formula>5</formula>
    </cfRule>
    <cfRule type="cellIs" dxfId="2686" priority="24870" operator="equal">
      <formula>4</formula>
    </cfRule>
    <cfRule type="cellIs" dxfId="2685" priority="24871" operator="equal">
      <formula>1</formula>
    </cfRule>
    <cfRule type="colorScale" priority="24874">
      <colorScale>
        <cfvo type="num" val="1"/>
        <cfvo type="num" val="2"/>
        <cfvo type="num" val="3"/>
        <color rgb="FFF8696B"/>
        <color rgb="FFFFEB84"/>
        <color rgb="FF63BE7B"/>
      </colorScale>
    </cfRule>
    <cfRule type="colorScale" priority="24875">
      <colorScale>
        <cfvo type="num" val="1"/>
        <cfvo type="num" val="2"/>
        <cfvo type="num" val="3"/>
        <color rgb="FFF8696B"/>
        <color rgb="FFFFEB84"/>
        <color rgb="FF63BE7B"/>
      </colorScale>
    </cfRule>
    <cfRule type="colorScale" priority="24876">
      <colorScale>
        <cfvo type="min" val="0"/>
        <cfvo type="percentile" val="50"/>
        <cfvo type="max" val="0"/>
        <color rgb="FFF8696B"/>
        <color rgb="FFFFEB84"/>
        <color rgb="FF63BE7B"/>
      </colorScale>
    </cfRule>
  </conditionalFormatting>
  <conditionalFormatting sqref="F11">
    <cfRule type="cellIs" dxfId="2684" priority="40113" operator="equal">
      <formula>5</formula>
    </cfRule>
    <cfRule type="cellIs" dxfId="2683" priority="40114" operator="equal">
      <formula>4</formula>
    </cfRule>
    <cfRule type="cellIs" dxfId="2682" priority="40115" operator="equal">
      <formula>1</formula>
    </cfRule>
    <cfRule type="cellIs" dxfId="2681" priority="40116" operator="equal">
      <formula>3</formula>
    </cfRule>
    <cfRule type="cellIs" dxfId="2680" priority="40117" operator="equal">
      <formula>2</formula>
    </cfRule>
    <cfRule type="colorScale" priority="40118">
      <colorScale>
        <cfvo type="min" val="0"/>
        <cfvo type="percentile" val="50"/>
        <cfvo type="max" val="0"/>
        <color rgb="FFF8696B"/>
        <color rgb="FFFFEB84"/>
        <color rgb="FF63BE7B"/>
      </colorScale>
    </cfRule>
    <cfRule type="colorScale" priority="40119">
      <colorScale>
        <cfvo type="num" val="1"/>
        <cfvo type="num" val="2"/>
        <cfvo type="num" val="3"/>
        <color rgb="FFF8696B"/>
        <color rgb="FFFFEB84"/>
        <color rgb="FF63BE7B"/>
      </colorScale>
    </cfRule>
    <cfRule type="colorScale" priority="40120">
      <colorScale>
        <cfvo type="num" val="1"/>
        <cfvo type="num" val="2"/>
        <cfvo type="num" val="3"/>
        <color rgb="FFF8696B"/>
        <color rgb="FFFFEB84"/>
        <color rgb="FF63BE7B"/>
      </colorScale>
    </cfRule>
  </conditionalFormatting>
  <conditionalFormatting sqref="F13">
    <cfRule type="cellIs" dxfId="2679" priority="40121" operator="equal">
      <formula>5</formula>
    </cfRule>
    <cfRule type="cellIs" dxfId="2678" priority="40122" operator="equal">
      <formula>4</formula>
    </cfRule>
    <cfRule type="cellIs" dxfId="2677" priority="40123" operator="equal">
      <formula>1</formula>
    </cfRule>
    <cfRule type="cellIs" dxfId="2676" priority="40124" operator="equal">
      <formula>3</formula>
    </cfRule>
    <cfRule type="cellIs" dxfId="2675" priority="40125" operator="equal">
      <formula>2</formula>
    </cfRule>
    <cfRule type="colorScale" priority="40126">
      <colorScale>
        <cfvo type="min" val="0"/>
        <cfvo type="percentile" val="50"/>
        <cfvo type="max" val="0"/>
        <color rgb="FFF8696B"/>
        <color rgb="FFFFEB84"/>
        <color rgb="FF63BE7B"/>
      </colorScale>
    </cfRule>
    <cfRule type="colorScale" priority="40127">
      <colorScale>
        <cfvo type="num" val="1"/>
        <cfvo type="num" val="2"/>
        <cfvo type="num" val="3"/>
        <color rgb="FFF8696B"/>
        <color rgb="FFFFEB84"/>
        <color rgb="FF63BE7B"/>
      </colorScale>
    </cfRule>
    <cfRule type="colorScale" priority="40128">
      <colorScale>
        <cfvo type="num" val="1"/>
        <cfvo type="num" val="2"/>
        <cfvo type="num" val="3"/>
        <color rgb="FFF8696B"/>
        <color rgb="FFFFEB84"/>
        <color rgb="FF63BE7B"/>
      </colorScale>
    </cfRule>
    <cfRule type="colorScale" priority="40129">
      <colorScale>
        <cfvo type="num" val="1"/>
        <cfvo type="num" val="2"/>
        <cfvo type="num" val="3"/>
        <color rgb="FFF8696B"/>
        <color rgb="FFFFEB84"/>
        <color rgb="FF63BE7B"/>
      </colorScale>
    </cfRule>
    <cfRule type="colorScale" priority="40130">
      <colorScale>
        <cfvo type="num" val="1"/>
        <cfvo type="num" val="2"/>
        <cfvo type="num" val="3"/>
        <color rgb="FFF8696B"/>
        <color rgb="FFFFEB84"/>
        <color rgb="FF63BE7B"/>
      </colorScale>
    </cfRule>
    <cfRule type="colorScale" priority="40131">
      <colorScale>
        <cfvo type="num" val="1"/>
        <cfvo type="num" val="2"/>
        <cfvo type="num" val="3"/>
        <color rgb="FFF8696B"/>
        <color rgb="FFFFEB84"/>
        <color rgb="FF63BE7B"/>
      </colorScale>
    </cfRule>
    <cfRule type="colorScale" priority="40132">
      <colorScale>
        <cfvo type="num" val="1"/>
        <cfvo type="num" val="2"/>
        <cfvo type="num" val="3"/>
        <color rgb="FFF8696B"/>
        <color rgb="FFFFEB84"/>
        <color rgb="FF63BE7B"/>
      </colorScale>
    </cfRule>
  </conditionalFormatting>
  <conditionalFormatting sqref="F36">
    <cfRule type="cellIs" dxfId="2674" priority="36331" operator="equal">
      <formula>5</formula>
    </cfRule>
    <cfRule type="cellIs" dxfId="2673" priority="36332" operator="equal">
      <formula>4</formula>
    </cfRule>
    <cfRule type="cellIs" dxfId="2672" priority="36333" operator="equal">
      <formula>1</formula>
    </cfRule>
    <cfRule type="colorScale" priority="36336">
      <colorScale>
        <cfvo type="num" val="1"/>
        <cfvo type="num" val="2"/>
        <cfvo type="num" val="3"/>
        <color rgb="FFF8696B"/>
        <color rgb="FFFFEB84"/>
        <color rgb="FF63BE7B"/>
      </colorScale>
    </cfRule>
    <cfRule type="colorScale" priority="36337">
      <colorScale>
        <cfvo type="num" val="1"/>
        <cfvo type="num" val="2"/>
        <cfvo type="num" val="3"/>
        <color rgb="FFF8696B"/>
        <color rgb="FFFFEB84"/>
        <color rgb="FF63BE7B"/>
      </colorScale>
    </cfRule>
    <cfRule type="colorScale" priority="36338">
      <colorScale>
        <cfvo type="min" val="0"/>
        <cfvo type="percentile" val="50"/>
        <cfvo type="max" val="0"/>
        <color rgb="FFF8696B"/>
        <color rgb="FFFFEB84"/>
        <color rgb="FF63BE7B"/>
      </colorScale>
    </cfRule>
  </conditionalFormatting>
  <conditionalFormatting sqref="F40">
    <cfRule type="cellIs" dxfId="2671" priority="36323" operator="equal">
      <formula>5</formula>
    </cfRule>
    <cfRule type="cellIs" dxfId="2670" priority="36324" operator="equal">
      <formula>4</formula>
    </cfRule>
    <cfRule type="cellIs" dxfId="2669" priority="36325" operator="equal">
      <formula>1</formula>
    </cfRule>
    <cfRule type="cellIs" dxfId="2668" priority="36326" operator="equal">
      <formula>3</formula>
    </cfRule>
    <cfRule type="cellIs" dxfId="2667" priority="36327" operator="equal">
      <formula>2</formula>
    </cfRule>
    <cfRule type="colorScale" priority="36328">
      <colorScale>
        <cfvo type="num" val="1"/>
        <cfvo type="num" val="2"/>
        <cfvo type="num" val="3"/>
        <color rgb="FFF8696B"/>
        <color rgb="FFFFEB84"/>
        <color rgb="FF63BE7B"/>
      </colorScale>
    </cfRule>
    <cfRule type="colorScale" priority="36329">
      <colorScale>
        <cfvo type="num" val="1"/>
        <cfvo type="num" val="2"/>
        <cfvo type="num" val="3"/>
        <color rgb="FFF8696B"/>
        <color rgb="FFFFEB84"/>
        <color rgb="FF63BE7B"/>
      </colorScale>
    </cfRule>
    <cfRule type="colorScale" priority="36330">
      <colorScale>
        <cfvo type="min" val="0"/>
        <cfvo type="percentile" val="50"/>
        <cfvo type="max" val="0"/>
        <color rgb="FFF8696B"/>
        <color rgb="FFFFEB84"/>
        <color rgb="FF63BE7B"/>
      </colorScale>
    </cfRule>
  </conditionalFormatting>
  <conditionalFormatting sqref="F42">
    <cfRule type="cellIs" dxfId="2666" priority="36480" operator="equal">
      <formula>5</formula>
    </cfRule>
    <cfRule type="cellIs" dxfId="2665" priority="36481" operator="equal">
      <formula>4</formula>
    </cfRule>
    <cfRule type="cellIs" dxfId="2664" priority="36482" operator="equal">
      <formula>1</formula>
    </cfRule>
    <cfRule type="colorScale" priority="36485">
      <colorScale>
        <cfvo type="min" val="0"/>
        <cfvo type="percentile" val="50"/>
        <cfvo type="max" val="0"/>
        <color rgb="FFF8696B"/>
        <color rgb="FFFFEB84"/>
        <color rgb="FF63BE7B"/>
      </colorScale>
    </cfRule>
    <cfRule type="colorScale" priority="36486">
      <colorScale>
        <cfvo type="num" val="1"/>
        <cfvo type="num" val="2"/>
        <cfvo type="num" val="3"/>
        <color rgb="FFF8696B"/>
        <color rgb="FFFFEB84"/>
        <color rgb="FF63BE7B"/>
      </colorScale>
    </cfRule>
    <cfRule type="colorScale" priority="36487">
      <colorScale>
        <cfvo type="num" val="1"/>
        <cfvo type="num" val="2"/>
        <cfvo type="num" val="3"/>
        <color rgb="FFF8696B"/>
        <color rgb="FFFFEB84"/>
        <color rgb="FF63BE7B"/>
      </colorScale>
    </cfRule>
    <cfRule type="colorScale" priority="36488">
      <colorScale>
        <cfvo type="num" val="1"/>
        <cfvo type="num" val="2"/>
        <cfvo type="num" val="3"/>
        <color rgb="FFF8696B"/>
        <color rgb="FFFFEB84"/>
        <color rgb="FF63BE7B"/>
      </colorScale>
    </cfRule>
    <cfRule type="colorScale" priority="36489">
      <colorScale>
        <cfvo type="num" val="1"/>
        <cfvo type="num" val="2"/>
        <cfvo type="num" val="3"/>
        <color rgb="FFF8696B"/>
        <color rgb="FFFFEB84"/>
        <color rgb="FF63BE7B"/>
      </colorScale>
    </cfRule>
    <cfRule type="colorScale" priority="36490">
      <colorScale>
        <cfvo type="num" val="1"/>
        <cfvo type="num" val="2"/>
        <cfvo type="num" val="3"/>
        <color rgb="FFF8696B"/>
        <color rgb="FFFFEB84"/>
        <color rgb="FF63BE7B"/>
      </colorScale>
    </cfRule>
    <cfRule type="colorScale" priority="36491">
      <colorScale>
        <cfvo type="num" val="1"/>
        <cfvo type="num" val="2"/>
        <cfvo type="num" val="3"/>
        <color rgb="FFF8696B"/>
        <color rgb="FFFFEB84"/>
        <color rgb="FF63BE7B"/>
      </colorScale>
    </cfRule>
  </conditionalFormatting>
  <conditionalFormatting sqref="F64">
    <cfRule type="cellIs" dxfId="2663" priority="35318" operator="equal">
      <formula>5</formula>
    </cfRule>
    <cfRule type="cellIs" dxfId="2662" priority="35319" operator="equal">
      <formula>4</formula>
    </cfRule>
    <cfRule type="cellIs" dxfId="2661" priority="35320" operator="equal">
      <formula>1</formula>
    </cfRule>
    <cfRule type="colorScale" priority="35323">
      <colorScale>
        <cfvo type="num" val="1"/>
        <cfvo type="num" val="2"/>
        <cfvo type="num" val="3"/>
        <color rgb="FFF8696B"/>
        <color rgb="FFFFEB84"/>
        <color rgb="FF63BE7B"/>
      </colorScale>
    </cfRule>
    <cfRule type="colorScale" priority="35324">
      <colorScale>
        <cfvo type="num" val="1"/>
        <cfvo type="num" val="2"/>
        <cfvo type="num" val="3"/>
        <color rgb="FFF8696B"/>
        <color rgb="FFFFEB84"/>
        <color rgb="FF63BE7B"/>
      </colorScale>
    </cfRule>
    <cfRule type="colorScale" priority="35325">
      <colorScale>
        <cfvo type="min" val="0"/>
        <cfvo type="percentile" val="50"/>
        <cfvo type="max" val="0"/>
        <color rgb="FFF8696B"/>
        <color rgb="FFFFEB84"/>
        <color rgb="FF63BE7B"/>
      </colorScale>
    </cfRule>
  </conditionalFormatting>
  <conditionalFormatting sqref="F68">
    <cfRule type="cellIs" dxfId="2660" priority="35310" operator="equal">
      <formula>5</formula>
    </cfRule>
    <cfRule type="cellIs" dxfId="2659" priority="35311" operator="equal">
      <formula>4</formula>
    </cfRule>
    <cfRule type="cellIs" dxfId="2658" priority="35312" operator="equal">
      <formula>1</formula>
    </cfRule>
    <cfRule type="colorScale" priority="35315">
      <colorScale>
        <cfvo type="num" val="1"/>
        <cfvo type="num" val="2"/>
        <cfvo type="num" val="3"/>
        <color rgb="FFF8696B"/>
        <color rgb="FFFFEB84"/>
        <color rgb="FF63BE7B"/>
      </colorScale>
    </cfRule>
    <cfRule type="colorScale" priority="35316">
      <colorScale>
        <cfvo type="num" val="1"/>
        <cfvo type="num" val="2"/>
        <cfvo type="num" val="3"/>
        <color rgb="FFF8696B"/>
        <color rgb="FFFFEB84"/>
        <color rgb="FF63BE7B"/>
      </colorScale>
    </cfRule>
    <cfRule type="colorScale" priority="35317">
      <colorScale>
        <cfvo type="min" val="0"/>
        <cfvo type="percentile" val="50"/>
        <cfvo type="max" val="0"/>
        <color rgb="FFF8696B"/>
        <color rgb="FFFFEB84"/>
        <color rgb="FF63BE7B"/>
      </colorScale>
    </cfRule>
  </conditionalFormatting>
  <conditionalFormatting sqref="F70">
    <cfRule type="cellIs" dxfId="2657" priority="35435" operator="equal">
      <formula>5</formula>
    </cfRule>
    <cfRule type="cellIs" dxfId="2656" priority="35436" operator="equal">
      <formula>4</formula>
    </cfRule>
    <cfRule type="cellIs" dxfId="2655" priority="35437" operator="equal">
      <formula>1</formula>
    </cfRule>
    <cfRule type="colorScale" priority="35440">
      <colorScale>
        <cfvo type="min" val="0"/>
        <cfvo type="percentile" val="50"/>
        <cfvo type="max" val="0"/>
        <color rgb="FFF8696B"/>
        <color rgb="FFFFEB84"/>
        <color rgb="FF63BE7B"/>
      </colorScale>
    </cfRule>
    <cfRule type="colorScale" priority="35441">
      <colorScale>
        <cfvo type="num" val="1"/>
        <cfvo type="num" val="2"/>
        <cfvo type="num" val="3"/>
        <color rgb="FFF8696B"/>
        <color rgb="FFFFEB84"/>
        <color rgb="FF63BE7B"/>
      </colorScale>
    </cfRule>
    <cfRule type="colorScale" priority="35442">
      <colorScale>
        <cfvo type="num" val="1"/>
        <cfvo type="num" val="2"/>
        <cfvo type="num" val="3"/>
        <color rgb="FFF8696B"/>
        <color rgb="FFFFEB84"/>
        <color rgb="FF63BE7B"/>
      </colorScale>
    </cfRule>
    <cfRule type="colorScale" priority="35443">
      <colorScale>
        <cfvo type="num" val="1"/>
        <cfvo type="num" val="2"/>
        <cfvo type="num" val="3"/>
        <color rgb="FFF8696B"/>
        <color rgb="FFFFEB84"/>
        <color rgb="FF63BE7B"/>
      </colorScale>
    </cfRule>
    <cfRule type="colorScale" priority="35444">
      <colorScale>
        <cfvo type="num" val="1"/>
        <cfvo type="num" val="2"/>
        <cfvo type="num" val="3"/>
        <color rgb="FFF8696B"/>
        <color rgb="FFFFEB84"/>
        <color rgb="FF63BE7B"/>
      </colorScale>
    </cfRule>
    <cfRule type="colorScale" priority="35445">
      <colorScale>
        <cfvo type="num" val="1"/>
        <cfvo type="num" val="2"/>
        <cfvo type="num" val="3"/>
        <color rgb="FFF8696B"/>
        <color rgb="FFFFEB84"/>
        <color rgb="FF63BE7B"/>
      </colorScale>
    </cfRule>
    <cfRule type="colorScale" priority="35446">
      <colorScale>
        <cfvo type="num" val="1"/>
        <cfvo type="num" val="2"/>
        <cfvo type="num" val="3"/>
        <color rgb="FFF8696B"/>
        <color rgb="FFFFEB84"/>
        <color rgb="FF63BE7B"/>
      </colorScale>
    </cfRule>
  </conditionalFormatting>
  <conditionalFormatting sqref="F103">
    <cfRule type="cellIs" dxfId="2654" priority="37675" operator="equal">
      <formula>5</formula>
    </cfRule>
    <cfRule type="cellIs" dxfId="2653" priority="37676" operator="equal">
      <formula>4</formula>
    </cfRule>
    <cfRule type="cellIs" dxfId="2652" priority="37677" operator="equal">
      <formula>1</formula>
    </cfRule>
    <cfRule type="cellIs" dxfId="2651" priority="37678" operator="equal">
      <formula>3</formula>
    </cfRule>
    <cfRule type="cellIs" dxfId="2650" priority="37679" operator="equal">
      <formula>2</formula>
    </cfRule>
    <cfRule type="colorScale" priority="37680">
      <colorScale>
        <cfvo type="min" val="0"/>
        <cfvo type="percentile" val="50"/>
        <cfvo type="max" val="0"/>
        <color rgb="FFF8696B"/>
        <color rgb="FFFFEB84"/>
        <color rgb="FF63BE7B"/>
      </colorScale>
    </cfRule>
    <cfRule type="colorScale" priority="37681">
      <colorScale>
        <cfvo type="num" val="1"/>
        <cfvo type="num" val="2"/>
        <cfvo type="num" val="3"/>
        <color rgb="FFF8696B"/>
        <color rgb="FFFFEB84"/>
        <color rgb="FF63BE7B"/>
      </colorScale>
    </cfRule>
    <cfRule type="colorScale" priority="37682">
      <colorScale>
        <cfvo type="num" val="1"/>
        <cfvo type="num" val="2"/>
        <cfvo type="num" val="3"/>
        <color rgb="FFF8696B"/>
        <color rgb="FFFFEB84"/>
        <color rgb="FF63BE7B"/>
      </colorScale>
    </cfRule>
    <cfRule type="colorScale" priority="37683">
      <colorScale>
        <cfvo type="num" val="1"/>
        <cfvo type="num" val="2"/>
        <cfvo type="num" val="3"/>
        <color rgb="FFF8696B"/>
        <color rgb="FFFFEB84"/>
        <color rgb="FF63BE7B"/>
      </colorScale>
    </cfRule>
    <cfRule type="colorScale" priority="37684">
      <colorScale>
        <cfvo type="num" val="1"/>
        <cfvo type="num" val="2"/>
        <cfvo type="num" val="3"/>
        <color rgb="FFF8696B"/>
        <color rgb="FFFFEB84"/>
        <color rgb="FF63BE7B"/>
      </colorScale>
    </cfRule>
    <cfRule type="colorScale" priority="37685">
      <colorScale>
        <cfvo type="num" val="1"/>
        <cfvo type="num" val="2"/>
        <cfvo type="num" val="3"/>
        <color rgb="FFF8696B"/>
        <color rgb="FFFFEB84"/>
        <color rgb="FF63BE7B"/>
      </colorScale>
    </cfRule>
    <cfRule type="colorScale" priority="37686">
      <colorScale>
        <cfvo type="num" val="1"/>
        <cfvo type="num" val="2"/>
        <cfvo type="num" val="3"/>
        <color rgb="FFF8696B"/>
        <color rgb="FFFFEB84"/>
        <color rgb="FF63BE7B"/>
      </colorScale>
    </cfRule>
  </conditionalFormatting>
  <conditionalFormatting sqref="F136">
    <cfRule type="cellIs" dxfId="2649" priority="26265" operator="equal">
      <formula>5</formula>
    </cfRule>
    <cfRule type="cellIs" dxfId="2648" priority="26266" operator="equal">
      <formula>4</formula>
    </cfRule>
    <cfRule type="cellIs" dxfId="2647" priority="26267" operator="equal">
      <formula>1</formula>
    </cfRule>
    <cfRule type="cellIs" dxfId="2646" priority="26268" operator="equal">
      <formula>3</formula>
    </cfRule>
    <cfRule type="cellIs" dxfId="2645" priority="26269" operator="equal">
      <formula>2</formula>
    </cfRule>
    <cfRule type="colorScale" priority="26270">
      <colorScale>
        <cfvo type="min" val="0"/>
        <cfvo type="percentile" val="50"/>
        <cfvo type="max" val="0"/>
        <color rgb="FFF8696B"/>
        <color rgb="FFFFEB84"/>
        <color rgb="FF63BE7B"/>
      </colorScale>
    </cfRule>
    <cfRule type="colorScale" priority="26271">
      <colorScale>
        <cfvo type="num" val="1"/>
        <cfvo type="num" val="2"/>
        <cfvo type="num" val="3"/>
        <color rgb="FFF8696B"/>
        <color rgb="FFFFEB84"/>
        <color rgb="FF63BE7B"/>
      </colorScale>
    </cfRule>
    <cfRule type="colorScale" priority="26272">
      <colorScale>
        <cfvo type="num" val="1"/>
        <cfvo type="num" val="2"/>
        <cfvo type="num" val="3"/>
        <color rgb="FFF8696B"/>
        <color rgb="FFFFEB84"/>
        <color rgb="FF63BE7B"/>
      </colorScale>
    </cfRule>
    <cfRule type="colorScale" priority="26273">
      <colorScale>
        <cfvo type="num" val="1"/>
        <cfvo type="num" val="2"/>
        <cfvo type="num" val="3"/>
        <color rgb="FFF8696B"/>
        <color rgb="FFFFEB84"/>
        <color rgb="FF63BE7B"/>
      </colorScale>
    </cfRule>
    <cfRule type="colorScale" priority="26274">
      <colorScale>
        <cfvo type="num" val="1"/>
        <cfvo type="num" val="2"/>
        <cfvo type="num" val="3"/>
        <color rgb="FFF8696B"/>
        <color rgb="FFFFEB84"/>
        <color rgb="FF63BE7B"/>
      </colorScale>
    </cfRule>
    <cfRule type="colorScale" priority="26275">
      <colorScale>
        <cfvo type="num" val="1"/>
        <cfvo type="num" val="2"/>
        <cfvo type="num" val="3"/>
        <color rgb="FFF8696B"/>
        <color rgb="FFFFEB84"/>
        <color rgb="FF63BE7B"/>
      </colorScale>
    </cfRule>
    <cfRule type="colorScale" priority="26276">
      <colorScale>
        <cfvo type="num" val="1"/>
        <cfvo type="num" val="2"/>
        <cfvo type="num" val="3"/>
        <color rgb="FFF8696B"/>
        <color rgb="FFFFEB84"/>
        <color rgb="FF63BE7B"/>
      </colorScale>
    </cfRule>
  </conditionalFormatting>
  <conditionalFormatting sqref="F165">
    <cfRule type="cellIs" dxfId="2644" priority="23541" operator="equal">
      <formula>5</formula>
    </cfRule>
    <cfRule type="cellIs" dxfId="2643" priority="23542" operator="equal">
      <formula>4</formula>
    </cfRule>
    <cfRule type="cellIs" dxfId="2642" priority="23543" operator="equal">
      <formula>1</formula>
    </cfRule>
    <cfRule type="colorScale" priority="23546">
      <colorScale>
        <cfvo type="min" val="0"/>
        <cfvo type="percentile" val="50"/>
        <cfvo type="max" val="0"/>
        <color rgb="FFF8696B"/>
        <color rgb="FFFFEB84"/>
        <color rgb="FF63BE7B"/>
      </colorScale>
    </cfRule>
    <cfRule type="colorScale" priority="23547">
      <colorScale>
        <cfvo type="num" val="1"/>
        <cfvo type="num" val="2"/>
        <cfvo type="num" val="3"/>
        <color rgb="FFF8696B"/>
        <color rgb="FFFFEB84"/>
        <color rgb="FF63BE7B"/>
      </colorScale>
    </cfRule>
    <cfRule type="colorScale" priority="23548">
      <colorScale>
        <cfvo type="num" val="1"/>
        <cfvo type="num" val="2"/>
        <cfvo type="num" val="3"/>
        <color rgb="FFF8696B"/>
        <color rgb="FFFFEB84"/>
        <color rgb="FF63BE7B"/>
      </colorScale>
    </cfRule>
  </conditionalFormatting>
  <conditionalFormatting sqref="F171">
    <cfRule type="cellIs" dxfId="2641" priority="23549" operator="equal">
      <formula>5</formula>
    </cfRule>
    <cfRule type="cellIs" dxfId="2640" priority="23550" operator="equal">
      <formula>4</formula>
    </cfRule>
    <cfRule type="cellIs" dxfId="2639" priority="23551" operator="equal">
      <formula>1</formula>
    </cfRule>
    <cfRule type="colorScale" priority="23554">
      <colorScale>
        <cfvo type="num" val="1"/>
        <cfvo type="num" val="2"/>
        <cfvo type="num" val="3"/>
        <color rgb="FFF8696B"/>
        <color rgb="FFFFEB84"/>
        <color rgb="FF63BE7B"/>
      </colorScale>
    </cfRule>
    <cfRule type="colorScale" priority="23555">
      <colorScale>
        <cfvo type="num" val="1"/>
        <cfvo type="num" val="2"/>
        <cfvo type="num" val="3"/>
        <color rgb="FFF8696B"/>
        <color rgb="FFFFEB84"/>
        <color rgb="FF63BE7B"/>
      </colorScale>
    </cfRule>
    <cfRule type="colorScale" priority="23556">
      <colorScale>
        <cfvo type="min" val="0"/>
        <cfvo type="percentile" val="50"/>
        <cfvo type="max" val="0"/>
        <color rgb="FFF8696B"/>
        <color rgb="FFFFEB84"/>
        <color rgb="FF63BE7B"/>
      </colorScale>
    </cfRule>
  </conditionalFormatting>
  <conditionalFormatting sqref="F230">
    <cfRule type="cellIs" dxfId="2638" priority="16275" operator="equal">
      <formula>5</formula>
    </cfRule>
    <cfRule type="cellIs" dxfId="2637" priority="16276" operator="equal">
      <formula>4</formula>
    </cfRule>
    <cfRule type="cellIs" dxfId="2636" priority="16277" operator="equal">
      <formula>1</formula>
    </cfRule>
    <cfRule type="cellIs" dxfId="2635" priority="16278" operator="equal">
      <formula>3</formula>
    </cfRule>
    <cfRule type="cellIs" dxfId="2634" priority="16279" operator="equal">
      <formula>2</formula>
    </cfRule>
    <cfRule type="colorScale" priority="16280">
      <colorScale>
        <cfvo type="min" val="0"/>
        <cfvo type="percentile" val="50"/>
        <cfvo type="max" val="0"/>
        <color rgb="FFF8696B"/>
        <color rgb="FFFFEB84"/>
        <color rgb="FF63BE7B"/>
      </colorScale>
    </cfRule>
    <cfRule type="colorScale" priority="16281">
      <colorScale>
        <cfvo type="num" val="1"/>
        <cfvo type="num" val="2"/>
        <cfvo type="num" val="3"/>
        <color rgb="FFF8696B"/>
        <color rgb="FFFFEB84"/>
        <color rgb="FF63BE7B"/>
      </colorScale>
    </cfRule>
    <cfRule type="colorScale" priority="16282">
      <colorScale>
        <cfvo type="num" val="1"/>
        <cfvo type="num" val="2"/>
        <cfvo type="num" val="3"/>
        <color rgb="FFF8696B"/>
        <color rgb="FFFFEB84"/>
        <color rgb="FF63BE7B"/>
      </colorScale>
    </cfRule>
    <cfRule type="colorScale" priority="16283">
      <colorScale>
        <cfvo type="num" val="1"/>
        <cfvo type="num" val="2"/>
        <cfvo type="num" val="3"/>
        <color rgb="FFF8696B"/>
        <color rgb="FFFFEB84"/>
        <color rgb="FF63BE7B"/>
      </colorScale>
    </cfRule>
    <cfRule type="colorScale" priority="16284">
      <colorScale>
        <cfvo type="num" val="1"/>
        <cfvo type="num" val="2"/>
        <cfvo type="num" val="3"/>
        <color rgb="FFF8696B"/>
        <color rgb="FFFFEB84"/>
        <color rgb="FF63BE7B"/>
      </colorScale>
    </cfRule>
    <cfRule type="colorScale" priority="16285">
      <colorScale>
        <cfvo type="num" val="1"/>
        <cfvo type="num" val="2"/>
        <cfvo type="num" val="3"/>
        <color rgb="FFF8696B"/>
        <color rgb="FFFFEB84"/>
        <color rgb="FF63BE7B"/>
      </colorScale>
    </cfRule>
    <cfRule type="colorScale" priority="16286">
      <colorScale>
        <cfvo type="num" val="1"/>
        <cfvo type="num" val="2"/>
        <cfvo type="num" val="3"/>
        <color rgb="FFF8696B"/>
        <color rgb="FFFFEB84"/>
        <color rgb="FF63BE7B"/>
      </colorScale>
    </cfRule>
  </conditionalFormatting>
  <conditionalFormatting sqref="F308">
    <cfRule type="cellIs" dxfId="2633" priority="20277" operator="equal">
      <formula>5</formula>
    </cfRule>
    <cfRule type="cellIs" dxfId="2632" priority="20278" operator="equal">
      <formula>4</formula>
    </cfRule>
    <cfRule type="cellIs" dxfId="2631" priority="20279" operator="equal">
      <formula>1</formula>
    </cfRule>
    <cfRule type="cellIs" dxfId="2630" priority="20280" operator="equal">
      <formula>3</formula>
    </cfRule>
    <cfRule type="cellIs" dxfId="2629" priority="20281" operator="equal">
      <formula>2</formula>
    </cfRule>
    <cfRule type="colorScale" priority="20282">
      <colorScale>
        <cfvo type="min" val="0"/>
        <cfvo type="percentile" val="50"/>
        <cfvo type="max" val="0"/>
        <color rgb="FFF8696B"/>
        <color rgb="FFFFEB84"/>
        <color rgb="FF63BE7B"/>
      </colorScale>
    </cfRule>
    <cfRule type="colorScale" priority="20283">
      <colorScale>
        <cfvo type="num" val="1"/>
        <cfvo type="num" val="2"/>
        <cfvo type="num" val="3"/>
        <color rgb="FFF8696B"/>
        <color rgb="FFFFEB84"/>
        <color rgb="FF63BE7B"/>
      </colorScale>
    </cfRule>
    <cfRule type="colorScale" priority="20284">
      <colorScale>
        <cfvo type="num" val="1"/>
        <cfvo type="num" val="2"/>
        <cfvo type="num" val="3"/>
        <color rgb="FFF8696B"/>
        <color rgb="FFFFEB84"/>
        <color rgb="FF63BE7B"/>
      </colorScale>
    </cfRule>
    <cfRule type="colorScale" priority="20285">
      <colorScale>
        <cfvo type="num" val="1"/>
        <cfvo type="num" val="2"/>
        <cfvo type="num" val="3"/>
        <color rgb="FFF8696B"/>
        <color rgb="FFFFEB84"/>
        <color rgb="FF63BE7B"/>
      </colorScale>
    </cfRule>
    <cfRule type="colorScale" priority="20286">
      <colorScale>
        <cfvo type="num" val="1"/>
        <cfvo type="num" val="2"/>
        <cfvo type="num" val="3"/>
        <color rgb="FFF8696B"/>
        <color rgb="FFFFEB84"/>
        <color rgb="FF63BE7B"/>
      </colorScale>
    </cfRule>
    <cfRule type="colorScale" priority="20287">
      <colorScale>
        <cfvo type="num" val="1"/>
        <cfvo type="num" val="2"/>
        <cfvo type="num" val="3"/>
        <color rgb="FFF8696B"/>
        <color rgb="FFFFEB84"/>
        <color rgb="FF63BE7B"/>
      </colorScale>
    </cfRule>
    <cfRule type="colorScale" priority="20288">
      <colorScale>
        <cfvo type="num" val="1"/>
        <cfvo type="num" val="2"/>
        <cfvo type="num" val="3"/>
        <color rgb="FFF8696B"/>
        <color rgb="FFFFEB84"/>
        <color rgb="FF63BE7B"/>
      </colorScale>
    </cfRule>
  </conditionalFormatting>
  <conditionalFormatting sqref="F335">
    <cfRule type="cellIs" dxfId="2628" priority="21444" operator="equal">
      <formula>5</formula>
    </cfRule>
    <cfRule type="cellIs" dxfId="2627" priority="21445" operator="equal">
      <formula>4</formula>
    </cfRule>
    <cfRule type="cellIs" dxfId="2626" priority="21446" operator="equal">
      <formula>1</formula>
    </cfRule>
    <cfRule type="cellIs" dxfId="2625" priority="21447" operator="equal">
      <formula>3</formula>
    </cfRule>
    <cfRule type="cellIs" dxfId="2624" priority="21448" operator="equal">
      <formula>2</formula>
    </cfRule>
    <cfRule type="colorScale" priority="21449">
      <colorScale>
        <cfvo type="min" val="0"/>
        <cfvo type="percentile" val="50"/>
        <cfvo type="max" val="0"/>
        <color rgb="FFF8696B"/>
        <color rgb="FFFFEB84"/>
        <color rgb="FF63BE7B"/>
      </colorScale>
    </cfRule>
    <cfRule type="colorScale" priority="21450">
      <colorScale>
        <cfvo type="num" val="1"/>
        <cfvo type="num" val="2"/>
        <cfvo type="num" val="3"/>
        <color rgb="FFF8696B"/>
        <color rgb="FFFFEB84"/>
        <color rgb="FF63BE7B"/>
      </colorScale>
    </cfRule>
    <cfRule type="colorScale" priority="21451">
      <colorScale>
        <cfvo type="num" val="1"/>
        <cfvo type="num" val="2"/>
        <cfvo type="num" val="3"/>
        <color rgb="FFF8696B"/>
        <color rgb="FFFFEB84"/>
        <color rgb="FF63BE7B"/>
      </colorScale>
    </cfRule>
    <cfRule type="colorScale" priority="21452">
      <colorScale>
        <cfvo type="num" val="1"/>
        <cfvo type="num" val="2"/>
        <cfvo type="num" val="3"/>
        <color rgb="FFF8696B"/>
        <color rgb="FFFFEB84"/>
        <color rgb="FF63BE7B"/>
      </colorScale>
    </cfRule>
    <cfRule type="colorScale" priority="21453">
      <colorScale>
        <cfvo type="num" val="1"/>
        <cfvo type="num" val="2"/>
        <cfvo type="num" val="3"/>
        <color rgb="FFF8696B"/>
        <color rgb="FFFFEB84"/>
        <color rgb="FF63BE7B"/>
      </colorScale>
    </cfRule>
    <cfRule type="colorScale" priority="21454">
      <colorScale>
        <cfvo type="num" val="1"/>
        <cfvo type="num" val="2"/>
        <cfvo type="num" val="3"/>
        <color rgb="FFF8696B"/>
        <color rgb="FFFFEB84"/>
        <color rgb="FF63BE7B"/>
      </colorScale>
    </cfRule>
    <cfRule type="colorScale" priority="21455">
      <colorScale>
        <cfvo type="num" val="1"/>
        <cfvo type="num" val="2"/>
        <cfvo type="num" val="3"/>
        <color rgb="FFF8696B"/>
        <color rgb="FFFFEB84"/>
        <color rgb="FF63BE7B"/>
      </colorScale>
    </cfRule>
  </conditionalFormatting>
  <conditionalFormatting sqref="F363">
    <cfRule type="cellIs" dxfId="2623" priority="18391" operator="equal">
      <formula>5</formula>
    </cfRule>
    <cfRule type="cellIs" dxfId="2622" priority="18392" operator="equal">
      <formula>4</formula>
    </cfRule>
    <cfRule type="cellIs" dxfId="2621" priority="18393" operator="equal">
      <formula>1</formula>
    </cfRule>
    <cfRule type="cellIs" dxfId="2620" priority="18394" operator="equal">
      <formula>3</formula>
    </cfRule>
    <cfRule type="cellIs" dxfId="2619" priority="18395" operator="equal">
      <formula>2</formula>
    </cfRule>
    <cfRule type="colorScale" priority="18396">
      <colorScale>
        <cfvo type="min" val="0"/>
        <cfvo type="percentile" val="50"/>
        <cfvo type="max" val="0"/>
        <color rgb="FFF8696B"/>
        <color rgb="FFFFEB84"/>
        <color rgb="FF63BE7B"/>
      </colorScale>
    </cfRule>
    <cfRule type="colorScale" priority="18397">
      <colorScale>
        <cfvo type="num" val="1"/>
        <cfvo type="num" val="2"/>
        <cfvo type="num" val="3"/>
        <color rgb="FFF8696B"/>
        <color rgb="FFFFEB84"/>
        <color rgb="FF63BE7B"/>
      </colorScale>
    </cfRule>
    <cfRule type="colorScale" priority="18398">
      <colorScale>
        <cfvo type="num" val="1"/>
        <cfvo type="num" val="2"/>
        <cfvo type="num" val="3"/>
        <color rgb="FFF8696B"/>
        <color rgb="FFFFEB84"/>
        <color rgb="FF63BE7B"/>
      </colorScale>
    </cfRule>
    <cfRule type="colorScale" priority="18399">
      <colorScale>
        <cfvo type="num" val="1"/>
        <cfvo type="num" val="2"/>
        <cfvo type="num" val="3"/>
        <color rgb="FFF8696B"/>
        <color rgb="FFFFEB84"/>
        <color rgb="FF63BE7B"/>
      </colorScale>
    </cfRule>
    <cfRule type="colorScale" priority="18400">
      <colorScale>
        <cfvo type="num" val="1"/>
        <cfvo type="num" val="2"/>
        <cfvo type="num" val="3"/>
        <color rgb="FFF8696B"/>
        <color rgb="FFFFEB84"/>
        <color rgb="FF63BE7B"/>
      </colorScale>
    </cfRule>
    <cfRule type="colorScale" priority="18401">
      <colorScale>
        <cfvo type="num" val="1"/>
        <cfvo type="num" val="2"/>
        <cfvo type="num" val="3"/>
        <color rgb="FFF8696B"/>
        <color rgb="FFFFEB84"/>
        <color rgb="FF63BE7B"/>
      </colorScale>
    </cfRule>
    <cfRule type="colorScale" priority="18402">
      <colorScale>
        <cfvo type="num" val="1"/>
        <cfvo type="num" val="2"/>
        <cfvo type="num" val="3"/>
        <color rgb="FFF8696B"/>
        <color rgb="FFFFEB84"/>
        <color rgb="FF63BE7B"/>
      </colorScale>
    </cfRule>
  </conditionalFormatting>
  <conditionalFormatting sqref="F395">
    <cfRule type="cellIs" dxfId="2618" priority="11769" operator="equal">
      <formula>5</formula>
    </cfRule>
    <cfRule type="cellIs" dxfId="2617" priority="11770" operator="equal">
      <formula>4</formula>
    </cfRule>
    <cfRule type="cellIs" dxfId="2616" priority="11771" operator="equal">
      <formula>1</formula>
    </cfRule>
    <cfRule type="cellIs" dxfId="2615" priority="11772" operator="equal">
      <formula>3</formula>
    </cfRule>
    <cfRule type="cellIs" dxfId="2614" priority="11773" operator="equal">
      <formula>2</formula>
    </cfRule>
    <cfRule type="colorScale" priority="11774">
      <colorScale>
        <cfvo type="min" val="0"/>
        <cfvo type="percentile" val="50"/>
        <cfvo type="max" val="0"/>
        <color rgb="FFF8696B"/>
        <color rgb="FFFFEB84"/>
        <color rgb="FF63BE7B"/>
      </colorScale>
    </cfRule>
    <cfRule type="colorScale" priority="11775">
      <colorScale>
        <cfvo type="num" val="1"/>
        <cfvo type="num" val="2"/>
        <cfvo type="num" val="3"/>
        <color rgb="FFF8696B"/>
        <color rgb="FFFFEB84"/>
        <color rgb="FF63BE7B"/>
      </colorScale>
    </cfRule>
    <cfRule type="colorScale" priority="11776">
      <colorScale>
        <cfvo type="num" val="1"/>
        <cfvo type="num" val="2"/>
        <cfvo type="num" val="3"/>
        <color rgb="FFF8696B"/>
        <color rgb="FFFFEB84"/>
        <color rgb="FF63BE7B"/>
      </colorScale>
    </cfRule>
    <cfRule type="colorScale" priority="11777">
      <colorScale>
        <cfvo type="num" val="1"/>
        <cfvo type="num" val="2"/>
        <cfvo type="num" val="3"/>
        <color rgb="FFF8696B"/>
        <color rgb="FFFFEB84"/>
        <color rgb="FF63BE7B"/>
      </colorScale>
    </cfRule>
    <cfRule type="colorScale" priority="11778">
      <colorScale>
        <cfvo type="num" val="1"/>
        <cfvo type="num" val="2"/>
        <cfvo type="num" val="3"/>
        <color rgb="FFF8696B"/>
        <color rgb="FFFFEB84"/>
        <color rgb="FF63BE7B"/>
      </colorScale>
    </cfRule>
    <cfRule type="colorScale" priority="11779">
      <colorScale>
        <cfvo type="num" val="1"/>
        <cfvo type="num" val="2"/>
        <cfvo type="num" val="3"/>
        <color rgb="FFF8696B"/>
        <color rgb="FFFFEB84"/>
        <color rgb="FF63BE7B"/>
      </colorScale>
    </cfRule>
    <cfRule type="colorScale" priority="11780">
      <colorScale>
        <cfvo type="num" val="1"/>
        <cfvo type="num" val="2"/>
        <cfvo type="num" val="3"/>
        <color rgb="FFF8696B"/>
        <color rgb="FFFFEB84"/>
        <color rgb="FF63BE7B"/>
      </colorScale>
    </cfRule>
  </conditionalFormatting>
  <conditionalFormatting sqref="F420">
    <cfRule type="cellIs" dxfId="2613" priority="10620" operator="equal">
      <formula>5</formula>
    </cfRule>
    <cfRule type="cellIs" dxfId="2612" priority="10621" operator="equal">
      <formula>4</formula>
    </cfRule>
    <cfRule type="cellIs" dxfId="2611" priority="10622" operator="equal">
      <formula>1</formula>
    </cfRule>
    <cfRule type="cellIs" dxfId="2610" priority="10623" operator="equal">
      <formula>3</formula>
    </cfRule>
    <cfRule type="cellIs" dxfId="2609" priority="10624" operator="equal">
      <formula>2</formula>
    </cfRule>
    <cfRule type="colorScale" priority="10625">
      <colorScale>
        <cfvo type="min" val="0"/>
        <cfvo type="percentile" val="50"/>
        <cfvo type="max" val="0"/>
        <color rgb="FFF8696B"/>
        <color rgb="FFFFEB84"/>
        <color rgb="FF63BE7B"/>
      </colorScale>
    </cfRule>
    <cfRule type="colorScale" priority="10626">
      <colorScale>
        <cfvo type="num" val="1"/>
        <cfvo type="num" val="2"/>
        <cfvo type="num" val="3"/>
        <color rgb="FFF8696B"/>
        <color rgb="FFFFEB84"/>
        <color rgb="FF63BE7B"/>
      </colorScale>
    </cfRule>
    <cfRule type="colorScale" priority="10627">
      <colorScale>
        <cfvo type="num" val="1"/>
        <cfvo type="num" val="2"/>
        <cfvo type="num" val="3"/>
        <color rgb="FFF8696B"/>
        <color rgb="FFFFEB84"/>
        <color rgb="FF63BE7B"/>
      </colorScale>
    </cfRule>
    <cfRule type="colorScale" priority="10628">
      <colorScale>
        <cfvo type="num" val="1"/>
        <cfvo type="num" val="2"/>
        <cfvo type="num" val="3"/>
        <color rgb="FFF8696B"/>
        <color rgb="FFFFEB84"/>
        <color rgb="FF63BE7B"/>
      </colorScale>
    </cfRule>
    <cfRule type="colorScale" priority="10629">
      <colorScale>
        <cfvo type="num" val="1"/>
        <cfvo type="num" val="2"/>
        <cfvo type="num" val="3"/>
        <color rgb="FFF8696B"/>
        <color rgb="FFFFEB84"/>
        <color rgb="FF63BE7B"/>
      </colorScale>
    </cfRule>
    <cfRule type="colorScale" priority="10630">
      <colorScale>
        <cfvo type="num" val="1"/>
        <cfvo type="num" val="2"/>
        <cfvo type="num" val="3"/>
        <color rgb="FFF8696B"/>
        <color rgb="FFFFEB84"/>
        <color rgb="FF63BE7B"/>
      </colorScale>
    </cfRule>
    <cfRule type="colorScale" priority="10631">
      <colorScale>
        <cfvo type="num" val="1"/>
        <cfvo type="num" val="2"/>
        <cfvo type="num" val="3"/>
        <color rgb="FFF8696B"/>
        <color rgb="FFFFEB84"/>
        <color rgb="FF63BE7B"/>
      </colorScale>
    </cfRule>
  </conditionalFormatting>
  <conditionalFormatting sqref="F448">
    <cfRule type="cellIs" dxfId="2608" priority="9506" operator="equal">
      <formula>5</formula>
    </cfRule>
    <cfRule type="cellIs" dxfId="2607" priority="9507" operator="equal">
      <formula>4</formula>
    </cfRule>
    <cfRule type="cellIs" dxfId="2606" priority="9508" operator="equal">
      <formula>1</formula>
    </cfRule>
    <cfRule type="cellIs" dxfId="2605" priority="9509" operator="equal">
      <formula>3</formula>
    </cfRule>
    <cfRule type="cellIs" dxfId="2604" priority="9510" operator="equal">
      <formula>2</formula>
    </cfRule>
    <cfRule type="colorScale" priority="9511">
      <colorScale>
        <cfvo type="min" val="0"/>
        <cfvo type="percentile" val="50"/>
        <cfvo type="max" val="0"/>
        <color rgb="FFF8696B"/>
        <color rgb="FFFFEB84"/>
        <color rgb="FF63BE7B"/>
      </colorScale>
    </cfRule>
    <cfRule type="colorScale" priority="9512">
      <colorScale>
        <cfvo type="num" val="1"/>
        <cfvo type="num" val="2"/>
        <cfvo type="num" val="3"/>
        <color rgb="FFF8696B"/>
        <color rgb="FFFFEB84"/>
        <color rgb="FF63BE7B"/>
      </colorScale>
    </cfRule>
    <cfRule type="colorScale" priority="9513">
      <colorScale>
        <cfvo type="num" val="1"/>
        <cfvo type="num" val="2"/>
        <cfvo type="num" val="3"/>
        <color rgb="FFF8696B"/>
        <color rgb="FFFFEB84"/>
        <color rgb="FF63BE7B"/>
      </colorScale>
    </cfRule>
    <cfRule type="colorScale" priority="9514">
      <colorScale>
        <cfvo type="num" val="1"/>
        <cfvo type="num" val="2"/>
        <cfvo type="num" val="3"/>
        <color rgb="FFF8696B"/>
        <color rgb="FFFFEB84"/>
        <color rgb="FF63BE7B"/>
      </colorScale>
    </cfRule>
    <cfRule type="colorScale" priority="9515">
      <colorScale>
        <cfvo type="num" val="1"/>
        <cfvo type="num" val="2"/>
        <cfvo type="num" val="3"/>
        <color rgb="FFF8696B"/>
        <color rgb="FFFFEB84"/>
        <color rgb="FF63BE7B"/>
      </colorScale>
    </cfRule>
    <cfRule type="colorScale" priority="9516">
      <colorScale>
        <cfvo type="num" val="1"/>
        <cfvo type="num" val="2"/>
        <cfvo type="num" val="3"/>
        <color rgb="FFF8696B"/>
        <color rgb="FFFFEB84"/>
        <color rgb="FF63BE7B"/>
      </colorScale>
    </cfRule>
    <cfRule type="colorScale" priority="9517">
      <colorScale>
        <cfvo type="num" val="1"/>
        <cfvo type="num" val="2"/>
        <cfvo type="num" val="3"/>
        <color rgb="FFF8696B"/>
        <color rgb="FFFFEB84"/>
        <color rgb="FF63BE7B"/>
      </colorScale>
    </cfRule>
  </conditionalFormatting>
  <conditionalFormatting sqref="F476">
    <cfRule type="cellIs" dxfId="2603" priority="8357" operator="equal">
      <formula>5</formula>
    </cfRule>
    <cfRule type="cellIs" dxfId="2602" priority="8358" operator="equal">
      <formula>4</formula>
    </cfRule>
    <cfRule type="cellIs" dxfId="2601" priority="8359" operator="equal">
      <formula>1</formula>
    </cfRule>
    <cfRule type="cellIs" dxfId="2600" priority="8360" operator="equal">
      <formula>3</formula>
    </cfRule>
    <cfRule type="cellIs" dxfId="2599" priority="8361" operator="equal">
      <formula>2</formula>
    </cfRule>
    <cfRule type="colorScale" priority="8362">
      <colorScale>
        <cfvo type="min" val="0"/>
        <cfvo type="percentile" val="50"/>
        <cfvo type="max" val="0"/>
        <color rgb="FFF8696B"/>
        <color rgb="FFFFEB84"/>
        <color rgb="FF63BE7B"/>
      </colorScale>
    </cfRule>
    <cfRule type="colorScale" priority="8363">
      <colorScale>
        <cfvo type="num" val="1"/>
        <cfvo type="num" val="2"/>
        <cfvo type="num" val="3"/>
        <color rgb="FFF8696B"/>
        <color rgb="FFFFEB84"/>
        <color rgb="FF63BE7B"/>
      </colorScale>
    </cfRule>
    <cfRule type="colorScale" priority="8364">
      <colorScale>
        <cfvo type="num" val="1"/>
        <cfvo type="num" val="2"/>
        <cfvo type="num" val="3"/>
        <color rgb="FFF8696B"/>
        <color rgb="FFFFEB84"/>
        <color rgb="FF63BE7B"/>
      </colorScale>
    </cfRule>
    <cfRule type="colorScale" priority="8365">
      <colorScale>
        <cfvo type="num" val="1"/>
        <cfvo type="num" val="2"/>
        <cfvo type="num" val="3"/>
        <color rgb="FFF8696B"/>
        <color rgb="FFFFEB84"/>
        <color rgb="FF63BE7B"/>
      </colorScale>
    </cfRule>
    <cfRule type="colorScale" priority="8366">
      <colorScale>
        <cfvo type="num" val="1"/>
        <cfvo type="num" val="2"/>
        <cfvo type="num" val="3"/>
        <color rgb="FFF8696B"/>
        <color rgb="FFFFEB84"/>
        <color rgb="FF63BE7B"/>
      </colorScale>
    </cfRule>
    <cfRule type="colorScale" priority="8367">
      <colorScale>
        <cfvo type="num" val="1"/>
        <cfvo type="num" val="2"/>
        <cfvo type="num" val="3"/>
        <color rgb="FFF8696B"/>
        <color rgb="FFFFEB84"/>
        <color rgb="FF63BE7B"/>
      </colorScale>
    </cfRule>
    <cfRule type="colorScale" priority="8368">
      <colorScale>
        <cfvo type="num" val="1"/>
        <cfvo type="num" val="2"/>
        <cfvo type="num" val="3"/>
        <color rgb="FFF8696B"/>
        <color rgb="FFFFEB84"/>
        <color rgb="FF63BE7B"/>
      </colorScale>
    </cfRule>
  </conditionalFormatting>
  <conditionalFormatting sqref="F503">
    <cfRule type="cellIs" dxfId="2598" priority="7242" operator="equal">
      <formula>5</formula>
    </cfRule>
    <cfRule type="cellIs" dxfId="2597" priority="7243" operator="equal">
      <formula>4</formula>
    </cfRule>
    <cfRule type="cellIs" dxfId="2596" priority="7244" operator="equal">
      <formula>1</formula>
    </cfRule>
    <cfRule type="cellIs" dxfId="2595" priority="7245" operator="equal">
      <formula>3</formula>
    </cfRule>
    <cfRule type="cellIs" dxfId="2594" priority="7246" operator="equal">
      <formula>2</formula>
    </cfRule>
    <cfRule type="colorScale" priority="7247">
      <colorScale>
        <cfvo type="min" val="0"/>
        <cfvo type="percentile" val="50"/>
        <cfvo type="max" val="0"/>
        <color rgb="FFF8696B"/>
        <color rgb="FFFFEB84"/>
        <color rgb="FF63BE7B"/>
      </colorScale>
    </cfRule>
    <cfRule type="colorScale" priority="7248">
      <colorScale>
        <cfvo type="num" val="1"/>
        <cfvo type="num" val="2"/>
        <cfvo type="num" val="3"/>
        <color rgb="FFF8696B"/>
        <color rgb="FFFFEB84"/>
        <color rgb="FF63BE7B"/>
      </colorScale>
    </cfRule>
    <cfRule type="colorScale" priority="7249">
      <colorScale>
        <cfvo type="num" val="1"/>
        <cfvo type="num" val="2"/>
        <cfvo type="num" val="3"/>
        <color rgb="FFF8696B"/>
        <color rgb="FFFFEB84"/>
        <color rgb="FF63BE7B"/>
      </colorScale>
    </cfRule>
    <cfRule type="colorScale" priority="7250">
      <colorScale>
        <cfvo type="num" val="1"/>
        <cfvo type="num" val="2"/>
        <cfvo type="num" val="3"/>
        <color rgb="FFF8696B"/>
        <color rgb="FFFFEB84"/>
        <color rgb="FF63BE7B"/>
      </colorScale>
    </cfRule>
    <cfRule type="colorScale" priority="7251">
      <colorScale>
        <cfvo type="num" val="1"/>
        <cfvo type="num" val="2"/>
        <cfvo type="num" val="3"/>
        <color rgb="FFF8696B"/>
        <color rgb="FFFFEB84"/>
        <color rgb="FF63BE7B"/>
      </colorScale>
    </cfRule>
    <cfRule type="colorScale" priority="7252">
      <colorScale>
        <cfvo type="num" val="1"/>
        <cfvo type="num" val="2"/>
        <cfvo type="num" val="3"/>
        <color rgb="FFF8696B"/>
        <color rgb="FFFFEB84"/>
        <color rgb="FF63BE7B"/>
      </colorScale>
    </cfRule>
    <cfRule type="colorScale" priority="7253">
      <colorScale>
        <cfvo type="num" val="1"/>
        <cfvo type="num" val="2"/>
        <cfvo type="num" val="3"/>
        <color rgb="FFF8696B"/>
        <color rgb="FFFFEB84"/>
        <color rgb="FF63BE7B"/>
      </colorScale>
    </cfRule>
  </conditionalFormatting>
  <conditionalFormatting sqref="F228:G228">
    <cfRule type="cellIs" dxfId="2593" priority="7038" operator="equal">
      <formula>5</formula>
    </cfRule>
    <cfRule type="cellIs" dxfId="2592" priority="7039" operator="equal">
      <formula>4</formula>
    </cfRule>
    <cfRule type="cellIs" dxfId="2591" priority="7040" operator="equal">
      <formula>1</formula>
    </cfRule>
    <cfRule type="cellIs" dxfId="2590" priority="7041" operator="equal">
      <formula>3</formula>
    </cfRule>
    <cfRule type="cellIs" dxfId="2589" priority="7042" operator="equal">
      <formula>2</formula>
    </cfRule>
    <cfRule type="colorScale" priority="7043">
      <colorScale>
        <cfvo type="min" val="0"/>
        <cfvo type="percentile" val="50"/>
        <cfvo type="max" val="0"/>
        <color rgb="FFF8696B"/>
        <color rgb="FFFFEB84"/>
        <color rgb="FF63BE7B"/>
      </colorScale>
    </cfRule>
    <cfRule type="colorScale" priority="7044">
      <colorScale>
        <cfvo type="num" val="1"/>
        <cfvo type="num" val="2"/>
        <cfvo type="num" val="3"/>
        <color rgb="FFF8696B"/>
        <color rgb="FFFFEB84"/>
        <color rgb="FF63BE7B"/>
      </colorScale>
    </cfRule>
    <cfRule type="colorScale" priority="7045">
      <colorScale>
        <cfvo type="num" val="1"/>
        <cfvo type="num" val="2"/>
        <cfvo type="num" val="3"/>
        <color rgb="FFF8696B"/>
        <color rgb="FFFFEB84"/>
        <color rgb="FF63BE7B"/>
      </colorScale>
    </cfRule>
    <cfRule type="colorScale" priority="7046">
      <colorScale>
        <cfvo type="num" val="1"/>
        <cfvo type="num" val="2"/>
        <cfvo type="num" val="3"/>
        <color rgb="FFF8696B"/>
        <color rgb="FFFFEB84"/>
        <color rgb="FF63BE7B"/>
      </colorScale>
    </cfRule>
    <cfRule type="colorScale" priority="7047">
      <colorScale>
        <cfvo type="num" val="1"/>
        <cfvo type="num" val="2"/>
        <cfvo type="num" val="3"/>
        <color rgb="FFF8696B"/>
        <color rgb="FFFFEB84"/>
        <color rgb="FF63BE7B"/>
      </colorScale>
    </cfRule>
    <cfRule type="colorScale" priority="7048">
      <colorScale>
        <cfvo type="num" val="1"/>
        <cfvo type="num" val="2"/>
        <cfvo type="num" val="3"/>
        <color rgb="FFF8696B"/>
        <color rgb="FFFFEB84"/>
        <color rgb="FF63BE7B"/>
      </colorScale>
    </cfRule>
    <cfRule type="colorScale" priority="7049">
      <colorScale>
        <cfvo type="num" val="1"/>
        <cfvo type="num" val="2"/>
        <cfvo type="num" val="3"/>
        <color rgb="FFF8696B"/>
        <color rgb="FFFFEB84"/>
        <color rgb="FF63BE7B"/>
      </colorScale>
    </cfRule>
  </conditionalFormatting>
  <conditionalFormatting sqref="H412 H440 H468 H495 M418 M446 M474 M501 N412 N440 N468 N495 S416 S418 S444 S446 S472 S474 S499 S501 Y416 Y418 Y444 Y446 Y472 Y474 Y499 Y501 AB412 AB440 AB468 AB495 AE416 AE444 AE472 AE499 H387 M393 N387 S391 Y391 Y393 AB387 H232 H294 H327 H355 M228 M306 M333 M361 N232 N294 N327 N355 S226 S228 S304 S331 S333 S359 S361 T232 Y226 Y331 Y333 Y359 Y361 AB232 AB294 AB327 AB355 AE226 AE331 AE359 G298 N298 U298 AB298 X304:Y304 AC304:AE304 R306:T306 W306:Z306 AB306:AE306 T308:U308 Y308:AA308 AD308:AF308 M264 S262 S264 T268 Y262 AB268 AE262 H268:N268 H367 N367 AB367 G369 N369 U369 AB369 I389 O389 AC389 J391 P391 AD391:AE391 S393:T393 K393 Q393 L387 M389 N391 O393 G9 G38 H5 H91 H122 H155 H194 M11 M40 M68 N5 N91 N122 N155 N194 S9 S11 S38 S40 S66 S68 S99 S132 S167 Y9 Y11 Y40 Y66 Y68 Y99 Y132 Y167 AB5 AB91 AB122 AB155 AB194 AE9 AE38 AE66 AE99 AE132 AE167">
    <cfRule type="colorScale" priority="45616">
      <colorScale>
        <cfvo type="num" val="1"/>
        <cfvo type="num" val="2"/>
        <cfvo type="num" val="3"/>
        <color rgb="FFF8696B"/>
        <color rgb="FFFFEB84"/>
        <color rgb="FF63BE7B"/>
      </colorScale>
    </cfRule>
    <cfRule type="colorScale" priority="45617">
      <colorScale>
        <cfvo type="num" val="1"/>
        <cfvo type="num" val="2"/>
        <cfvo type="num" val="3"/>
        <color rgb="FFF8696B"/>
        <color rgb="FFFFEB84"/>
        <color rgb="FF63BE7B"/>
      </colorScale>
    </cfRule>
    <cfRule type="colorScale" priority="45618">
      <colorScale>
        <cfvo type="num" val="1"/>
        <cfvo type="num" val="2"/>
        <cfvo type="num" val="3"/>
        <color rgb="FFF8696B"/>
        <color rgb="FFFFEB84"/>
        <color rgb="FF63BE7B"/>
      </colorScale>
    </cfRule>
    <cfRule type="colorScale" priority="45619">
      <colorScale>
        <cfvo type="num" val="1"/>
        <cfvo type="num" val="2"/>
        <cfvo type="num" val="3"/>
        <color rgb="FFF8696B"/>
        <color rgb="FFFFEB84"/>
        <color rgb="FF63BE7B"/>
      </colorScale>
    </cfRule>
    <cfRule type="colorScale" priority="45620">
      <colorScale>
        <cfvo type="num" val="1"/>
        <cfvo type="num" val="2"/>
        <cfvo type="num" val="3"/>
        <color rgb="FFF8696B"/>
        <color rgb="FFFFEB84"/>
        <color rgb="FF63BE7B"/>
      </colorScale>
    </cfRule>
    <cfRule type="colorScale" priority="45621">
      <colorScale>
        <cfvo type="num" val="1"/>
        <cfvo type="num" val="2"/>
        <cfvo type="num" val="3"/>
        <color rgb="FFF8696B"/>
        <color rgb="FFFFEB84"/>
        <color rgb="FF63BE7B"/>
      </colorScale>
    </cfRule>
    <cfRule type="colorScale" priority="45622">
      <colorScale>
        <cfvo type="num" val="1"/>
        <cfvo type="num" val="2"/>
        <cfvo type="num" val="3"/>
        <color rgb="FFF8696B"/>
        <color rgb="FFFFEB84"/>
        <color rgb="FF63BE7B"/>
      </colorScale>
    </cfRule>
    <cfRule type="colorScale" priority="45623">
      <colorScale>
        <cfvo type="num" val="1"/>
        <cfvo type="num" val="2"/>
        <cfvo type="num" val="3"/>
        <color rgb="FFF8696B"/>
        <color rgb="FFFFEB84"/>
        <color rgb="FF63BE7B"/>
      </colorScale>
    </cfRule>
    <cfRule type="colorScale" priority="45624">
      <colorScale>
        <cfvo type="num" val="1"/>
        <cfvo type="num" val="2"/>
        <cfvo type="num" val="3"/>
        <color rgb="FFF8696B"/>
        <color rgb="FFFFEB84"/>
        <color rgb="FF63BE7B"/>
      </colorScale>
    </cfRule>
    <cfRule type="colorScale" priority="45625">
      <colorScale>
        <cfvo type="num" val="1"/>
        <cfvo type="num" val="2"/>
        <cfvo type="num" val="3"/>
        <color rgb="FFF8696B"/>
        <color rgb="FFFFEB84"/>
        <color rgb="FF63BE7B"/>
      </colorScale>
    </cfRule>
    <cfRule type="colorScale" priority="45626">
      <colorScale>
        <cfvo type="num" val="1"/>
        <cfvo type="num" val="2"/>
        <cfvo type="num" val="3"/>
        <color rgb="FFF8696B"/>
        <color rgb="FFFFEB84"/>
        <color rgb="FF63BE7B"/>
      </colorScale>
    </cfRule>
    <cfRule type="colorScale" priority="45627">
      <colorScale>
        <cfvo type="num" val="1"/>
        <cfvo type="num" val="2"/>
        <cfvo type="num" val="3"/>
        <color rgb="FFF8696B"/>
        <color rgb="FFFFEB84"/>
        <color rgb="FF63BE7B"/>
      </colorScale>
    </cfRule>
  </conditionalFormatting>
  <conditionalFormatting sqref="G66">
    <cfRule type="cellIs" dxfId="2588" priority="35212" operator="equal">
      <formula>5</formula>
    </cfRule>
    <cfRule type="cellIs" dxfId="2587" priority="35213" operator="equal">
      <formula>4</formula>
    </cfRule>
    <cfRule type="cellIs" dxfId="2586" priority="35214" operator="equal">
      <formula>1</formula>
    </cfRule>
    <cfRule type="cellIs" dxfId="2585" priority="35215" operator="equal">
      <formula>3</formula>
    </cfRule>
    <cfRule type="cellIs" dxfId="2584" priority="35216" operator="equal">
      <formula>2</formula>
    </cfRule>
    <cfRule type="colorScale" priority="35217">
      <colorScale>
        <cfvo type="num" val="1"/>
        <cfvo type="num" val="2"/>
        <cfvo type="num" val="3"/>
        <color rgb="FFF8696B"/>
        <color rgb="FFFFEB84"/>
        <color rgb="FF63BE7B"/>
      </colorScale>
    </cfRule>
    <cfRule type="colorScale" priority="35218">
      <colorScale>
        <cfvo type="num" val="1"/>
        <cfvo type="num" val="2"/>
        <cfvo type="num" val="3"/>
        <color rgb="FFF8696B"/>
        <color rgb="FFFFEB84"/>
        <color rgb="FF63BE7B"/>
      </colorScale>
    </cfRule>
    <cfRule type="colorScale" priority="35219">
      <colorScale>
        <cfvo type="min" val="0"/>
        <cfvo type="percentile" val="50"/>
        <cfvo type="max" val="0"/>
        <color rgb="FFF8696B"/>
        <color rgb="FFFFEB84"/>
        <color rgb="FF63BE7B"/>
      </colorScale>
    </cfRule>
  </conditionalFormatting>
  <conditionalFormatting sqref="G68">
    <cfRule type="cellIs" dxfId="2583" priority="35204" operator="equal">
      <formula>5</formula>
    </cfRule>
    <cfRule type="cellIs" dxfId="2582" priority="35205" operator="equal">
      <formula>4</formula>
    </cfRule>
    <cfRule type="cellIs" dxfId="2581" priority="35206" operator="equal">
      <formula>1</formula>
    </cfRule>
    <cfRule type="colorScale" priority="35209">
      <colorScale>
        <cfvo type="num" val="1"/>
        <cfvo type="num" val="2"/>
        <cfvo type="num" val="3"/>
        <color rgb="FFF8696B"/>
        <color rgb="FFFFEB84"/>
        <color rgb="FF63BE7B"/>
      </colorScale>
    </cfRule>
    <cfRule type="colorScale" priority="35210">
      <colorScale>
        <cfvo type="num" val="1"/>
        <cfvo type="num" val="2"/>
        <cfvo type="num" val="3"/>
        <color rgb="FFF8696B"/>
        <color rgb="FFFFEB84"/>
        <color rgb="FF63BE7B"/>
      </colorScale>
    </cfRule>
    <cfRule type="colorScale" priority="35211">
      <colorScale>
        <cfvo type="min" val="0"/>
        <cfvo type="percentile" val="50"/>
        <cfvo type="max" val="0"/>
        <color rgb="FFF8696B"/>
        <color rgb="FFFFEB84"/>
        <color rgb="FF63BE7B"/>
      </colorScale>
    </cfRule>
  </conditionalFormatting>
  <conditionalFormatting sqref="H7">
    <cfRule type="cellIs" dxfId="2580" priority="40081" operator="equal">
      <formula>5</formula>
    </cfRule>
    <cfRule type="cellIs" dxfId="2579" priority="40082" operator="equal">
      <formula>4</formula>
    </cfRule>
    <cfRule type="cellIs" dxfId="2578" priority="40083" operator="equal">
      <formula>1</formula>
    </cfRule>
    <cfRule type="colorScale" priority="40086">
      <colorScale>
        <cfvo type="min" val="0"/>
        <cfvo type="percentile" val="50"/>
        <cfvo type="max" val="0"/>
        <color rgb="FFF8696B"/>
        <color rgb="FFFFEB84"/>
        <color rgb="FF63BE7B"/>
      </colorScale>
    </cfRule>
    <cfRule type="colorScale" priority="40087">
      <colorScale>
        <cfvo type="num" val="1"/>
        <cfvo type="num" val="2"/>
        <cfvo type="num" val="3"/>
        <color rgb="FFF8696B"/>
        <color rgb="FFFFEB84"/>
        <color rgb="FF63BE7B"/>
      </colorScale>
    </cfRule>
    <cfRule type="colorScale" priority="40088">
      <colorScale>
        <cfvo type="num" val="1"/>
        <cfvo type="num" val="2"/>
        <cfvo type="num" val="3"/>
        <color rgb="FFF8696B"/>
        <color rgb="FFFFEB84"/>
        <color rgb="FF63BE7B"/>
      </colorScale>
    </cfRule>
  </conditionalFormatting>
  <conditionalFormatting sqref="H13">
    <cfRule type="cellIs" dxfId="2577" priority="40101" operator="equal">
      <formula>5</formula>
    </cfRule>
    <cfRule type="cellIs" dxfId="2576" priority="40102" operator="equal">
      <formula>4</formula>
    </cfRule>
    <cfRule type="cellIs" dxfId="2575" priority="40103" operator="equal">
      <formula>1</formula>
    </cfRule>
    <cfRule type="cellIs" dxfId="2574" priority="40104" operator="equal">
      <formula>3</formula>
    </cfRule>
    <cfRule type="cellIs" dxfId="2573" priority="40105" operator="equal">
      <formula>2</formula>
    </cfRule>
    <cfRule type="colorScale" priority="40106">
      <colorScale>
        <cfvo type="min" val="0"/>
        <cfvo type="percentile" val="50"/>
        <cfvo type="max" val="0"/>
        <color rgb="FFF8696B"/>
        <color rgb="FFFFEB84"/>
        <color rgb="FF63BE7B"/>
      </colorScale>
    </cfRule>
    <cfRule type="colorScale" priority="40107">
      <colorScale>
        <cfvo type="num" val="1"/>
        <cfvo type="num" val="2"/>
        <cfvo type="num" val="3"/>
        <color rgb="FFF8696B"/>
        <color rgb="FFFFEB84"/>
        <color rgb="FF63BE7B"/>
      </colorScale>
    </cfRule>
    <cfRule type="colorScale" priority="40108">
      <colorScale>
        <cfvo type="num" val="1"/>
        <cfvo type="num" val="2"/>
        <cfvo type="num" val="3"/>
        <color rgb="FFF8696B"/>
        <color rgb="FFFFEB84"/>
        <color rgb="FF63BE7B"/>
      </colorScale>
    </cfRule>
    <cfRule type="colorScale" priority="40109">
      <colorScale>
        <cfvo type="num" val="1"/>
        <cfvo type="num" val="2"/>
        <cfvo type="num" val="3"/>
        <color rgb="FFF8696B"/>
        <color rgb="FFFFEB84"/>
        <color rgb="FF63BE7B"/>
      </colorScale>
    </cfRule>
    <cfRule type="colorScale" priority="40110">
      <colorScale>
        <cfvo type="num" val="1"/>
        <cfvo type="num" val="2"/>
        <cfvo type="num" val="3"/>
        <color rgb="FFF8696B"/>
        <color rgb="FFFFEB84"/>
        <color rgb="FF63BE7B"/>
      </colorScale>
    </cfRule>
    <cfRule type="colorScale" priority="40111">
      <colorScale>
        <cfvo type="num" val="1"/>
        <cfvo type="num" val="2"/>
        <cfvo type="num" val="3"/>
        <color rgb="FFF8696B"/>
        <color rgb="FFFFEB84"/>
        <color rgb="FF63BE7B"/>
      </colorScale>
    </cfRule>
    <cfRule type="colorScale" priority="40112">
      <colorScale>
        <cfvo type="num" val="1"/>
        <cfvo type="num" val="2"/>
        <cfvo type="num" val="3"/>
        <color rgb="FFF8696B"/>
        <color rgb="FFFFEB84"/>
        <color rgb="FF63BE7B"/>
      </colorScale>
    </cfRule>
  </conditionalFormatting>
  <conditionalFormatting sqref="H36">
    <cfRule type="cellIs" dxfId="2572" priority="36698" operator="equal">
      <formula>5</formula>
    </cfRule>
    <cfRule type="cellIs" dxfId="2571" priority="36699" operator="equal">
      <formula>4</formula>
    </cfRule>
    <cfRule type="cellIs" dxfId="2570" priority="36700" operator="equal">
      <formula>1</formula>
    </cfRule>
    <cfRule type="colorScale" priority="36703">
      <colorScale>
        <cfvo type="min" val="0"/>
        <cfvo type="percentile" val="50"/>
        <cfvo type="max" val="0"/>
        <color rgb="FFF8696B"/>
        <color rgb="FFFFEB84"/>
        <color rgb="FF63BE7B"/>
      </colorScale>
    </cfRule>
    <cfRule type="colorScale" priority="36704">
      <colorScale>
        <cfvo type="num" val="1"/>
        <cfvo type="num" val="2"/>
        <cfvo type="num" val="3"/>
        <color rgb="FFF8696B"/>
        <color rgb="FFFFEB84"/>
        <color rgb="FF63BE7B"/>
      </colorScale>
    </cfRule>
    <cfRule type="colorScale" priority="36705">
      <colorScale>
        <cfvo type="num" val="1"/>
        <cfvo type="num" val="2"/>
        <cfvo type="num" val="3"/>
        <color rgb="FFF8696B"/>
        <color rgb="FFFFEB84"/>
        <color rgb="FF63BE7B"/>
      </colorScale>
    </cfRule>
  </conditionalFormatting>
  <conditionalFormatting sqref="H42">
    <cfRule type="cellIs" dxfId="2569" priority="36718" operator="equal">
      <formula>5</formula>
    </cfRule>
    <cfRule type="cellIs" dxfId="2568" priority="36719" operator="equal">
      <formula>4</formula>
    </cfRule>
    <cfRule type="cellIs" dxfId="2567" priority="36720" operator="equal">
      <formula>1</formula>
    </cfRule>
    <cfRule type="cellIs" dxfId="2566" priority="36721" operator="equal">
      <formula>3</formula>
    </cfRule>
    <cfRule type="cellIs" dxfId="2565" priority="36722" operator="equal">
      <formula>2</formula>
    </cfRule>
    <cfRule type="colorScale" priority="36723">
      <colorScale>
        <cfvo type="min" val="0"/>
        <cfvo type="percentile" val="50"/>
        <cfvo type="max" val="0"/>
        <color rgb="FFF8696B"/>
        <color rgb="FFFFEB84"/>
        <color rgb="FF63BE7B"/>
      </colorScale>
    </cfRule>
    <cfRule type="colorScale" priority="36724">
      <colorScale>
        <cfvo type="num" val="1"/>
        <cfvo type="num" val="2"/>
        <cfvo type="num" val="3"/>
        <color rgb="FFF8696B"/>
        <color rgb="FFFFEB84"/>
        <color rgb="FF63BE7B"/>
      </colorScale>
    </cfRule>
    <cfRule type="colorScale" priority="36725">
      <colorScale>
        <cfvo type="num" val="1"/>
        <cfvo type="num" val="2"/>
        <cfvo type="num" val="3"/>
        <color rgb="FFF8696B"/>
        <color rgb="FFFFEB84"/>
        <color rgb="FF63BE7B"/>
      </colorScale>
    </cfRule>
    <cfRule type="colorScale" priority="36726">
      <colorScale>
        <cfvo type="num" val="1"/>
        <cfvo type="num" val="2"/>
        <cfvo type="num" val="3"/>
        <color rgb="FFF8696B"/>
        <color rgb="FFFFEB84"/>
        <color rgb="FF63BE7B"/>
      </colorScale>
    </cfRule>
    <cfRule type="colorScale" priority="36727">
      <colorScale>
        <cfvo type="num" val="1"/>
        <cfvo type="num" val="2"/>
        <cfvo type="num" val="3"/>
        <color rgb="FFF8696B"/>
        <color rgb="FFFFEB84"/>
        <color rgb="FF63BE7B"/>
      </colorScale>
    </cfRule>
    <cfRule type="colorScale" priority="36728">
      <colorScale>
        <cfvo type="num" val="1"/>
        <cfvo type="num" val="2"/>
        <cfvo type="num" val="3"/>
        <color rgb="FFF8696B"/>
        <color rgb="FFFFEB84"/>
        <color rgb="FF63BE7B"/>
      </colorScale>
    </cfRule>
    <cfRule type="colorScale" priority="36729">
      <colorScale>
        <cfvo type="num" val="1"/>
        <cfvo type="num" val="2"/>
        <cfvo type="num" val="3"/>
        <color rgb="FFF8696B"/>
        <color rgb="FFFFEB84"/>
        <color rgb="FF63BE7B"/>
      </colorScale>
    </cfRule>
  </conditionalFormatting>
  <conditionalFormatting sqref="H64">
    <cfRule type="cellIs" dxfId="2564" priority="35625" operator="equal">
      <formula>5</formula>
    </cfRule>
    <cfRule type="cellIs" dxfId="2563" priority="35626" operator="equal">
      <formula>4</formula>
    </cfRule>
    <cfRule type="cellIs" dxfId="2562" priority="35627" operator="equal">
      <formula>1</formula>
    </cfRule>
    <cfRule type="colorScale" priority="35630">
      <colorScale>
        <cfvo type="min" val="0"/>
        <cfvo type="percentile" val="50"/>
        <cfvo type="max" val="0"/>
        <color rgb="FFF8696B"/>
        <color rgb="FFFFEB84"/>
        <color rgb="FF63BE7B"/>
      </colorScale>
    </cfRule>
    <cfRule type="colorScale" priority="35631">
      <colorScale>
        <cfvo type="num" val="1"/>
        <cfvo type="num" val="2"/>
        <cfvo type="num" val="3"/>
        <color rgb="FFF8696B"/>
        <color rgb="FFFFEB84"/>
        <color rgb="FF63BE7B"/>
      </colorScale>
    </cfRule>
    <cfRule type="colorScale" priority="35632">
      <colorScale>
        <cfvo type="num" val="1"/>
        <cfvo type="num" val="2"/>
        <cfvo type="num" val="3"/>
        <color rgb="FFF8696B"/>
        <color rgb="FFFFEB84"/>
        <color rgb="FF63BE7B"/>
      </colorScale>
    </cfRule>
  </conditionalFormatting>
  <conditionalFormatting sqref="H70">
    <cfRule type="cellIs" dxfId="2561" priority="35645" operator="equal">
      <formula>5</formula>
    </cfRule>
    <cfRule type="cellIs" dxfId="2560" priority="35646" operator="equal">
      <formula>4</formula>
    </cfRule>
    <cfRule type="cellIs" dxfId="2559" priority="35647" operator="equal">
      <formula>1</formula>
    </cfRule>
    <cfRule type="cellIs" dxfId="2558" priority="35648" operator="equal">
      <formula>3</formula>
    </cfRule>
    <cfRule type="cellIs" dxfId="2557" priority="35649" operator="equal">
      <formula>2</formula>
    </cfRule>
    <cfRule type="colorScale" priority="35650">
      <colorScale>
        <cfvo type="min" val="0"/>
        <cfvo type="percentile" val="50"/>
        <cfvo type="max" val="0"/>
        <color rgb="FFF8696B"/>
        <color rgb="FFFFEB84"/>
        <color rgb="FF63BE7B"/>
      </colorScale>
    </cfRule>
    <cfRule type="colorScale" priority="35651">
      <colorScale>
        <cfvo type="num" val="1"/>
        <cfvo type="num" val="2"/>
        <cfvo type="num" val="3"/>
        <color rgb="FFF8696B"/>
        <color rgb="FFFFEB84"/>
        <color rgb="FF63BE7B"/>
      </colorScale>
    </cfRule>
    <cfRule type="colorScale" priority="35652">
      <colorScale>
        <cfvo type="num" val="1"/>
        <cfvo type="num" val="2"/>
        <cfvo type="num" val="3"/>
        <color rgb="FFF8696B"/>
        <color rgb="FFFFEB84"/>
        <color rgb="FF63BE7B"/>
      </colorScale>
    </cfRule>
    <cfRule type="colorScale" priority="35653">
      <colorScale>
        <cfvo type="num" val="1"/>
        <cfvo type="num" val="2"/>
        <cfvo type="num" val="3"/>
        <color rgb="FFF8696B"/>
        <color rgb="FFFFEB84"/>
        <color rgb="FF63BE7B"/>
      </colorScale>
    </cfRule>
    <cfRule type="colorScale" priority="35654">
      <colorScale>
        <cfvo type="num" val="1"/>
        <cfvo type="num" val="2"/>
        <cfvo type="num" val="3"/>
        <color rgb="FFF8696B"/>
        <color rgb="FFFFEB84"/>
        <color rgb="FF63BE7B"/>
      </colorScale>
    </cfRule>
    <cfRule type="colorScale" priority="35655">
      <colorScale>
        <cfvo type="num" val="1"/>
        <cfvo type="num" val="2"/>
        <cfvo type="num" val="3"/>
        <color rgb="FFF8696B"/>
        <color rgb="FFFFEB84"/>
        <color rgb="FF63BE7B"/>
      </colorScale>
    </cfRule>
    <cfRule type="colorScale" priority="35656">
      <colorScale>
        <cfvo type="num" val="1"/>
        <cfvo type="num" val="2"/>
        <cfvo type="num" val="3"/>
        <color rgb="FFF8696B"/>
        <color rgb="FFFFEB84"/>
        <color rgb="FF63BE7B"/>
      </colorScale>
    </cfRule>
  </conditionalFormatting>
  <conditionalFormatting sqref="H103">
    <cfRule type="cellIs" dxfId="2556" priority="37655" operator="equal">
      <formula>5</formula>
    </cfRule>
    <cfRule type="cellIs" dxfId="2555" priority="37656" operator="equal">
      <formula>4</formula>
    </cfRule>
    <cfRule type="cellIs" dxfId="2554" priority="37657" operator="equal">
      <formula>1</formula>
    </cfRule>
    <cfRule type="cellIs" dxfId="2553" priority="37658" operator="equal">
      <formula>3</formula>
    </cfRule>
    <cfRule type="cellIs" dxfId="2552" priority="37659" operator="equal">
      <formula>2</formula>
    </cfRule>
    <cfRule type="colorScale" priority="37660">
      <colorScale>
        <cfvo type="min" val="0"/>
        <cfvo type="percentile" val="50"/>
        <cfvo type="max" val="0"/>
        <color rgb="FFF8696B"/>
        <color rgb="FFFFEB84"/>
        <color rgb="FF63BE7B"/>
      </colorScale>
    </cfRule>
    <cfRule type="colorScale" priority="37661">
      <colorScale>
        <cfvo type="num" val="1"/>
        <cfvo type="num" val="2"/>
        <cfvo type="num" val="3"/>
        <color rgb="FFF8696B"/>
        <color rgb="FFFFEB84"/>
        <color rgb="FF63BE7B"/>
      </colorScale>
    </cfRule>
    <cfRule type="colorScale" priority="37662">
      <colorScale>
        <cfvo type="num" val="1"/>
        <cfvo type="num" val="2"/>
        <cfvo type="num" val="3"/>
        <color rgb="FFF8696B"/>
        <color rgb="FFFFEB84"/>
        <color rgb="FF63BE7B"/>
      </colorScale>
    </cfRule>
    <cfRule type="colorScale" priority="37663">
      <colorScale>
        <cfvo type="num" val="1"/>
        <cfvo type="num" val="2"/>
        <cfvo type="num" val="3"/>
        <color rgb="FFF8696B"/>
        <color rgb="FFFFEB84"/>
        <color rgb="FF63BE7B"/>
      </colorScale>
    </cfRule>
    <cfRule type="colorScale" priority="37664">
      <colorScale>
        <cfvo type="num" val="1"/>
        <cfvo type="num" val="2"/>
        <cfvo type="num" val="3"/>
        <color rgb="FFF8696B"/>
        <color rgb="FFFFEB84"/>
        <color rgb="FF63BE7B"/>
      </colorScale>
    </cfRule>
    <cfRule type="colorScale" priority="37665">
      <colorScale>
        <cfvo type="num" val="1"/>
        <cfvo type="num" val="2"/>
        <cfvo type="num" val="3"/>
        <color rgb="FFF8696B"/>
        <color rgb="FFFFEB84"/>
        <color rgb="FF63BE7B"/>
      </colorScale>
    </cfRule>
    <cfRule type="colorScale" priority="37666">
      <colorScale>
        <cfvo type="num" val="1"/>
        <cfvo type="num" val="2"/>
        <cfvo type="num" val="3"/>
        <color rgb="FFF8696B"/>
        <color rgb="FFFFEB84"/>
        <color rgb="FF63BE7B"/>
      </colorScale>
    </cfRule>
  </conditionalFormatting>
  <conditionalFormatting sqref="H136">
    <cfRule type="cellIs" dxfId="2551" priority="26253" operator="equal">
      <formula>5</formula>
    </cfRule>
    <cfRule type="cellIs" dxfId="2550" priority="26254" operator="equal">
      <formula>4</formula>
    </cfRule>
    <cfRule type="cellIs" dxfId="2549" priority="26255" operator="equal">
      <formula>1</formula>
    </cfRule>
    <cfRule type="cellIs" dxfId="2548" priority="26256" operator="equal">
      <formula>3</formula>
    </cfRule>
    <cfRule type="cellIs" dxfId="2547" priority="26257" operator="equal">
      <formula>2</formula>
    </cfRule>
    <cfRule type="colorScale" priority="26258">
      <colorScale>
        <cfvo type="min" val="0"/>
        <cfvo type="percentile" val="50"/>
        <cfvo type="max" val="0"/>
        <color rgb="FFF8696B"/>
        <color rgb="FFFFEB84"/>
        <color rgb="FF63BE7B"/>
      </colorScale>
    </cfRule>
    <cfRule type="colorScale" priority="26259">
      <colorScale>
        <cfvo type="num" val="1"/>
        <cfvo type="num" val="2"/>
        <cfvo type="num" val="3"/>
        <color rgb="FFF8696B"/>
        <color rgb="FFFFEB84"/>
        <color rgb="FF63BE7B"/>
      </colorScale>
    </cfRule>
    <cfRule type="colorScale" priority="26260">
      <colorScale>
        <cfvo type="num" val="1"/>
        <cfvo type="num" val="2"/>
        <cfvo type="num" val="3"/>
        <color rgb="FFF8696B"/>
        <color rgb="FFFFEB84"/>
        <color rgb="FF63BE7B"/>
      </colorScale>
    </cfRule>
    <cfRule type="colorScale" priority="26261">
      <colorScale>
        <cfvo type="num" val="1"/>
        <cfvo type="num" val="2"/>
        <cfvo type="num" val="3"/>
        <color rgb="FFF8696B"/>
        <color rgb="FFFFEB84"/>
        <color rgb="FF63BE7B"/>
      </colorScale>
    </cfRule>
    <cfRule type="colorScale" priority="26262">
      <colorScale>
        <cfvo type="num" val="1"/>
        <cfvo type="num" val="2"/>
        <cfvo type="num" val="3"/>
        <color rgb="FFF8696B"/>
        <color rgb="FFFFEB84"/>
        <color rgb="FF63BE7B"/>
      </colorScale>
    </cfRule>
    <cfRule type="colorScale" priority="26263">
      <colorScale>
        <cfvo type="num" val="1"/>
        <cfvo type="num" val="2"/>
        <cfvo type="num" val="3"/>
        <color rgb="FFF8696B"/>
        <color rgb="FFFFEB84"/>
        <color rgb="FF63BE7B"/>
      </colorScale>
    </cfRule>
    <cfRule type="colorScale" priority="26264">
      <colorScale>
        <cfvo type="num" val="1"/>
        <cfvo type="num" val="2"/>
        <cfvo type="num" val="3"/>
        <color rgb="FFF8696B"/>
        <color rgb="FFFFEB84"/>
        <color rgb="FF63BE7B"/>
      </colorScale>
    </cfRule>
  </conditionalFormatting>
  <conditionalFormatting sqref="H171">
    <cfRule type="cellIs" dxfId="2546" priority="25172" operator="equal">
      <formula>5</formula>
    </cfRule>
    <cfRule type="cellIs" dxfId="2545" priority="25173" operator="equal">
      <formula>4</formula>
    </cfRule>
    <cfRule type="cellIs" dxfId="2544" priority="25174" operator="equal">
      <formula>1</formula>
    </cfRule>
    <cfRule type="cellIs" dxfId="2543" priority="25175" operator="equal">
      <formula>3</formula>
    </cfRule>
    <cfRule type="cellIs" dxfId="2542" priority="25176" operator="equal">
      <formula>2</formula>
    </cfRule>
    <cfRule type="colorScale" priority="25177">
      <colorScale>
        <cfvo type="min" val="0"/>
        <cfvo type="percentile" val="50"/>
        <cfvo type="max" val="0"/>
        <color rgb="FFF8696B"/>
        <color rgb="FFFFEB84"/>
        <color rgb="FF63BE7B"/>
      </colorScale>
    </cfRule>
    <cfRule type="colorScale" priority="25178">
      <colorScale>
        <cfvo type="num" val="1"/>
        <cfvo type="num" val="2"/>
        <cfvo type="num" val="3"/>
        <color rgb="FFF8696B"/>
        <color rgb="FFFFEB84"/>
        <color rgb="FF63BE7B"/>
      </colorScale>
    </cfRule>
    <cfRule type="colorScale" priority="25179">
      <colorScale>
        <cfvo type="num" val="1"/>
        <cfvo type="num" val="2"/>
        <cfvo type="num" val="3"/>
        <color rgb="FFF8696B"/>
        <color rgb="FFFFEB84"/>
        <color rgb="FF63BE7B"/>
      </colorScale>
    </cfRule>
    <cfRule type="colorScale" priority="25180">
      <colorScale>
        <cfvo type="num" val="1"/>
        <cfvo type="num" val="2"/>
        <cfvo type="num" val="3"/>
        <color rgb="FFF8696B"/>
        <color rgb="FFFFEB84"/>
        <color rgb="FF63BE7B"/>
      </colorScale>
    </cfRule>
    <cfRule type="colorScale" priority="25181">
      <colorScale>
        <cfvo type="num" val="1"/>
        <cfvo type="num" val="2"/>
        <cfvo type="num" val="3"/>
        <color rgb="FFF8696B"/>
        <color rgb="FFFFEB84"/>
        <color rgb="FF63BE7B"/>
      </colorScale>
    </cfRule>
    <cfRule type="colorScale" priority="25182">
      <colorScale>
        <cfvo type="num" val="1"/>
        <cfvo type="num" val="2"/>
        <cfvo type="num" val="3"/>
        <color rgb="FFF8696B"/>
        <color rgb="FFFFEB84"/>
        <color rgb="FF63BE7B"/>
      </colorScale>
    </cfRule>
    <cfRule type="colorScale" priority="25183">
      <colorScale>
        <cfvo type="num" val="1"/>
        <cfvo type="num" val="2"/>
        <cfvo type="num" val="3"/>
        <color rgb="FFF8696B"/>
        <color rgb="FFFFEB84"/>
        <color rgb="FF63BE7B"/>
      </colorScale>
    </cfRule>
  </conditionalFormatting>
  <conditionalFormatting sqref="AD412 AD440 AD468 AD495 AD387 AD327 AD232 AD355 AD294:AF294 AD268 AD367:AF367 O167:P167 Y101 Y134 Y169 AD5 AD91 AD122 AD155 AD194">
    <cfRule type="colorScale" priority="15209">
      <colorScale>
        <cfvo type="num" val="1"/>
        <cfvo type="num" val="2"/>
        <cfvo type="num" val="3"/>
        <color rgb="FFF8696B"/>
        <color rgb="FFFFEB84"/>
        <color rgb="FF63BE7B"/>
      </colorScale>
    </cfRule>
    <cfRule type="colorScale" priority="19745">
      <colorScale>
        <cfvo type="num" val="1"/>
        <cfvo type="num" val="2"/>
        <cfvo type="num" val="3"/>
        <color rgb="FFF8696B"/>
        <color rgb="FFFFEB84"/>
        <color rgb="FF63BE7B"/>
      </colorScale>
    </cfRule>
    <cfRule type="colorScale" priority="19758">
      <colorScale>
        <cfvo type="num" val="1"/>
        <cfvo type="num" val="2"/>
        <cfvo type="num" val="3"/>
        <color rgb="FFF8696B"/>
        <color rgb="FFFFEB84"/>
        <color rgb="FF63BE7B"/>
      </colorScale>
    </cfRule>
    <cfRule type="colorScale" priority="19759">
      <colorScale>
        <cfvo type="num" val="1"/>
        <cfvo type="num" val="2"/>
        <cfvo type="num" val="3"/>
        <color rgb="FFF8696B"/>
        <color rgb="FFFFEB84"/>
        <color rgb="FF63BE7B"/>
      </colorScale>
    </cfRule>
    <cfRule type="colorScale" priority="19761">
      <colorScale>
        <cfvo type="num" val="1"/>
        <cfvo type="num" val="2"/>
        <cfvo type="num" val="3"/>
        <color rgb="FFF8696B"/>
        <color rgb="FFFFEB84"/>
        <color rgb="FF63BE7B"/>
      </colorScale>
    </cfRule>
    <cfRule type="colorScale" priority="19762">
      <colorScale>
        <cfvo type="num" val="1"/>
        <cfvo type="num" val="2"/>
        <cfvo type="num" val="3"/>
        <color rgb="FFF8696B"/>
        <color rgb="FFFFEB84"/>
        <color rgb="FF63BE7B"/>
      </colorScale>
    </cfRule>
    <cfRule type="colorScale" priority="19763">
      <colorScale>
        <cfvo type="num" val="1"/>
        <cfvo type="num" val="2"/>
        <cfvo type="num" val="3"/>
        <color rgb="FFF8696B"/>
        <color rgb="FFFFEB84"/>
        <color rgb="FF63BE7B"/>
      </colorScale>
    </cfRule>
    <cfRule type="colorScale" priority="19764">
      <colorScale>
        <cfvo type="num" val="1"/>
        <cfvo type="num" val="2"/>
        <cfvo type="num" val="3"/>
        <color rgb="FFF8696B"/>
        <color rgb="FFFFEB84"/>
        <color rgb="FF63BE7B"/>
      </colorScale>
    </cfRule>
    <cfRule type="colorScale" priority="19765">
      <colorScale>
        <cfvo type="num" val="1"/>
        <cfvo type="num" val="2"/>
        <cfvo type="num" val="3"/>
        <color rgb="FFF8696B"/>
        <color rgb="FFFFEB84"/>
        <color rgb="FF63BE7B"/>
      </colorScale>
    </cfRule>
    <cfRule type="colorScale" priority="19798">
      <colorScale>
        <cfvo type="num" val="1"/>
        <cfvo type="num" val="2"/>
        <cfvo type="num" val="3"/>
        <color rgb="FFF8696B"/>
        <color rgb="FFFFEB84"/>
        <color rgb="FF63BE7B"/>
      </colorScale>
    </cfRule>
    <cfRule type="colorScale" priority="19800">
      <colorScale>
        <cfvo type="num" val="1"/>
        <cfvo type="num" val="2"/>
        <cfvo type="num" val="3"/>
        <color rgb="FFF8696B"/>
        <color rgb="FFFFEB84"/>
        <color rgb="FF63BE7B"/>
      </colorScale>
    </cfRule>
    <cfRule type="colorScale" priority="19802">
      <colorScale>
        <cfvo type="num" val="1"/>
        <cfvo type="num" val="2"/>
        <cfvo type="num" val="3"/>
        <color rgb="FFF8696B"/>
        <color rgb="FFFFEB84"/>
        <color rgb="FF63BE7B"/>
      </colorScale>
    </cfRule>
    <cfRule type="colorScale" priority="19804">
      <colorScale>
        <cfvo type="num" val="1"/>
        <cfvo type="num" val="2"/>
        <cfvo type="num" val="3"/>
        <color rgb="FFF8696B"/>
        <color rgb="FFFFEB84"/>
        <color rgb="FF63BE7B"/>
      </colorScale>
    </cfRule>
  </conditionalFormatting>
  <conditionalFormatting sqref="H308">
    <cfRule type="cellIs" dxfId="2541" priority="20265" operator="equal">
      <formula>5</formula>
    </cfRule>
    <cfRule type="cellIs" dxfId="2540" priority="20266" operator="equal">
      <formula>4</formula>
    </cfRule>
    <cfRule type="cellIs" dxfId="2539" priority="20267" operator="equal">
      <formula>1</formula>
    </cfRule>
    <cfRule type="cellIs" dxfId="2538" priority="20268" operator="equal">
      <formula>3</formula>
    </cfRule>
    <cfRule type="cellIs" dxfId="2537" priority="20269" operator="equal">
      <formula>2</formula>
    </cfRule>
    <cfRule type="colorScale" priority="20270">
      <colorScale>
        <cfvo type="min" val="0"/>
        <cfvo type="percentile" val="50"/>
        <cfvo type="max" val="0"/>
        <color rgb="FFF8696B"/>
        <color rgb="FFFFEB84"/>
        <color rgb="FF63BE7B"/>
      </colorScale>
    </cfRule>
    <cfRule type="colorScale" priority="20271">
      <colorScale>
        <cfvo type="num" val="1"/>
        <cfvo type="num" val="2"/>
        <cfvo type="num" val="3"/>
        <color rgb="FFF8696B"/>
        <color rgb="FFFFEB84"/>
        <color rgb="FF63BE7B"/>
      </colorScale>
    </cfRule>
    <cfRule type="colorScale" priority="20272">
      <colorScale>
        <cfvo type="num" val="1"/>
        <cfvo type="num" val="2"/>
        <cfvo type="num" val="3"/>
        <color rgb="FFF8696B"/>
        <color rgb="FFFFEB84"/>
        <color rgb="FF63BE7B"/>
      </colorScale>
    </cfRule>
    <cfRule type="colorScale" priority="20273">
      <colorScale>
        <cfvo type="num" val="1"/>
        <cfvo type="num" val="2"/>
        <cfvo type="num" val="3"/>
        <color rgb="FFF8696B"/>
        <color rgb="FFFFEB84"/>
        <color rgb="FF63BE7B"/>
      </colorScale>
    </cfRule>
    <cfRule type="colorScale" priority="20274">
      <colorScale>
        <cfvo type="num" val="1"/>
        <cfvo type="num" val="2"/>
        <cfvo type="num" val="3"/>
        <color rgb="FFF8696B"/>
        <color rgb="FFFFEB84"/>
        <color rgb="FF63BE7B"/>
      </colorScale>
    </cfRule>
    <cfRule type="colorScale" priority="20275">
      <colorScale>
        <cfvo type="num" val="1"/>
        <cfvo type="num" val="2"/>
        <cfvo type="num" val="3"/>
        <color rgb="FFF8696B"/>
        <color rgb="FFFFEB84"/>
        <color rgb="FF63BE7B"/>
      </colorScale>
    </cfRule>
    <cfRule type="colorScale" priority="20276">
      <colorScale>
        <cfvo type="num" val="1"/>
        <cfvo type="num" val="2"/>
        <cfvo type="num" val="3"/>
        <color rgb="FFF8696B"/>
        <color rgb="FFFFEB84"/>
        <color rgb="FF63BE7B"/>
      </colorScale>
    </cfRule>
  </conditionalFormatting>
  <conditionalFormatting sqref="H329">
    <cfRule type="cellIs" dxfId="2536" priority="21424" operator="equal">
      <formula>5</formula>
    </cfRule>
    <cfRule type="cellIs" dxfId="2535" priority="21425" operator="equal">
      <formula>4</formula>
    </cfRule>
    <cfRule type="cellIs" dxfId="2534" priority="21426" operator="equal">
      <formula>1</formula>
    </cfRule>
    <cfRule type="colorScale" priority="21429">
      <colorScale>
        <cfvo type="min" val="0"/>
        <cfvo type="percentile" val="50"/>
        <cfvo type="max" val="0"/>
        <color rgb="FFF8696B"/>
        <color rgb="FFFFEB84"/>
        <color rgb="FF63BE7B"/>
      </colorScale>
    </cfRule>
    <cfRule type="colorScale" priority="21430">
      <colorScale>
        <cfvo type="num" val="1"/>
        <cfvo type="num" val="2"/>
        <cfvo type="num" val="3"/>
        <color rgb="FFF8696B"/>
        <color rgb="FFFFEB84"/>
        <color rgb="FF63BE7B"/>
      </colorScale>
    </cfRule>
    <cfRule type="colorScale" priority="21431">
      <colorScale>
        <cfvo type="num" val="1"/>
        <cfvo type="num" val="2"/>
        <cfvo type="num" val="3"/>
        <color rgb="FFF8696B"/>
        <color rgb="FFFFEB84"/>
        <color rgb="FF63BE7B"/>
      </colorScale>
    </cfRule>
  </conditionalFormatting>
  <conditionalFormatting sqref="H335">
    <cfRule type="cellIs" dxfId="2533" priority="21432" operator="equal">
      <formula>5</formula>
    </cfRule>
    <cfRule type="cellIs" dxfId="2532" priority="21433" operator="equal">
      <formula>4</formula>
    </cfRule>
    <cfRule type="cellIs" dxfId="2531" priority="21434" operator="equal">
      <formula>1</formula>
    </cfRule>
    <cfRule type="cellIs" dxfId="2530" priority="21435" operator="equal">
      <formula>3</formula>
    </cfRule>
    <cfRule type="cellIs" dxfId="2529" priority="21436" operator="equal">
      <formula>2</formula>
    </cfRule>
    <cfRule type="colorScale" priority="21437">
      <colorScale>
        <cfvo type="min" val="0"/>
        <cfvo type="percentile" val="50"/>
        <cfvo type="max" val="0"/>
        <color rgb="FFF8696B"/>
        <color rgb="FFFFEB84"/>
        <color rgb="FF63BE7B"/>
      </colorScale>
    </cfRule>
    <cfRule type="colorScale" priority="21438">
      <colorScale>
        <cfvo type="num" val="1"/>
        <cfvo type="num" val="2"/>
        <cfvo type="num" val="3"/>
        <color rgb="FFF8696B"/>
        <color rgb="FFFFEB84"/>
        <color rgb="FF63BE7B"/>
      </colorScale>
    </cfRule>
    <cfRule type="colorScale" priority="21439">
      <colorScale>
        <cfvo type="num" val="1"/>
        <cfvo type="num" val="2"/>
        <cfvo type="num" val="3"/>
        <color rgb="FFF8696B"/>
        <color rgb="FFFFEB84"/>
        <color rgb="FF63BE7B"/>
      </colorScale>
    </cfRule>
    <cfRule type="colorScale" priority="21440">
      <colorScale>
        <cfvo type="num" val="1"/>
        <cfvo type="num" val="2"/>
        <cfvo type="num" val="3"/>
        <color rgb="FFF8696B"/>
        <color rgb="FFFFEB84"/>
        <color rgb="FF63BE7B"/>
      </colorScale>
    </cfRule>
    <cfRule type="colorScale" priority="21441">
      <colorScale>
        <cfvo type="num" val="1"/>
        <cfvo type="num" val="2"/>
        <cfvo type="num" val="3"/>
        <color rgb="FFF8696B"/>
        <color rgb="FFFFEB84"/>
        <color rgb="FF63BE7B"/>
      </colorScale>
    </cfRule>
    <cfRule type="colorScale" priority="21442">
      <colorScale>
        <cfvo type="num" val="1"/>
        <cfvo type="num" val="2"/>
        <cfvo type="num" val="3"/>
        <color rgb="FFF8696B"/>
        <color rgb="FFFFEB84"/>
        <color rgb="FF63BE7B"/>
      </colorScale>
    </cfRule>
    <cfRule type="colorScale" priority="21443">
      <colorScale>
        <cfvo type="num" val="1"/>
        <cfvo type="num" val="2"/>
        <cfvo type="num" val="3"/>
        <color rgb="FFF8696B"/>
        <color rgb="FFFFEB84"/>
        <color rgb="FF63BE7B"/>
      </colorScale>
    </cfRule>
  </conditionalFormatting>
  <conditionalFormatting sqref="H357">
    <cfRule type="cellIs" dxfId="2528" priority="18371" operator="equal">
      <formula>5</formula>
    </cfRule>
    <cfRule type="cellIs" dxfId="2527" priority="18372" operator="equal">
      <formula>4</formula>
    </cfRule>
    <cfRule type="cellIs" dxfId="2526" priority="18373" operator="equal">
      <formula>1</formula>
    </cfRule>
    <cfRule type="cellIs" dxfId="2525" priority="18374" operator="equal">
      <formula>3</formula>
    </cfRule>
    <cfRule type="colorScale" priority="18376">
      <colorScale>
        <cfvo type="min" val="0"/>
        <cfvo type="percentile" val="50"/>
        <cfvo type="max" val="0"/>
        <color rgb="FFF8696B"/>
        <color rgb="FFFFEB84"/>
        <color rgb="FF63BE7B"/>
      </colorScale>
    </cfRule>
    <cfRule type="colorScale" priority="18377">
      <colorScale>
        <cfvo type="num" val="1"/>
        <cfvo type="num" val="2"/>
        <cfvo type="num" val="3"/>
        <color rgb="FFF8696B"/>
        <color rgb="FFFFEB84"/>
        <color rgb="FF63BE7B"/>
      </colorScale>
    </cfRule>
    <cfRule type="colorScale" priority="18378">
      <colorScale>
        <cfvo type="num" val="1"/>
        <cfvo type="num" val="2"/>
        <cfvo type="num" val="3"/>
        <color rgb="FFF8696B"/>
        <color rgb="FFFFEB84"/>
        <color rgb="FF63BE7B"/>
      </colorScale>
    </cfRule>
  </conditionalFormatting>
  <conditionalFormatting sqref="H363">
    <cfRule type="cellIs" dxfId="2524" priority="18379" operator="equal">
      <formula>5</formula>
    </cfRule>
    <cfRule type="cellIs" dxfId="2523" priority="18380" operator="equal">
      <formula>4</formula>
    </cfRule>
    <cfRule type="cellIs" dxfId="2522" priority="18381" operator="equal">
      <formula>1</formula>
    </cfRule>
    <cfRule type="cellIs" dxfId="2521" priority="18382" operator="equal">
      <formula>3</formula>
    </cfRule>
    <cfRule type="cellIs" dxfId="2520" priority="18383" operator="equal">
      <formula>2</formula>
    </cfRule>
    <cfRule type="colorScale" priority="18384">
      <colorScale>
        <cfvo type="min" val="0"/>
        <cfvo type="percentile" val="50"/>
        <cfvo type="max" val="0"/>
        <color rgb="FFF8696B"/>
        <color rgb="FFFFEB84"/>
        <color rgb="FF63BE7B"/>
      </colorScale>
    </cfRule>
    <cfRule type="colorScale" priority="18385">
      <colorScale>
        <cfvo type="num" val="1"/>
        <cfvo type="num" val="2"/>
        <cfvo type="num" val="3"/>
        <color rgb="FFF8696B"/>
        <color rgb="FFFFEB84"/>
        <color rgb="FF63BE7B"/>
      </colorScale>
    </cfRule>
    <cfRule type="colorScale" priority="18386">
      <colorScale>
        <cfvo type="num" val="1"/>
        <cfvo type="num" val="2"/>
        <cfvo type="num" val="3"/>
        <color rgb="FFF8696B"/>
        <color rgb="FFFFEB84"/>
        <color rgb="FF63BE7B"/>
      </colorScale>
    </cfRule>
    <cfRule type="colorScale" priority="18387">
      <colorScale>
        <cfvo type="num" val="1"/>
        <cfvo type="num" val="2"/>
        <cfvo type="num" val="3"/>
        <color rgb="FFF8696B"/>
        <color rgb="FFFFEB84"/>
        <color rgb="FF63BE7B"/>
      </colorScale>
    </cfRule>
    <cfRule type="colorScale" priority="18388">
      <colorScale>
        <cfvo type="num" val="1"/>
        <cfvo type="num" val="2"/>
        <cfvo type="num" val="3"/>
        <color rgb="FFF8696B"/>
        <color rgb="FFFFEB84"/>
        <color rgb="FF63BE7B"/>
      </colorScale>
    </cfRule>
    <cfRule type="colorScale" priority="18389">
      <colorScale>
        <cfvo type="num" val="1"/>
        <cfvo type="num" val="2"/>
        <cfvo type="num" val="3"/>
        <color rgb="FFF8696B"/>
        <color rgb="FFFFEB84"/>
        <color rgb="FF63BE7B"/>
      </colorScale>
    </cfRule>
    <cfRule type="colorScale" priority="18390">
      <colorScale>
        <cfvo type="num" val="1"/>
        <cfvo type="num" val="2"/>
        <cfvo type="num" val="3"/>
        <color rgb="FFF8696B"/>
        <color rgb="FFFFEB84"/>
        <color rgb="FF63BE7B"/>
      </colorScale>
    </cfRule>
  </conditionalFormatting>
  <conditionalFormatting sqref="H389">
    <cfRule type="cellIs" dxfId="2519" priority="11749" operator="equal">
      <formula>5</formula>
    </cfRule>
    <cfRule type="cellIs" dxfId="2518" priority="11750" operator="equal">
      <formula>4</formula>
    </cfRule>
    <cfRule type="cellIs" dxfId="2517" priority="11751" operator="equal">
      <formula>1</formula>
    </cfRule>
    <cfRule type="colorScale" priority="11754">
      <colorScale>
        <cfvo type="min" val="0"/>
        <cfvo type="percentile" val="50"/>
        <cfvo type="max" val="0"/>
        <color rgb="FFF8696B"/>
        <color rgb="FFFFEB84"/>
        <color rgb="FF63BE7B"/>
      </colorScale>
    </cfRule>
    <cfRule type="colorScale" priority="11755">
      <colorScale>
        <cfvo type="num" val="1"/>
        <cfvo type="num" val="2"/>
        <cfvo type="num" val="3"/>
        <color rgb="FFF8696B"/>
        <color rgb="FFFFEB84"/>
        <color rgb="FF63BE7B"/>
      </colorScale>
    </cfRule>
    <cfRule type="colorScale" priority="11756">
      <colorScale>
        <cfvo type="num" val="1"/>
        <cfvo type="num" val="2"/>
        <cfvo type="num" val="3"/>
        <color rgb="FFF8696B"/>
        <color rgb="FFFFEB84"/>
        <color rgb="FF63BE7B"/>
      </colorScale>
    </cfRule>
  </conditionalFormatting>
  <conditionalFormatting sqref="H395">
    <cfRule type="cellIs" dxfId="2516" priority="11757" operator="equal">
      <formula>5</formula>
    </cfRule>
    <cfRule type="cellIs" dxfId="2515" priority="11758" operator="equal">
      <formula>4</formula>
    </cfRule>
    <cfRule type="cellIs" dxfId="2514" priority="11759" operator="equal">
      <formula>1</formula>
    </cfRule>
    <cfRule type="cellIs" dxfId="2513" priority="11760" operator="equal">
      <formula>3</formula>
    </cfRule>
    <cfRule type="cellIs" dxfId="2512" priority="11761" operator="equal">
      <formula>2</formula>
    </cfRule>
    <cfRule type="colorScale" priority="11762">
      <colorScale>
        <cfvo type="min" val="0"/>
        <cfvo type="percentile" val="50"/>
        <cfvo type="max" val="0"/>
        <color rgb="FFF8696B"/>
        <color rgb="FFFFEB84"/>
        <color rgb="FF63BE7B"/>
      </colorScale>
    </cfRule>
    <cfRule type="colorScale" priority="11763">
      <colorScale>
        <cfvo type="num" val="1"/>
        <cfvo type="num" val="2"/>
        <cfvo type="num" val="3"/>
        <color rgb="FFF8696B"/>
        <color rgb="FFFFEB84"/>
        <color rgb="FF63BE7B"/>
      </colorScale>
    </cfRule>
    <cfRule type="colorScale" priority="11764">
      <colorScale>
        <cfvo type="num" val="1"/>
        <cfvo type="num" val="2"/>
        <cfvo type="num" val="3"/>
        <color rgb="FFF8696B"/>
        <color rgb="FFFFEB84"/>
        <color rgb="FF63BE7B"/>
      </colorScale>
    </cfRule>
    <cfRule type="colorScale" priority="11765">
      <colorScale>
        <cfvo type="num" val="1"/>
        <cfvo type="num" val="2"/>
        <cfvo type="num" val="3"/>
        <color rgb="FFF8696B"/>
        <color rgb="FFFFEB84"/>
        <color rgb="FF63BE7B"/>
      </colorScale>
    </cfRule>
    <cfRule type="colorScale" priority="11766">
      <colorScale>
        <cfvo type="num" val="1"/>
        <cfvo type="num" val="2"/>
        <cfvo type="num" val="3"/>
        <color rgb="FFF8696B"/>
        <color rgb="FFFFEB84"/>
        <color rgb="FF63BE7B"/>
      </colorScale>
    </cfRule>
    <cfRule type="colorScale" priority="11767">
      <colorScale>
        <cfvo type="num" val="1"/>
        <cfvo type="num" val="2"/>
        <cfvo type="num" val="3"/>
        <color rgb="FFF8696B"/>
        <color rgb="FFFFEB84"/>
        <color rgb="FF63BE7B"/>
      </colorScale>
    </cfRule>
    <cfRule type="colorScale" priority="11768">
      <colorScale>
        <cfvo type="num" val="1"/>
        <cfvo type="num" val="2"/>
        <cfvo type="num" val="3"/>
        <color rgb="FFF8696B"/>
        <color rgb="FFFFEB84"/>
        <color rgb="FF63BE7B"/>
      </colorScale>
    </cfRule>
  </conditionalFormatting>
  <conditionalFormatting sqref="H414">
    <cfRule type="cellIs" dxfId="2511" priority="10600" operator="equal">
      <formula>5</formula>
    </cfRule>
    <cfRule type="cellIs" dxfId="2510" priority="10601" operator="equal">
      <formula>4</formula>
    </cfRule>
    <cfRule type="cellIs" dxfId="2509" priority="10602" operator="equal">
      <formula>1</formula>
    </cfRule>
    <cfRule type="cellIs" dxfId="2508" priority="10603" operator="equal">
      <formula>3</formula>
    </cfRule>
    <cfRule type="colorScale" priority="10605">
      <colorScale>
        <cfvo type="min" val="0"/>
        <cfvo type="percentile" val="50"/>
        <cfvo type="max" val="0"/>
        <color rgb="FFF8696B"/>
        <color rgb="FFFFEB84"/>
        <color rgb="FF63BE7B"/>
      </colorScale>
    </cfRule>
    <cfRule type="colorScale" priority="10606">
      <colorScale>
        <cfvo type="num" val="1"/>
        <cfvo type="num" val="2"/>
        <cfvo type="num" val="3"/>
        <color rgb="FFF8696B"/>
        <color rgb="FFFFEB84"/>
        <color rgb="FF63BE7B"/>
      </colorScale>
    </cfRule>
    <cfRule type="colorScale" priority="10607">
      <colorScale>
        <cfvo type="num" val="1"/>
        <cfvo type="num" val="2"/>
        <cfvo type="num" val="3"/>
        <color rgb="FFF8696B"/>
        <color rgb="FFFFEB84"/>
        <color rgb="FF63BE7B"/>
      </colorScale>
    </cfRule>
  </conditionalFormatting>
  <conditionalFormatting sqref="H420">
    <cfRule type="cellIs" dxfId="2507" priority="10608" operator="equal">
      <formula>5</formula>
    </cfRule>
    <cfRule type="cellIs" dxfId="2506" priority="10609" operator="equal">
      <formula>4</formula>
    </cfRule>
    <cfRule type="cellIs" dxfId="2505" priority="10610" operator="equal">
      <formula>1</formula>
    </cfRule>
    <cfRule type="cellIs" dxfId="2504" priority="10611" operator="equal">
      <formula>3</formula>
    </cfRule>
    <cfRule type="cellIs" dxfId="2503" priority="10612" operator="equal">
      <formula>2</formula>
    </cfRule>
    <cfRule type="colorScale" priority="10613">
      <colorScale>
        <cfvo type="min" val="0"/>
        <cfvo type="percentile" val="50"/>
        <cfvo type="max" val="0"/>
        <color rgb="FFF8696B"/>
        <color rgb="FFFFEB84"/>
        <color rgb="FF63BE7B"/>
      </colorScale>
    </cfRule>
    <cfRule type="colorScale" priority="10614">
      <colorScale>
        <cfvo type="num" val="1"/>
        <cfvo type="num" val="2"/>
        <cfvo type="num" val="3"/>
        <color rgb="FFF8696B"/>
        <color rgb="FFFFEB84"/>
        <color rgb="FF63BE7B"/>
      </colorScale>
    </cfRule>
    <cfRule type="colorScale" priority="10615">
      <colorScale>
        <cfvo type="num" val="1"/>
        <cfvo type="num" val="2"/>
        <cfvo type="num" val="3"/>
        <color rgb="FFF8696B"/>
        <color rgb="FFFFEB84"/>
        <color rgb="FF63BE7B"/>
      </colorScale>
    </cfRule>
    <cfRule type="colorScale" priority="10616">
      <colorScale>
        <cfvo type="num" val="1"/>
        <cfvo type="num" val="2"/>
        <cfvo type="num" val="3"/>
        <color rgb="FFF8696B"/>
        <color rgb="FFFFEB84"/>
        <color rgb="FF63BE7B"/>
      </colorScale>
    </cfRule>
    <cfRule type="colorScale" priority="10617">
      <colorScale>
        <cfvo type="num" val="1"/>
        <cfvo type="num" val="2"/>
        <cfvo type="num" val="3"/>
        <color rgb="FFF8696B"/>
        <color rgb="FFFFEB84"/>
        <color rgb="FF63BE7B"/>
      </colorScale>
    </cfRule>
    <cfRule type="colorScale" priority="10618">
      <colorScale>
        <cfvo type="num" val="1"/>
        <cfvo type="num" val="2"/>
        <cfvo type="num" val="3"/>
        <color rgb="FFF8696B"/>
        <color rgb="FFFFEB84"/>
        <color rgb="FF63BE7B"/>
      </colorScale>
    </cfRule>
    <cfRule type="colorScale" priority="10619">
      <colorScale>
        <cfvo type="num" val="1"/>
        <cfvo type="num" val="2"/>
        <cfvo type="num" val="3"/>
        <color rgb="FFF8696B"/>
        <color rgb="FFFFEB84"/>
        <color rgb="FF63BE7B"/>
      </colorScale>
    </cfRule>
  </conditionalFormatting>
  <conditionalFormatting sqref="H442">
    <cfRule type="cellIs" dxfId="2502" priority="9486" operator="equal">
      <formula>5</formula>
    </cfRule>
    <cfRule type="cellIs" dxfId="2501" priority="9487" operator="equal">
      <formula>4</formula>
    </cfRule>
    <cfRule type="cellIs" dxfId="2500" priority="9488" operator="equal">
      <formula>1</formula>
    </cfRule>
    <cfRule type="colorScale" priority="9491">
      <colorScale>
        <cfvo type="min" val="0"/>
        <cfvo type="percentile" val="50"/>
        <cfvo type="max" val="0"/>
        <color rgb="FFF8696B"/>
        <color rgb="FFFFEB84"/>
        <color rgb="FF63BE7B"/>
      </colorScale>
    </cfRule>
    <cfRule type="colorScale" priority="9492">
      <colorScale>
        <cfvo type="num" val="1"/>
        <cfvo type="num" val="2"/>
        <cfvo type="num" val="3"/>
        <color rgb="FFF8696B"/>
        <color rgb="FFFFEB84"/>
        <color rgb="FF63BE7B"/>
      </colorScale>
    </cfRule>
    <cfRule type="colorScale" priority="9493">
      <colorScale>
        <cfvo type="num" val="1"/>
        <cfvo type="num" val="2"/>
        <cfvo type="num" val="3"/>
        <color rgb="FFF8696B"/>
        <color rgb="FFFFEB84"/>
        <color rgb="FF63BE7B"/>
      </colorScale>
    </cfRule>
  </conditionalFormatting>
  <conditionalFormatting sqref="H448">
    <cfRule type="cellIs" dxfId="2499" priority="9494" operator="equal">
      <formula>5</formula>
    </cfRule>
    <cfRule type="cellIs" dxfId="2498" priority="9495" operator="equal">
      <formula>4</formula>
    </cfRule>
    <cfRule type="cellIs" dxfId="2497" priority="9496" operator="equal">
      <formula>1</formula>
    </cfRule>
    <cfRule type="cellIs" dxfId="2496" priority="9497" operator="equal">
      <formula>3</formula>
    </cfRule>
    <cfRule type="cellIs" dxfId="2495" priority="9498" operator="equal">
      <formula>2</formula>
    </cfRule>
    <cfRule type="colorScale" priority="9499">
      <colorScale>
        <cfvo type="min" val="0"/>
        <cfvo type="percentile" val="50"/>
        <cfvo type="max" val="0"/>
        <color rgb="FFF8696B"/>
        <color rgb="FFFFEB84"/>
        <color rgb="FF63BE7B"/>
      </colorScale>
    </cfRule>
    <cfRule type="colorScale" priority="9500">
      <colorScale>
        <cfvo type="num" val="1"/>
        <cfvo type="num" val="2"/>
        <cfvo type="num" val="3"/>
        <color rgb="FFF8696B"/>
        <color rgb="FFFFEB84"/>
        <color rgb="FF63BE7B"/>
      </colorScale>
    </cfRule>
    <cfRule type="colorScale" priority="9501">
      <colorScale>
        <cfvo type="num" val="1"/>
        <cfvo type="num" val="2"/>
        <cfvo type="num" val="3"/>
        <color rgb="FFF8696B"/>
        <color rgb="FFFFEB84"/>
        <color rgb="FF63BE7B"/>
      </colorScale>
    </cfRule>
    <cfRule type="colorScale" priority="9502">
      <colorScale>
        <cfvo type="num" val="1"/>
        <cfvo type="num" val="2"/>
        <cfvo type="num" val="3"/>
        <color rgb="FFF8696B"/>
        <color rgb="FFFFEB84"/>
        <color rgb="FF63BE7B"/>
      </colorScale>
    </cfRule>
    <cfRule type="colorScale" priority="9503">
      <colorScale>
        <cfvo type="num" val="1"/>
        <cfvo type="num" val="2"/>
        <cfvo type="num" val="3"/>
        <color rgb="FFF8696B"/>
        <color rgb="FFFFEB84"/>
        <color rgb="FF63BE7B"/>
      </colorScale>
    </cfRule>
    <cfRule type="colorScale" priority="9504">
      <colorScale>
        <cfvo type="num" val="1"/>
        <cfvo type="num" val="2"/>
        <cfvo type="num" val="3"/>
        <color rgb="FFF8696B"/>
        <color rgb="FFFFEB84"/>
        <color rgb="FF63BE7B"/>
      </colorScale>
    </cfRule>
    <cfRule type="colorScale" priority="9505">
      <colorScale>
        <cfvo type="num" val="1"/>
        <cfvo type="num" val="2"/>
        <cfvo type="num" val="3"/>
        <color rgb="FFF8696B"/>
        <color rgb="FFFFEB84"/>
        <color rgb="FF63BE7B"/>
      </colorScale>
    </cfRule>
  </conditionalFormatting>
  <conditionalFormatting sqref="H470">
    <cfRule type="cellIs" dxfId="2494" priority="8337" operator="equal">
      <formula>5</formula>
    </cfRule>
    <cfRule type="cellIs" dxfId="2493" priority="8338" operator="equal">
      <formula>4</formula>
    </cfRule>
    <cfRule type="cellIs" dxfId="2492" priority="8339" operator="equal">
      <formula>1</formula>
    </cfRule>
    <cfRule type="cellIs" dxfId="2491" priority="8340" operator="equal">
      <formula>3</formula>
    </cfRule>
    <cfRule type="colorScale" priority="8342">
      <colorScale>
        <cfvo type="min" val="0"/>
        <cfvo type="percentile" val="50"/>
        <cfvo type="max" val="0"/>
        <color rgb="FFF8696B"/>
        <color rgb="FFFFEB84"/>
        <color rgb="FF63BE7B"/>
      </colorScale>
    </cfRule>
    <cfRule type="colorScale" priority="8343">
      <colorScale>
        <cfvo type="num" val="1"/>
        <cfvo type="num" val="2"/>
        <cfvo type="num" val="3"/>
        <color rgb="FFF8696B"/>
        <color rgb="FFFFEB84"/>
        <color rgb="FF63BE7B"/>
      </colorScale>
    </cfRule>
    <cfRule type="colorScale" priority="8344">
      <colorScale>
        <cfvo type="num" val="1"/>
        <cfvo type="num" val="2"/>
        <cfvo type="num" val="3"/>
        <color rgb="FFF8696B"/>
        <color rgb="FFFFEB84"/>
        <color rgb="FF63BE7B"/>
      </colorScale>
    </cfRule>
  </conditionalFormatting>
  <conditionalFormatting sqref="H476">
    <cfRule type="cellIs" dxfId="2490" priority="8345" operator="equal">
      <formula>5</formula>
    </cfRule>
    <cfRule type="cellIs" dxfId="2489" priority="8346" operator="equal">
      <formula>4</formula>
    </cfRule>
    <cfRule type="cellIs" dxfId="2488" priority="8347" operator="equal">
      <formula>1</formula>
    </cfRule>
    <cfRule type="cellIs" dxfId="2487" priority="8348" operator="equal">
      <formula>3</formula>
    </cfRule>
    <cfRule type="cellIs" dxfId="2486" priority="8349" operator="equal">
      <formula>2</formula>
    </cfRule>
    <cfRule type="colorScale" priority="8350">
      <colorScale>
        <cfvo type="min" val="0"/>
        <cfvo type="percentile" val="50"/>
        <cfvo type="max" val="0"/>
        <color rgb="FFF8696B"/>
        <color rgb="FFFFEB84"/>
        <color rgb="FF63BE7B"/>
      </colorScale>
    </cfRule>
    <cfRule type="colorScale" priority="8351">
      <colorScale>
        <cfvo type="num" val="1"/>
        <cfvo type="num" val="2"/>
        <cfvo type="num" val="3"/>
        <color rgb="FFF8696B"/>
        <color rgb="FFFFEB84"/>
        <color rgb="FF63BE7B"/>
      </colorScale>
    </cfRule>
    <cfRule type="colorScale" priority="8352">
      <colorScale>
        <cfvo type="num" val="1"/>
        <cfvo type="num" val="2"/>
        <cfvo type="num" val="3"/>
        <color rgb="FFF8696B"/>
        <color rgb="FFFFEB84"/>
        <color rgb="FF63BE7B"/>
      </colorScale>
    </cfRule>
    <cfRule type="colorScale" priority="8353">
      <colorScale>
        <cfvo type="num" val="1"/>
        <cfvo type="num" val="2"/>
        <cfvo type="num" val="3"/>
        <color rgb="FFF8696B"/>
        <color rgb="FFFFEB84"/>
        <color rgb="FF63BE7B"/>
      </colorScale>
    </cfRule>
    <cfRule type="colorScale" priority="8354">
      <colorScale>
        <cfvo type="num" val="1"/>
        <cfvo type="num" val="2"/>
        <cfvo type="num" val="3"/>
        <color rgb="FFF8696B"/>
        <color rgb="FFFFEB84"/>
        <color rgb="FF63BE7B"/>
      </colorScale>
    </cfRule>
    <cfRule type="colorScale" priority="8355">
      <colorScale>
        <cfvo type="num" val="1"/>
        <cfvo type="num" val="2"/>
        <cfvo type="num" val="3"/>
        <color rgb="FFF8696B"/>
        <color rgb="FFFFEB84"/>
        <color rgb="FF63BE7B"/>
      </colorScale>
    </cfRule>
    <cfRule type="colorScale" priority="8356">
      <colorScale>
        <cfvo type="num" val="1"/>
        <cfvo type="num" val="2"/>
        <cfvo type="num" val="3"/>
        <color rgb="FFF8696B"/>
        <color rgb="FFFFEB84"/>
        <color rgb="FF63BE7B"/>
      </colorScale>
    </cfRule>
  </conditionalFormatting>
  <conditionalFormatting sqref="H497">
    <cfRule type="cellIs" dxfId="2485" priority="7222" operator="equal">
      <formula>5</formula>
    </cfRule>
    <cfRule type="cellIs" dxfId="2484" priority="7223" operator="equal">
      <formula>4</formula>
    </cfRule>
    <cfRule type="cellIs" dxfId="2483" priority="7224" operator="equal">
      <formula>1</formula>
    </cfRule>
    <cfRule type="cellIs" dxfId="2482" priority="7225" operator="equal">
      <formula>3</formula>
    </cfRule>
    <cfRule type="colorScale" priority="7227">
      <colorScale>
        <cfvo type="min" val="0"/>
        <cfvo type="percentile" val="50"/>
        <cfvo type="max" val="0"/>
        <color rgb="FFF8696B"/>
        <color rgb="FFFFEB84"/>
        <color rgb="FF63BE7B"/>
      </colorScale>
    </cfRule>
    <cfRule type="colorScale" priority="7228">
      <colorScale>
        <cfvo type="num" val="1"/>
        <cfvo type="num" val="2"/>
        <cfvo type="num" val="3"/>
        <color rgb="FFF8696B"/>
        <color rgb="FFFFEB84"/>
        <color rgb="FF63BE7B"/>
      </colorScale>
    </cfRule>
    <cfRule type="colorScale" priority="7229">
      <colorScale>
        <cfvo type="num" val="1"/>
        <cfvo type="num" val="2"/>
        <cfvo type="num" val="3"/>
        <color rgb="FFF8696B"/>
        <color rgb="FFFFEB84"/>
        <color rgb="FF63BE7B"/>
      </colorScale>
    </cfRule>
  </conditionalFormatting>
  <conditionalFormatting sqref="H503">
    <cfRule type="cellIs" dxfId="2481" priority="7230" operator="equal">
      <formula>5</formula>
    </cfRule>
    <cfRule type="cellIs" dxfId="2480" priority="7231" operator="equal">
      <formula>4</formula>
    </cfRule>
    <cfRule type="cellIs" dxfId="2479" priority="7232" operator="equal">
      <formula>1</formula>
    </cfRule>
    <cfRule type="cellIs" dxfId="2478" priority="7233" operator="equal">
      <formula>3</formula>
    </cfRule>
    <cfRule type="cellIs" dxfId="2477" priority="7234" operator="equal">
      <formula>2</formula>
    </cfRule>
    <cfRule type="colorScale" priority="7235">
      <colorScale>
        <cfvo type="min" val="0"/>
        <cfvo type="percentile" val="50"/>
        <cfvo type="max" val="0"/>
        <color rgb="FFF8696B"/>
        <color rgb="FFFFEB84"/>
        <color rgb="FF63BE7B"/>
      </colorScale>
    </cfRule>
    <cfRule type="colorScale" priority="7236">
      <colorScale>
        <cfvo type="num" val="1"/>
        <cfvo type="num" val="2"/>
        <cfvo type="num" val="3"/>
        <color rgb="FFF8696B"/>
        <color rgb="FFFFEB84"/>
        <color rgb="FF63BE7B"/>
      </colorScale>
    </cfRule>
    <cfRule type="colorScale" priority="7237">
      <colorScale>
        <cfvo type="num" val="1"/>
        <cfvo type="num" val="2"/>
        <cfvo type="num" val="3"/>
        <color rgb="FFF8696B"/>
        <color rgb="FFFFEB84"/>
        <color rgb="FF63BE7B"/>
      </colorScale>
    </cfRule>
    <cfRule type="colorScale" priority="7238">
      <colorScale>
        <cfvo type="num" val="1"/>
        <cfvo type="num" val="2"/>
        <cfvo type="num" val="3"/>
        <color rgb="FFF8696B"/>
        <color rgb="FFFFEB84"/>
        <color rgb="FF63BE7B"/>
      </colorScale>
    </cfRule>
    <cfRule type="colorScale" priority="7239">
      <colorScale>
        <cfvo type="num" val="1"/>
        <cfvo type="num" val="2"/>
        <cfvo type="num" val="3"/>
        <color rgb="FFF8696B"/>
        <color rgb="FFFFEB84"/>
        <color rgb="FF63BE7B"/>
      </colorScale>
    </cfRule>
    <cfRule type="colorScale" priority="7240">
      <colorScale>
        <cfvo type="num" val="1"/>
        <cfvo type="num" val="2"/>
        <cfvo type="num" val="3"/>
        <color rgb="FFF8696B"/>
        <color rgb="FFFFEB84"/>
        <color rgb="FF63BE7B"/>
      </colorScale>
    </cfRule>
    <cfRule type="colorScale" priority="7241">
      <colorScale>
        <cfvo type="num" val="1"/>
        <cfvo type="num" val="2"/>
        <cfvo type="num" val="3"/>
        <color rgb="FFF8696B"/>
        <color rgb="FFFFEB84"/>
        <color rgb="FF63BE7B"/>
      </colorScale>
    </cfRule>
  </conditionalFormatting>
  <conditionalFormatting sqref="H230:J230">
    <cfRule type="cellIs" dxfId="2476" priority="16263" operator="equal">
      <formula>5</formula>
    </cfRule>
    <cfRule type="cellIs" dxfId="2475" priority="16264" operator="equal">
      <formula>4</formula>
    </cfRule>
    <cfRule type="cellIs" dxfId="2474" priority="16265" operator="equal">
      <formula>1</formula>
    </cfRule>
    <cfRule type="cellIs" dxfId="2473" priority="16266" operator="equal">
      <formula>3</formula>
    </cfRule>
    <cfRule type="cellIs" dxfId="2472" priority="16267" operator="equal">
      <formula>2</formula>
    </cfRule>
    <cfRule type="colorScale" priority="16268">
      <colorScale>
        <cfvo type="min" val="0"/>
        <cfvo type="percentile" val="50"/>
        <cfvo type="max" val="0"/>
        <color rgb="FFF8696B"/>
        <color rgb="FFFFEB84"/>
        <color rgb="FF63BE7B"/>
      </colorScale>
    </cfRule>
    <cfRule type="colorScale" priority="16269">
      <colorScale>
        <cfvo type="num" val="1"/>
        <cfvo type="num" val="2"/>
        <cfvo type="num" val="3"/>
        <color rgb="FFF8696B"/>
        <color rgb="FFFFEB84"/>
        <color rgb="FF63BE7B"/>
      </colorScale>
    </cfRule>
    <cfRule type="colorScale" priority="16270">
      <colorScale>
        <cfvo type="num" val="1"/>
        <cfvo type="num" val="2"/>
        <cfvo type="num" val="3"/>
        <color rgb="FFF8696B"/>
        <color rgb="FFFFEB84"/>
        <color rgb="FF63BE7B"/>
      </colorScale>
    </cfRule>
    <cfRule type="colorScale" priority="16271">
      <colorScale>
        <cfvo type="num" val="1"/>
        <cfvo type="num" val="2"/>
        <cfvo type="num" val="3"/>
        <color rgb="FFF8696B"/>
        <color rgb="FFFFEB84"/>
        <color rgb="FF63BE7B"/>
      </colorScale>
    </cfRule>
    <cfRule type="colorScale" priority="16272">
      <colorScale>
        <cfvo type="num" val="1"/>
        <cfvo type="num" val="2"/>
        <cfvo type="num" val="3"/>
        <color rgb="FFF8696B"/>
        <color rgb="FFFFEB84"/>
        <color rgb="FF63BE7B"/>
      </colorScale>
    </cfRule>
    <cfRule type="colorScale" priority="16273">
      <colorScale>
        <cfvo type="num" val="1"/>
        <cfvo type="num" val="2"/>
        <cfvo type="num" val="3"/>
        <color rgb="FFF8696B"/>
        <color rgb="FFFFEB84"/>
        <color rgb="FF63BE7B"/>
      </colorScale>
    </cfRule>
    <cfRule type="colorScale" priority="16274">
      <colorScale>
        <cfvo type="num" val="1"/>
        <cfvo type="num" val="2"/>
        <cfvo type="num" val="3"/>
        <color rgb="FFF8696B"/>
        <color rgb="FFFFEB84"/>
        <color rgb="FF63BE7B"/>
      </colorScale>
    </cfRule>
  </conditionalFormatting>
  <conditionalFormatting sqref="I440 I412 I468 I495 Y412 Y440 Y468 Y495 AD414 AD420 AD422 AD442 AD448 AD450 AD470 AD476 AD478 AD497 AD503 AD505 I387 Y387 AD395 I327 I232 I355 P224 Y327 Y355 AD222 AD224 AD230 I294:M294 AD308 AD310 AD329 AD335 AD337 AD357 AD363 AD365 Y294:AC294 Y232:AC232 D298:H298 K298:O298 R298:V298 Y298:AC298 I268 P260 AD258 AD260 AD266 Y268:AE268 I367:M367 Y367:AC367 D369:H369 K369:O369 R369:V369 Y369:AC369 J389 Z389 K391 AA391 L393 M387 N389 O391 AD389 AE391 I5 I91 I122 I155 I194 P64 P165 P167 P196:Q196 Y5 Y91 Y122 Y155 Y194 AA44 AA72 AD7 AD13 AD15 AD44 AD64 AD103 AD105 AD136 AD138 AD165 AD171 AD196">
    <cfRule type="colorScale" priority="44911">
      <colorScale>
        <cfvo type="num" val="1"/>
        <cfvo type="num" val="2"/>
        <cfvo type="num" val="3"/>
        <color rgb="FFF8696B"/>
        <color rgb="FFFFEB84"/>
        <color rgb="FF63BE7B"/>
      </colorScale>
    </cfRule>
    <cfRule type="colorScale" priority="44912">
      <colorScale>
        <cfvo type="num" val="1"/>
        <cfvo type="num" val="2"/>
        <cfvo type="num" val="3"/>
        <color rgb="FFF8696B"/>
        <color rgb="FFFFEB84"/>
        <color rgb="FF63BE7B"/>
      </colorScale>
    </cfRule>
    <cfRule type="colorScale" priority="44913">
      <colorScale>
        <cfvo type="num" val="1"/>
        <cfvo type="num" val="2"/>
        <cfvo type="num" val="3"/>
        <color rgb="FFF8696B"/>
        <color rgb="FFFFEB84"/>
        <color rgb="FF63BE7B"/>
      </colorScale>
    </cfRule>
    <cfRule type="colorScale" priority="44916">
      <colorScale>
        <cfvo type="num" val="1"/>
        <cfvo type="num" val="2"/>
        <cfvo type="num" val="3"/>
        <color rgb="FFF8696B"/>
        <color rgb="FFFFEB84"/>
        <color rgb="FF63BE7B"/>
      </colorScale>
    </cfRule>
    <cfRule type="colorScale" priority="44919">
      <colorScale>
        <cfvo type="num" val="1"/>
        <cfvo type="num" val="2"/>
        <cfvo type="num" val="3"/>
        <color rgb="FFF8696B"/>
        <color rgb="FFFFEB84"/>
        <color rgb="FF63BE7B"/>
      </colorScale>
    </cfRule>
    <cfRule type="colorScale" priority="44920">
      <colorScale>
        <cfvo type="num" val="1"/>
        <cfvo type="num" val="2"/>
        <cfvo type="num" val="3"/>
        <color rgb="FFF8696B"/>
        <color rgb="FFFFEB84"/>
        <color rgb="FF63BE7B"/>
      </colorScale>
    </cfRule>
    <cfRule type="colorScale" priority="45655">
      <colorScale>
        <cfvo type="num" val="1"/>
        <cfvo type="num" val="2"/>
        <cfvo type="num" val="3"/>
        <color rgb="FFF8696B"/>
        <color rgb="FFFFEB84"/>
        <color rgb="FF63BE7B"/>
      </colorScale>
    </cfRule>
    <cfRule type="colorScale" priority="45757">
      <colorScale>
        <cfvo type="num" val="1"/>
        <cfvo type="num" val="2"/>
        <cfvo type="num" val="3"/>
        <color rgb="FFF8696B"/>
        <color rgb="FFFFEB84"/>
        <color rgb="FF63BE7B"/>
      </colorScale>
    </cfRule>
    <cfRule type="colorScale" priority="45826">
      <colorScale>
        <cfvo type="num" val="1"/>
        <cfvo type="num" val="2"/>
        <cfvo type="num" val="3"/>
        <color rgb="FFF8696B"/>
        <color rgb="FFFFEB84"/>
        <color rgb="FF63BE7B"/>
      </colorScale>
    </cfRule>
  </conditionalFormatting>
  <conditionalFormatting sqref="I7">
    <cfRule type="cellIs" dxfId="2471" priority="40141" operator="equal">
      <formula>5</formula>
    </cfRule>
    <cfRule type="cellIs" dxfId="2470" priority="40142" operator="equal">
      <formula>4</formula>
    </cfRule>
    <cfRule type="cellIs" dxfId="2469" priority="40143" operator="equal">
      <formula>1</formula>
    </cfRule>
    <cfRule type="colorScale" priority="40146">
      <colorScale>
        <cfvo type="min" val="0"/>
        <cfvo type="percentile" val="50"/>
        <cfvo type="max" val="0"/>
        <color rgb="FFF8696B"/>
        <color rgb="FFFFEB84"/>
        <color rgb="FF63BE7B"/>
      </colorScale>
    </cfRule>
    <cfRule type="colorScale" priority="40147">
      <colorScale>
        <cfvo type="num" val="1"/>
        <cfvo type="num" val="2"/>
        <cfvo type="num" val="3"/>
        <color rgb="FFF8696B"/>
        <color rgb="FFFFEB84"/>
        <color rgb="FF63BE7B"/>
      </colorScale>
    </cfRule>
    <cfRule type="colorScale" priority="40148">
      <colorScale>
        <cfvo type="num" val="1"/>
        <cfvo type="num" val="2"/>
        <cfvo type="num" val="3"/>
        <color rgb="FFF8696B"/>
        <color rgb="FFFFEB84"/>
        <color rgb="FF63BE7B"/>
      </colorScale>
    </cfRule>
    <cfRule type="colorScale" priority="40149">
      <colorScale>
        <cfvo type="num" val="1"/>
        <cfvo type="num" val="2"/>
        <cfvo type="num" val="3"/>
        <color rgb="FFF8696B"/>
        <color rgb="FFFFEB84"/>
        <color rgb="FF63BE7B"/>
      </colorScale>
    </cfRule>
    <cfRule type="colorScale" priority="40150">
      <colorScale>
        <cfvo type="num" val="1"/>
        <cfvo type="num" val="2"/>
        <cfvo type="num" val="3"/>
        <color rgb="FFF8696B"/>
        <color rgb="FFFFEB84"/>
        <color rgb="FF63BE7B"/>
      </colorScale>
    </cfRule>
    <cfRule type="colorScale" priority="40151">
      <colorScale>
        <cfvo type="num" val="1"/>
        <cfvo type="num" val="2"/>
        <cfvo type="num" val="3"/>
        <color rgb="FFF8696B"/>
        <color rgb="FFFFEB84"/>
        <color rgb="FF63BE7B"/>
      </colorScale>
    </cfRule>
    <cfRule type="colorScale" priority="40152">
      <colorScale>
        <cfvo type="num" val="1"/>
        <cfvo type="num" val="2"/>
        <cfvo type="num" val="3"/>
        <color rgb="FFF8696B"/>
        <color rgb="FFFFEB84"/>
        <color rgb="FF63BE7B"/>
      </colorScale>
    </cfRule>
  </conditionalFormatting>
  <conditionalFormatting sqref="I9">
    <cfRule type="cellIs" dxfId="2468" priority="40133" operator="equal">
      <formula>5</formula>
    </cfRule>
    <cfRule type="cellIs" dxfId="2467" priority="40134" operator="equal">
      <formula>4</formula>
    </cfRule>
    <cfRule type="cellIs" dxfId="2466" priority="40135" operator="equal">
      <formula>1</formula>
    </cfRule>
    <cfRule type="colorScale" priority="40138">
      <colorScale>
        <cfvo type="min" val="0"/>
        <cfvo type="percentile" val="50"/>
        <cfvo type="max" val="0"/>
        <color rgb="FFF8696B"/>
        <color rgb="FFFFEB84"/>
        <color rgb="FF63BE7B"/>
      </colorScale>
    </cfRule>
    <cfRule type="colorScale" priority="40139">
      <colorScale>
        <cfvo type="num" val="1"/>
        <cfvo type="num" val="2"/>
        <cfvo type="num" val="3"/>
        <color rgb="FFF8696B"/>
        <color rgb="FFFFEB84"/>
        <color rgb="FF63BE7B"/>
      </colorScale>
    </cfRule>
    <cfRule type="colorScale" priority="40140">
      <colorScale>
        <cfvo type="num" val="1"/>
        <cfvo type="num" val="2"/>
        <cfvo type="num" val="3"/>
        <color rgb="FFF8696B"/>
        <color rgb="FFFFEB84"/>
        <color rgb="FF63BE7B"/>
      </colorScale>
    </cfRule>
  </conditionalFormatting>
  <conditionalFormatting sqref="I11">
    <cfRule type="cellIs" dxfId="2465" priority="40089" operator="equal">
      <formula>5</formula>
    </cfRule>
    <cfRule type="cellIs" dxfId="2464" priority="40090" operator="equal">
      <formula>4</formula>
    </cfRule>
    <cfRule type="cellIs" dxfId="2463" priority="40091" operator="equal">
      <formula>1</formula>
    </cfRule>
    <cfRule type="colorScale" priority="40094">
      <colorScale>
        <cfvo type="min" val="0"/>
        <cfvo type="percentile" val="50"/>
        <cfvo type="max" val="0"/>
        <color rgb="FFF8696B"/>
        <color rgb="FFFFEB84"/>
        <color rgb="FF63BE7B"/>
      </colorScale>
    </cfRule>
    <cfRule type="colorScale" priority="40095">
      <colorScale>
        <cfvo type="num" val="1"/>
        <cfvo type="num" val="2"/>
        <cfvo type="num" val="3"/>
        <color rgb="FFF8696B"/>
        <color rgb="FFFFEB84"/>
        <color rgb="FF63BE7B"/>
      </colorScale>
    </cfRule>
    <cfRule type="colorScale" priority="40096">
      <colorScale>
        <cfvo type="num" val="1"/>
        <cfvo type="num" val="2"/>
        <cfvo type="num" val="3"/>
        <color rgb="FFF8696B"/>
        <color rgb="FFFFEB84"/>
        <color rgb="FF63BE7B"/>
      </colorScale>
    </cfRule>
    <cfRule type="colorScale" priority="40097">
      <colorScale>
        <cfvo type="num" val="1"/>
        <cfvo type="num" val="2"/>
        <cfvo type="num" val="3"/>
        <color rgb="FFF8696B"/>
        <color rgb="FFFFEB84"/>
        <color rgb="FF63BE7B"/>
      </colorScale>
    </cfRule>
    <cfRule type="colorScale" priority="40098">
      <colorScale>
        <cfvo type="num" val="1"/>
        <cfvo type="num" val="2"/>
        <cfvo type="num" val="3"/>
        <color rgb="FFF8696B"/>
        <color rgb="FFFFEB84"/>
        <color rgb="FF63BE7B"/>
      </colorScale>
    </cfRule>
    <cfRule type="colorScale" priority="40099">
      <colorScale>
        <cfvo type="num" val="1"/>
        <cfvo type="num" val="2"/>
        <cfvo type="num" val="3"/>
        <color rgb="FFF8696B"/>
        <color rgb="FFFFEB84"/>
        <color rgb="FF63BE7B"/>
      </colorScale>
    </cfRule>
    <cfRule type="colorScale" priority="40100">
      <colorScale>
        <cfvo type="num" val="1"/>
        <cfvo type="num" val="2"/>
        <cfvo type="num" val="3"/>
        <color rgb="FFF8696B"/>
        <color rgb="FFFFEB84"/>
        <color rgb="FF63BE7B"/>
      </colorScale>
    </cfRule>
  </conditionalFormatting>
  <conditionalFormatting sqref="I15">
    <cfRule type="cellIs" dxfId="2462" priority="40073" operator="equal">
      <formula>5</formula>
    </cfRule>
    <cfRule type="cellIs" dxfId="2461" priority="40074" operator="equal">
      <formula>4</formula>
    </cfRule>
    <cfRule type="cellIs" dxfId="2460" priority="40075" operator="equal">
      <formula>1</formula>
    </cfRule>
    <cfRule type="cellIs" dxfId="2459" priority="40076" operator="equal">
      <formula>3</formula>
    </cfRule>
    <cfRule type="cellIs" dxfId="2458" priority="40077" operator="equal">
      <formula>2</formula>
    </cfRule>
    <cfRule type="colorScale" priority="40078">
      <colorScale>
        <cfvo type="min" val="0"/>
        <cfvo type="percentile" val="50"/>
        <cfvo type="max" val="0"/>
        <color rgb="FFF8696B"/>
        <color rgb="FFFFEB84"/>
        <color rgb="FF63BE7B"/>
      </colorScale>
    </cfRule>
    <cfRule type="colorScale" priority="40079">
      <colorScale>
        <cfvo type="num" val="1"/>
        <cfvo type="num" val="2"/>
        <cfvo type="num" val="3"/>
        <color rgb="FFF8696B"/>
        <color rgb="FFFFEB84"/>
        <color rgb="FF63BE7B"/>
      </colorScale>
    </cfRule>
    <cfRule type="colorScale" priority="40080">
      <colorScale>
        <cfvo type="num" val="1"/>
        <cfvo type="num" val="2"/>
        <cfvo type="num" val="3"/>
        <color rgb="FFF8696B"/>
        <color rgb="FFFFEB84"/>
        <color rgb="FF63BE7B"/>
      </colorScale>
    </cfRule>
  </conditionalFormatting>
  <conditionalFormatting sqref="I36">
    <cfRule type="cellIs" dxfId="2457" priority="36738" operator="equal">
      <formula>5</formula>
    </cfRule>
    <cfRule type="cellIs" dxfId="2456" priority="36739" operator="equal">
      <formula>4</formula>
    </cfRule>
    <cfRule type="cellIs" dxfId="2455" priority="36740" operator="equal">
      <formula>1</formula>
    </cfRule>
    <cfRule type="colorScale" priority="36743">
      <colorScale>
        <cfvo type="min" val="0"/>
        <cfvo type="percentile" val="50"/>
        <cfvo type="max" val="0"/>
        <color rgb="FFF8696B"/>
        <color rgb="FFFFEB84"/>
        <color rgb="FF63BE7B"/>
      </colorScale>
    </cfRule>
    <cfRule type="colorScale" priority="36744">
      <colorScale>
        <cfvo type="num" val="1"/>
        <cfvo type="num" val="2"/>
        <cfvo type="num" val="3"/>
        <color rgb="FFF8696B"/>
        <color rgb="FFFFEB84"/>
        <color rgb="FF63BE7B"/>
      </colorScale>
    </cfRule>
    <cfRule type="colorScale" priority="36745">
      <colorScale>
        <cfvo type="num" val="1"/>
        <cfvo type="num" val="2"/>
        <cfvo type="num" val="3"/>
        <color rgb="FFF8696B"/>
        <color rgb="FFFFEB84"/>
        <color rgb="FF63BE7B"/>
      </colorScale>
    </cfRule>
    <cfRule type="colorScale" priority="36746">
      <colorScale>
        <cfvo type="num" val="1"/>
        <cfvo type="num" val="2"/>
        <cfvo type="num" val="3"/>
        <color rgb="FFF8696B"/>
        <color rgb="FFFFEB84"/>
        <color rgb="FF63BE7B"/>
      </colorScale>
    </cfRule>
    <cfRule type="colorScale" priority="36747">
      <colorScale>
        <cfvo type="num" val="1"/>
        <cfvo type="num" val="2"/>
        <cfvo type="num" val="3"/>
        <color rgb="FFF8696B"/>
        <color rgb="FFFFEB84"/>
        <color rgb="FF63BE7B"/>
      </colorScale>
    </cfRule>
    <cfRule type="colorScale" priority="36748">
      <colorScale>
        <cfvo type="num" val="1"/>
        <cfvo type="num" val="2"/>
        <cfvo type="num" val="3"/>
        <color rgb="FFF8696B"/>
        <color rgb="FFFFEB84"/>
        <color rgb="FF63BE7B"/>
      </colorScale>
    </cfRule>
    <cfRule type="colorScale" priority="36749">
      <colorScale>
        <cfvo type="num" val="1"/>
        <cfvo type="num" val="2"/>
        <cfvo type="num" val="3"/>
        <color rgb="FFF8696B"/>
        <color rgb="FFFFEB84"/>
        <color rgb="FF63BE7B"/>
      </colorScale>
    </cfRule>
  </conditionalFormatting>
  <conditionalFormatting sqref="I38">
    <cfRule type="cellIs" dxfId="2454" priority="36730" operator="equal">
      <formula>5</formula>
    </cfRule>
    <cfRule type="cellIs" dxfId="2453" priority="36731" operator="equal">
      <formula>4</formula>
    </cfRule>
    <cfRule type="cellIs" dxfId="2452" priority="36732" operator="equal">
      <formula>1</formula>
    </cfRule>
    <cfRule type="colorScale" priority="36735">
      <colorScale>
        <cfvo type="min" val="0"/>
        <cfvo type="percentile" val="50"/>
        <cfvo type="max" val="0"/>
        <color rgb="FFF8696B"/>
        <color rgb="FFFFEB84"/>
        <color rgb="FF63BE7B"/>
      </colorScale>
    </cfRule>
    <cfRule type="colorScale" priority="36736">
      <colorScale>
        <cfvo type="num" val="1"/>
        <cfvo type="num" val="2"/>
        <cfvo type="num" val="3"/>
        <color rgb="FFF8696B"/>
        <color rgb="FFFFEB84"/>
        <color rgb="FF63BE7B"/>
      </colorScale>
    </cfRule>
    <cfRule type="colorScale" priority="36737">
      <colorScale>
        <cfvo type="num" val="1"/>
        <cfvo type="num" val="2"/>
        <cfvo type="num" val="3"/>
        <color rgb="FFF8696B"/>
        <color rgb="FFFFEB84"/>
        <color rgb="FF63BE7B"/>
      </colorScale>
    </cfRule>
  </conditionalFormatting>
  <conditionalFormatting sqref="I40">
    <cfRule type="cellIs" dxfId="2451" priority="36706" operator="equal">
      <formula>5</formula>
    </cfRule>
    <cfRule type="cellIs" dxfId="2450" priority="36707" operator="equal">
      <formula>4</formula>
    </cfRule>
    <cfRule type="cellIs" dxfId="2449" priority="36708" operator="equal">
      <formula>1</formula>
    </cfRule>
    <cfRule type="colorScale" priority="36711">
      <colorScale>
        <cfvo type="min" val="0"/>
        <cfvo type="percentile" val="50"/>
        <cfvo type="max" val="0"/>
        <color rgb="FFF8696B"/>
        <color rgb="FFFFEB84"/>
        <color rgb="FF63BE7B"/>
      </colorScale>
    </cfRule>
    <cfRule type="colorScale" priority="36712">
      <colorScale>
        <cfvo type="num" val="1"/>
        <cfvo type="num" val="2"/>
        <cfvo type="num" val="3"/>
        <color rgb="FFF8696B"/>
        <color rgb="FFFFEB84"/>
        <color rgb="FF63BE7B"/>
      </colorScale>
    </cfRule>
    <cfRule type="colorScale" priority="36713">
      <colorScale>
        <cfvo type="num" val="1"/>
        <cfvo type="num" val="2"/>
        <cfvo type="num" val="3"/>
        <color rgb="FFF8696B"/>
        <color rgb="FFFFEB84"/>
        <color rgb="FF63BE7B"/>
      </colorScale>
    </cfRule>
    <cfRule type="colorScale" priority="36714">
      <colorScale>
        <cfvo type="num" val="1"/>
        <cfvo type="num" val="2"/>
        <cfvo type="num" val="3"/>
        <color rgb="FFF8696B"/>
        <color rgb="FFFFEB84"/>
        <color rgb="FF63BE7B"/>
      </colorScale>
    </cfRule>
    <cfRule type="colorScale" priority="36715">
      <colorScale>
        <cfvo type="num" val="1"/>
        <cfvo type="num" val="2"/>
        <cfvo type="num" val="3"/>
        <color rgb="FFF8696B"/>
        <color rgb="FFFFEB84"/>
        <color rgb="FF63BE7B"/>
      </colorScale>
    </cfRule>
    <cfRule type="colorScale" priority="36716">
      <colorScale>
        <cfvo type="num" val="1"/>
        <cfvo type="num" val="2"/>
        <cfvo type="num" val="3"/>
        <color rgb="FFF8696B"/>
        <color rgb="FFFFEB84"/>
        <color rgb="FF63BE7B"/>
      </colorScale>
    </cfRule>
    <cfRule type="colorScale" priority="36717">
      <colorScale>
        <cfvo type="num" val="1"/>
        <cfvo type="num" val="2"/>
        <cfvo type="num" val="3"/>
        <color rgb="FFF8696B"/>
        <color rgb="FFFFEB84"/>
        <color rgb="FF63BE7B"/>
      </colorScale>
    </cfRule>
  </conditionalFormatting>
  <conditionalFormatting sqref="I44">
    <cfRule type="cellIs" dxfId="2448" priority="36690" operator="equal">
      <formula>5</formula>
    </cfRule>
    <cfRule type="cellIs" dxfId="2447" priority="36691" operator="equal">
      <formula>4</formula>
    </cfRule>
    <cfRule type="cellIs" dxfId="2446" priority="36692" operator="equal">
      <formula>1</formula>
    </cfRule>
    <cfRule type="colorScale" priority="36695">
      <colorScale>
        <cfvo type="min" val="0"/>
        <cfvo type="percentile" val="50"/>
        <cfvo type="max" val="0"/>
        <color rgb="FFF8696B"/>
        <color rgb="FFFFEB84"/>
        <color rgb="FF63BE7B"/>
      </colorScale>
    </cfRule>
    <cfRule type="colorScale" priority="36696">
      <colorScale>
        <cfvo type="num" val="1"/>
        <cfvo type="num" val="2"/>
        <cfvo type="num" val="3"/>
        <color rgb="FFF8696B"/>
        <color rgb="FFFFEB84"/>
        <color rgb="FF63BE7B"/>
      </colorScale>
    </cfRule>
    <cfRule type="colorScale" priority="36697">
      <colorScale>
        <cfvo type="num" val="1"/>
        <cfvo type="num" val="2"/>
        <cfvo type="num" val="3"/>
        <color rgb="FFF8696B"/>
        <color rgb="FFFFEB84"/>
        <color rgb="FF63BE7B"/>
      </colorScale>
    </cfRule>
  </conditionalFormatting>
  <conditionalFormatting sqref="I64">
    <cfRule type="cellIs" dxfId="2445" priority="35665" operator="equal">
      <formula>5</formula>
    </cfRule>
    <cfRule type="cellIs" dxfId="2444" priority="35666" operator="equal">
      <formula>4</formula>
    </cfRule>
    <cfRule type="cellIs" dxfId="2443" priority="35667" operator="equal">
      <formula>1</formula>
    </cfRule>
    <cfRule type="colorScale" priority="35670">
      <colorScale>
        <cfvo type="min" val="0"/>
        <cfvo type="percentile" val="50"/>
        <cfvo type="max" val="0"/>
        <color rgb="FFF8696B"/>
        <color rgb="FFFFEB84"/>
        <color rgb="FF63BE7B"/>
      </colorScale>
    </cfRule>
    <cfRule type="colorScale" priority="35671">
      <colorScale>
        <cfvo type="num" val="1"/>
        <cfvo type="num" val="2"/>
        <cfvo type="num" val="3"/>
        <color rgb="FFF8696B"/>
        <color rgb="FFFFEB84"/>
        <color rgb="FF63BE7B"/>
      </colorScale>
    </cfRule>
    <cfRule type="colorScale" priority="35672">
      <colorScale>
        <cfvo type="num" val="1"/>
        <cfvo type="num" val="2"/>
        <cfvo type="num" val="3"/>
        <color rgb="FFF8696B"/>
        <color rgb="FFFFEB84"/>
        <color rgb="FF63BE7B"/>
      </colorScale>
    </cfRule>
    <cfRule type="colorScale" priority="35673">
      <colorScale>
        <cfvo type="num" val="1"/>
        <cfvo type="num" val="2"/>
        <cfvo type="num" val="3"/>
        <color rgb="FFF8696B"/>
        <color rgb="FFFFEB84"/>
        <color rgb="FF63BE7B"/>
      </colorScale>
    </cfRule>
    <cfRule type="colorScale" priority="35674">
      <colorScale>
        <cfvo type="num" val="1"/>
        <cfvo type="num" val="2"/>
        <cfvo type="num" val="3"/>
        <color rgb="FFF8696B"/>
        <color rgb="FFFFEB84"/>
        <color rgb="FF63BE7B"/>
      </colorScale>
    </cfRule>
    <cfRule type="colorScale" priority="35675">
      <colorScale>
        <cfvo type="num" val="1"/>
        <cfvo type="num" val="2"/>
        <cfvo type="num" val="3"/>
        <color rgb="FFF8696B"/>
        <color rgb="FFFFEB84"/>
        <color rgb="FF63BE7B"/>
      </colorScale>
    </cfRule>
    <cfRule type="colorScale" priority="35676">
      <colorScale>
        <cfvo type="num" val="1"/>
        <cfvo type="num" val="2"/>
        <cfvo type="num" val="3"/>
        <color rgb="FFF8696B"/>
        <color rgb="FFFFEB84"/>
        <color rgb="FF63BE7B"/>
      </colorScale>
    </cfRule>
  </conditionalFormatting>
  <conditionalFormatting sqref="I66">
    <cfRule type="cellIs" dxfId="2442" priority="35657" operator="equal">
      <formula>5</formula>
    </cfRule>
    <cfRule type="cellIs" dxfId="2441" priority="35658" operator="equal">
      <formula>4</formula>
    </cfRule>
    <cfRule type="cellIs" dxfId="2440" priority="35659" operator="equal">
      <formula>1</formula>
    </cfRule>
    <cfRule type="colorScale" priority="35662">
      <colorScale>
        <cfvo type="min" val="0"/>
        <cfvo type="percentile" val="50"/>
        <cfvo type="max" val="0"/>
        <color rgb="FFF8696B"/>
        <color rgb="FFFFEB84"/>
        <color rgb="FF63BE7B"/>
      </colorScale>
    </cfRule>
    <cfRule type="colorScale" priority="35663">
      <colorScale>
        <cfvo type="num" val="1"/>
        <cfvo type="num" val="2"/>
        <cfvo type="num" val="3"/>
        <color rgb="FFF8696B"/>
        <color rgb="FFFFEB84"/>
        <color rgb="FF63BE7B"/>
      </colorScale>
    </cfRule>
    <cfRule type="colorScale" priority="35664">
      <colorScale>
        <cfvo type="num" val="1"/>
        <cfvo type="num" val="2"/>
        <cfvo type="num" val="3"/>
        <color rgb="FFF8696B"/>
        <color rgb="FFFFEB84"/>
        <color rgb="FF63BE7B"/>
      </colorScale>
    </cfRule>
  </conditionalFormatting>
  <conditionalFormatting sqref="I68">
    <cfRule type="cellIs" dxfId="2439" priority="35633" operator="equal">
      <formula>5</formula>
    </cfRule>
    <cfRule type="cellIs" dxfId="2438" priority="35634" operator="equal">
      <formula>4</formula>
    </cfRule>
    <cfRule type="cellIs" dxfId="2437" priority="35635" operator="equal">
      <formula>1</formula>
    </cfRule>
    <cfRule type="colorScale" priority="35638">
      <colorScale>
        <cfvo type="min" val="0"/>
        <cfvo type="percentile" val="50"/>
        <cfvo type="max" val="0"/>
        <color rgb="FFF8696B"/>
        <color rgb="FFFFEB84"/>
        <color rgb="FF63BE7B"/>
      </colorScale>
    </cfRule>
    <cfRule type="colorScale" priority="35639">
      <colorScale>
        <cfvo type="num" val="1"/>
        <cfvo type="num" val="2"/>
        <cfvo type="num" val="3"/>
        <color rgb="FFF8696B"/>
        <color rgb="FFFFEB84"/>
        <color rgb="FF63BE7B"/>
      </colorScale>
    </cfRule>
    <cfRule type="colorScale" priority="35640">
      <colorScale>
        <cfvo type="num" val="1"/>
        <cfvo type="num" val="2"/>
        <cfvo type="num" val="3"/>
        <color rgb="FFF8696B"/>
        <color rgb="FFFFEB84"/>
        <color rgb="FF63BE7B"/>
      </colorScale>
    </cfRule>
    <cfRule type="colorScale" priority="35641">
      <colorScale>
        <cfvo type="num" val="1"/>
        <cfvo type="num" val="2"/>
        <cfvo type="num" val="3"/>
        <color rgb="FFF8696B"/>
        <color rgb="FFFFEB84"/>
        <color rgb="FF63BE7B"/>
      </colorScale>
    </cfRule>
    <cfRule type="colorScale" priority="35642">
      <colorScale>
        <cfvo type="num" val="1"/>
        <cfvo type="num" val="2"/>
        <cfvo type="num" val="3"/>
        <color rgb="FFF8696B"/>
        <color rgb="FFFFEB84"/>
        <color rgb="FF63BE7B"/>
      </colorScale>
    </cfRule>
    <cfRule type="colorScale" priority="35643">
      <colorScale>
        <cfvo type="num" val="1"/>
        <cfvo type="num" val="2"/>
        <cfvo type="num" val="3"/>
        <color rgb="FFF8696B"/>
        <color rgb="FFFFEB84"/>
        <color rgb="FF63BE7B"/>
      </colorScale>
    </cfRule>
    <cfRule type="colorScale" priority="35644">
      <colorScale>
        <cfvo type="num" val="1"/>
        <cfvo type="num" val="2"/>
        <cfvo type="num" val="3"/>
        <color rgb="FFF8696B"/>
        <color rgb="FFFFEB84"/>
        <color rgb="FF63BE7B"/>
      </colorScale>
    </cfRule>
  </conditionalFormatting>
  <conditionalFormatting sqref="I72">
    <cfRule type="cellIs" dxfId="2436" priority="35617" operator="equal">
      <formula>5</formula>
    </cfRule>
    <cfRule type="cellIs" dxfId="2435" priority="35618" operator="equal">
      <formula>4</formula>
    </cfRule>
    <cfRule type="cellIs" dxfId="2434" priority="35619" operator="equal">
      <formula>1</formula>
    </cfRule>
    <cfRule type="colorScale" priority="35622">
      <colorScale>
        <cfvo type="min" val="0"/>
        <cfvo type="percentile" val="50"/>
        <cfvo type="max" val="0"/>
        <color rgb="FFF8696B"/>
        <color rgb="FFFFEB84"/>
        <color rgb="FF63BE7B"/>
      </colorScale>
    </cfRule>
    <cfRule type="colorScale" priority="35623">
      <colorScale>
        <cfvo type="num" val="1"/>
        <cfvo type="num" val="2"/>
        <cfvo type="num" val="3"/>
        <color rgb="FFF8696B"/>
        <color rgb="FFFFEB84"/>
        <color rgb="FF63BE7B"/>
      </colorScale>
    </cfRule>
    <cfRule type="colorScale" priority="35624">
      <colorScale>
        <cfvo type="num" val="1"/>
        <cfvo type="num" val="2"/>
        <cfvo type="num" val="3"/>
        <color rgb="FFF8696B"/>
        <color rgb="FFFFEB84"/>
        <color rgb="FF63BE7B"/>
      </colorScale>
    </cfRule>
  </conditionalFormatting>
  <conditionalFormatting sqref="I99">
    <cfRule type="cellIs" dxfId="2433" priority="37687" operator="equal">
      <formula>5</formula>
    </cfRule>
    <cfRule type="cellIs" dxfId="2432" priority="37688" operator="equal">
      <formula>4</formula>
    </cfRule>
    <cfRule type="cellIs" dxfId="2431" priority="37689" operator="equal">
      <formula>1</formula>
    </cfRule>
    <cfRule type="colorScale" priority="37692">
      <colorScale>
        <cfvo type="min" val="0"/>
        <cfvo type="percentile" val="50"/>
        <cfvo type="max" val="0"/>
        <color rgb="FFF8696B"/>
        <color rgb="FFFFEB84"/>
        <color rgb="FF63BE7B"/>
      </colorScale>
    </cfRule>
    <cfRule type="colorScale" priority="37693">
      <colorScale>
        <cfvo type="num" val="1"/>
        <cfvo type="num" val="2"/>
        <cfvo type="num" val="3"/>
        <color rgb="FFF8696B"/>
        <color rgb="FFFFEB84"/>
        <color rgb="FF63BE7B"/>
      </colorScale>
    </cfRule>
    <cfRule type="colorScale" priority="37694">
      <colorScale>
        <cfvo type="num" val="1"/>
        <cfvo type="num" val="2"/>
        <cfvo type="num" val="3"/>
        <color rgb="FFF8696B"/>
        <color rgb="FFFFEB84"/>
        <color rgb="FF63BE7B"/>
      </colorScale>
    </cfRule>
  </conditionalFormatting>
  <conditionalFormatting sqref="I101">
    <cfRule type="cellIs" dxfId="2430" priority="37410" operator="equal">
      <formula>5</formula>
    </cfRule>
    <cfRule type="cellIs" dxfId="2429" priority="37411" operator="equal">
      <formula>4</formula>
    </cfRule>
    <cfRule type="cellIs" dxfId="2428" priority="37412" operator="equal">
      <formula>1</formula>
    </cfRule>
    <cfRule type="cellIs" dxfId="2427" priority="37413" operator="equal">
      <formula>3</formula>
    </cfRule>
    <cfRule type="cellIs" dxfId="2426" priority="37414" operator="equal">
      <formula>2</formula>
    </cfRule>
    <cfRule type="colorScale" priority="37415">
      <colorScale>
        <cfvo type="min" val="0"/>
        <cfvo type="percentile" val="50"/>
        <cfvo type="max" val="0"/>
        <color rgb="FFF8696B"/>
        <color rgb="FFFFEB84"/>
        <color rgb="FF63BE7B"/>
      </colorScale>
    </cfRule>
    <cfRule type="colorScale" priority="37416">
      <colorScale>
        <cfvo type="num" val="1"/>
        <cfvo type="num" val="2"/>
        <cfvo type="num" val="3"/>
        <color rgb="FFF8696B"/>
        <color rgb="FFFFEB84"/>
        <color rgb="FF63BE7B"/>
      </colorScale>
    </cfRule>
    <cfRule type="colorScale" priority="37417">
      <colorScale>
        <cfvo type="num" val="1"/>
        <cfvo type="num" val="2"/>
        <cfvo type="num" val="3"/>
        <color rgb="FFF8696B"/>
        <color rgb="FFFFEB84"/>
        <color rgb="FF63BE7B"/>
      </colorScale>
    </cfRule>
  </conditionalFormatting>
  <conditionalFormatting sqref="I132">
    <cfRule type="cellIs" dxfId="2425" priority="26277" operator="equal">
      <formula>5</formula>
    </cfRule>
    <cfRule type="cellIs" dxfId="2424" priority="26278" operator="equal">
      <formula>4</formula>
    </cfRule>
    <cfRule type="cellIs" dxfId="2423" priority="26279" operator="equal">
      <formula>1</formula>
    </cfRule>
    <cfRule type="colorScale" priority="26282">
      <colorScale>
        <cfvo type="min" val="0"/>
        <cfvo type="percentile" val="50"/>
        <cfvo type="max" val="0"/>
        <color rgb="FFF8696B"/>
        <color rgb="FFFFEB84"/>
        <color rgb="FF63BE7B"/>
      </colorScale>
    </cfRule>
    <cfRule type="colorScale" priority="26283">
      <colorScale>
        <cfvo type="num" val="1"/>
        <cfvo type="num" val="2"/>
        <cfvo type="num" val="3"/>
        <color rgb="FFF8696B"/>
        <color rgb="FFFFEB84"/>
        <color rgb="FF63BE7B"/>
      </colorScale>
    </cfRule>
    <cfRule type="colorScale" priority="26284">
      <colorScale>
        <cfvo type="num" val="1"/>
        <cfvo type="num" val="2"/>
        <cfvo type="num" val="3"/>
        <color rgb="FFF8696B"/>
        <color rgb="FFFFEB84"/>
        <color rgb="FF63BE7B"/>
      </colorScale>
    </cfRule>
  </conditionalFormatting>
  <conditionalFormatting sqref="I134">
    <cfRule type="cellIs" dxfId="2422" priority="26173" operator="equal">
      <formula>5</formula>
    </cfRule>
    <cfRule type="cellIs" dxfId="2421" priority="26174" operator="equal">
      <formula>4</formula>
    </cfRule>
    <cfRule type="cellIs" dxfId="2420" priority="26175" operator="equal">
      <formula>1</formula>
    </cfRule>
    <cfRule type="cellIs" dxfId="2419" priority="26176" operator="equal">
      <formula>3</formula>
    </cfRule>
    <cfRule type="cellIs" dxfId="2418" priority="26177" operator="equal">
      <formula>2</formula>
    </cfRule>
    <cfRule type="colorScale" priority="26178">
      <colorScale>
        <cfvo type="min" val="0"/>
        <cfvo type="percentile" val="50"/>
        <cfvo type="max" val="0"/>
        <color rgb="FFF8696B"/>
        <color rgb="FFFFEB84"/>
        <color rgb="FF63BE7B"/>
      </colorScale>
    </cfRule>
    <cfRule type="colorScale" priority="26179">
      <colorScale>
        <cfvo type="num" val="1"/>
        <cfvo type="num" val="2"/>
        <cfvo type="num" val="3"/>
        <color rgb="FFF8696B"/>
        <color rgb="FFFFEB84"/>
        <color rgb="FF63BE7B"/>
      </colorScale>
    </cfRule>
    <cfRule type="colorScale" priority="26180">
      <colorScale>
        <cfvo type="num" val="1"/>
        <cfvo type="num" val="2"/>
        <cfvo type="num" val="3"/>
        <color rgb="FFF8696B"/>
        <color rgb="FFFFEB84"/>
        <color rgb="FF63BE7B"/>
      </colorScale>
    </cfRule>
  </conditionalFormatting>
  <conditionalFormatting sqref="I167">
    <cfRule type="cellIs" dxfId="2417" priority="25196" operator="equal">
      <formula>5</formula>
    </cfRule>
    <cfRule type="cellIs" dxfId="2416" priority="25197" operator="equal">
      <formula>4</formula>
    </cfRule>
    <cfRule type="cellIs" dxfId="2415" priority="25198" operator="equal">
      <formula>1</formula>
    </cfRule>
    <cfRule type="colorScale" priority="25201">
      <colorScale>
        <cfvo type="min" val="0"/>
        <cfvo type="percentile" val="50"/>
        <cfvo type="max" val="0"/>
        <color rgb="FFF8696B"/>
        <color rgb="FFFFEB84"/>
        <color rgb="FF63BE7B"/>
      </colorScale>
    </cfRule>
    <cfRule type="colorScale" priority="25202">
      <colorScale>
        <cfvo type="num" val="1"/>
        <cfvo type="num" val="2"/>
        <cfvo type="num" val="3"/>
        <color rgb="FFF8696B"/>
        <color rgb="FFFFEB84"/>
        <color rgb="FF63BE7B"/>
      </colorScale>
    </cfRule>
    <cfRule type="colorScale" priority="25203">
      <colorScale>
        <cfvo type="num" val="1"/>
        <cfvo type="num" val="2"/>
        <cfvo type="num" val="3"/>
        <color rgb="FFF8696B"/>
        <color rgb="FFFFEB84"/>
        <color rgb="FF63BE7B"/>
      </colorScale>
    </cfRule>
  </conditionalFormatting>
  <conditionalFormatting sqref="I169">
    <cfRule type="cellIs" dxfId="2414" priority="25092" operator="equal">
      <formula>5</formula>
    </cfRule>
    <cfRule type="cellIs" dxfId="2413" priority="25093" operator="equal">
      <formula>4</formula>
    </cfRule>
    <cfRule type="cellIs" dxfId="2412" priority="25094" operator="equal">
      <formula>1</formula>
    </cfRule>
    <cfRule type="cellIs" dxfId="2411" priority="25095" operator="equal">
      <formula>3</formula>
    </cfRule>
    <cfRule type="cellIs" dxfId="2410" priority="25096" operator="equal">
      <formula>2</formula>
    </cfRule>
    <cfRule type="colorScale" priority="25097">
      <colorScale>
        <cfvo type="min" val="0"/>
        <cfvo type="percentile" val="50"/>
        <cfvo type="max" val="0"/>
        <color rgb="FFF8696B"/>
        <color rgb="FFFFEB84"/>
        <color rgb="FF63BE7B"/>
      </colorScale>
    </cfRule>
    <cfRule type="colorScale" priority="25098">
      <colorScale>
        <cfvo type="num" val="1"/>
        <cfvo type="num" val="2"/>
        <cfvo type="num" val="3"/>
        <color rgb="FFF8696B"/>
        <color rgb="FFFFEB84"/>
        <color rgb="FF63BE7B"/>
      </colorScale>
    </cfRule>
    <cfRule type="colorScale" priority="25099">
      <colorScale>
        <cfvo type="num" val="1"/>
        <cfvo type="num" val="2"/>
        <cfvo type="num" val="3"/>
        <color rgb="FFF8696B"/>
        <color rgb="FFFFEB84"/>
        <color rgb="FF63BE7B"/>
      </colorScale>
    </cfRule>
  </conditionalFormatting>
  <conditionalFormatting sqref="I222">
    <cfRule type="cellIs" dxfId="2409" priority="16652" operator="equal">
      <formula>5</formula>
    </cfRule>
    <cfRule type="cellIs" dxfId="2408" priority="16653" operator="equal">
      <formula>4</formula>
    </cfRule>
    <cfRule type="cellIs" dxfId="2407" priority="16654" operator="equal">
      <formula>1</formula>
    </cfRule>
    <cfRule type="cellIs" dxfId="2406" priority="16655" operator="equal">
      <formula>3</formula>
    </cfRule>
    <cfRule type="cellIs" dxfId="2405" priority="16656" operator="equal">
      <formula>2</formula>
    </cfRule>
    <cfRule type="colorScale" priority="16657">
      <colorScale>
        <cfvo type="min" val="0"/>
        <cfvo type="percentile" val="50"/>
        <cfvo type="max" val="0"/>
        <color rgb="FFF8696B"/>
        <color rgb="FFFFEB84"/>
        <color rgb="FF63BE7B"/>
      </colorScale>
    </cfRule>
    <cfRule type="colorScale" priority="16658">
      <colorScale>
        <cfvo type="num" val="1"/>
        <cfvo type="num" val="2"/>
        <cfvo type="num" val="3"/>
        <color rgb="FFF8696B"/>
        <color rgb="FFFFEB84"/>
        <color rgb="FF63BE7B"/>
      </colorScale>
    </cfRule>
    <cfRule type="colorScale" priority="16659">
      <colorScale>
        <cfvo type="num" val="1"/>
        <cfvo type="num" val="2"/>
        <cfvo type="num" val="3"/>
        <color rgb="FFF8696B"/>
        <color rgb="FFFFEB84"/>
        <color rgb="FF63BE7B"/>
      </colorScale>
    </cfRule>
    <cfRule type="colorScale" priority="16660">
      <colorScale>
        <cfvo type="num" val="1"/>
        <cfvo type="num" val="2"/>
        <cfvo type="num" val="3"/>
        <color rgb="FFF8696B"/>
        <color rgb="FFFFEB84"/>
        <color rgb="FF63BE7B"/>
      </colorScale>
    </cfRule>
    <cfRule type="colorScale" priority="16661">
      <colorScale>
        <cfvo type="num" val="1"/>
        <cfvo type="num" val="2"/>
        <cfvo type="num" val="3"/>
        <color rgb="FFF8696B"/>
        <color rgb="FFFFEB84"/>
        <color rgb="FF63BE7B"/>
      </colorScale>
    </cfRule>
    <cfRule type="colorScale" priority="16662">
      <colorScale>
        <cfvo type="num" val="1"/>
        <cfvo type="num" val="2"/>
        <cfvo type="num" val="3"/>
        <color rgb="FFF8696B"/>
        <color rgb="FFFFEB84"/>
        <color rgb="FF63BE7B"/>
      </colorScale>
    </cfRule>
    <cfRule type="colorScale" priority="16663">
      <colorScale>
        <cfvo type="num" val="1"/>
        <cfvo type="num" val="2"/>
        <cfvo type="num" val="3"/>
        <color rgb="FFF8696B"/>
        <color rgb="FFFFEB84"/>
        <color rgb="FF63BE7B"/>
      </colorScale>
    </cfRule>
  </conditionalFormatting>
  <conditionalFormatting sqref="I224">
    <cfRule type="cellIs" dxfId="2404" priority="16013" operator="equal">
      <formula>5</formula>
    </cfRule>
    <cfRule type="cellIs" dxfId="2403" priority="16014" operator="equal">
      <formula>4</formula>
    </cfRule>
    <cfRule type="cellIs" dxfId="2402" priority="16015" operator="equal">
      <formula>1</formula>
    </cfRule>
    <cfRule type="cellIs" dxfId="2401" priority="16016" operator="equal">
      <formula>3</formula>
    </cfRule>
    <cfRule type="cellIs" dxfId="2400" priority="16017" operator="equal">
      <formula>2</formula>
    </cfRule>
    <cfRule type="colorScale" priority="16018">
      <colorScale>
        <cfvo type="min" val="0"/>
        <cfvo type="percentile" val="50"/>
        <cfvo type="max" val="0"/>
        <color rgb="FFF8696B"/>
        <color rgb="FFFFEB84"/>
        <color rgb="FF63BE7B"/>
      </colorScale>
    </cfRule>
    <cfRule type="colorScale" priority="16019">
      <colorScale>
        <cfvo type="num" val="1"/>
        <cfvo type="num" val="2"/>
        <cfvo type="num" val="3"/>
        <color rgb="FFF8696B"/>
        <color rgb="FFFFEB84"/>
        <color rgb="FF63BE7B"/>
      </colorScale>
    </cfRule>
    <cfRule type="colorScale" priority="16020">
      <colorScale>
        <cfvo type="num" val="1"/>
        <cfvo type="num" val="2"/>
        <cfvo type="num" val="3"/>
        <color rgb="FFF8696B"/>
        <color rgb="FFFFEB84"/>
        <color rgb="FF63BE7B"/>
      </colorScale>
    </cfRule>
  </conditionalFormatting>
  <conditionalFormatting sqref="I226">
    <cfRule type="cellIs" dxfId="2399" priority="16287" operator="equal">
      <formula>5</formula>
    </cfRule>
    <cfRule type="cellIs" dxfId="2398" priority="16288" operator="equal">
      <formula>4</formula>
    </cfRule>
    <cfRule type="cellIs" dxfId="2397" priority="16289" operator="equal">
      <formula>1</formula>
    </cfRule>
    <cfRule type="cellIs" dxfId="2396" priority="16290" operator="equal">
      <formula>3</formula>
    </cfRule>
    <cfRule type="colorScale" priority="16292">
      <colorScale>
        <cfvo type="min" val="0"/>
        <cfvo type="percentile" val="50"/>
        <cfvo type="max" val="0"/>
        <color rgb="FFF8696B"/>
        <color rgb="FFFFEB84"/>
        <color rgb="FF63BE7B"/>
      </colorScale>
    </cfRule>
    <cfRule type="colorScale" priority="16293">
      <colorScale>
        <cfvo type="num" val="1"/>
        <cfvo type="num" val="2"/>
        <cfvo type="num" val="3"/>
        <color rgb="FFF8696B"/>
        <color rgb="FFFFEB84"/>
        <color rgb="FF63BE7B"/>
      </colorScale>
    </cfRule>
    <cfRule type="colorScale" priority="16294">
      <colorScale>
        <cfvo type="num" val="1"/>
        <cfvo type="num" val="2"/>
        <cfvo type="num" val="3"/>
        <color rgb="FFF8696B"/>
        <color rgb="FFFFEB84"/>
        <color rgb="FF63BE7B"/>
      </colorScale>
    </cfRule>
  </conditionalFormatting>
  <conditionalFormatting sqref="I228">
    <cfRule type="cellIs" dxfId="2395" priority="16161" operator="equal">
      <formula>5</formula>
    </cfRule>
    <cfRule type="cellIs" dxfId="2394" priority="16162" operator="equal">
      <formula>4</formula>
    </cfRule>
    <cfRule type="cellIs" dxfId="2393" priority="16163" operator="equal">
      <formula>1</formula>
    </cfRule>
    <cfRule type="cellIs" dxfId="2392" priority="16164" operator="equal">
      <formula>3</formula>
    </cfRule>
    <cfRule type="colorScale" priority="16166">
      <colorScale>
        <cfvo type="min" val="0"/>
        <cfvo type="percentile" val="50"/>
        <cfvo type="max" val="0"/>
        <color rgb="FFF8696B"/>
        <color rgb="FFFFEB84"/>
        <color rgb="FF63BE7B"/>
      </colorScale>
    </cfRule>
    <cfRule type="colorScale" priority="16167">
      <colorScale>
        <cfvo type="num" val="1"/>
        <cfvo type="num" val="2"/>
        <cfvo type="num" val="3"/>
        <color rgb="FFF8696B"/>
        <color rgb="FFFFEB84"/>
        <color rgb="FF63BE7B"/>
      </colorScale>
    </cfRule>
    <cfRule type="colorScale" priority="16168">
      <colorScale>
        <cfvo type="num" val="1"/>
        <cfvo type="num" val="2"/>
        <cfvo type="num" val="3"/>
        <color rgb="FFF8696B"/>
        <color rgb="FFFFEB84"/>
        <color rgb="FF63BE7B"/>
      </colorScale>
    </cfRule>
  </conditionalFormatting>
  <conditionalFormatting sqref="I304">
    <cfRule type="cellIs" dxfId="2391" priority="20289" operator="equal">
      <formula>5</formula>
    </cfRule>
    <cfRule type="cellIs" dxfId="2390" priority="20290" operator="equal">
      <formula>4</formula>
    </cfRule>
    <cfRule type="cellIs" dxfId="2389" priority="20291" operator="equal">
      <formula>1</formula>
    </cfRule>
    <cfRule type="cellIs" dxfId="2388" priority="20292" operator="equal">
      <formula>3</formula>
    </cfRule>
    <cfRule type="colorScale" priority="20294">
      <colorScale>
        <cfvo type="min" val="0"/>
        <cfvo type="percentile" val="50"/>
        <cfvo type="max" val="0"/>
        <color rgb="FFF8696B"/>
        <color rgb="FFFFEB84"/>
        <color rgb="FF63BE7B"/>
      </colorScale>
    </cfRule>
    <cfRule type="colorScale" priority="20295">
      <colorScale>
        <cfvo type="num" val="1"/>
        <cfvo type="num" val="2"/>
        <cfvo type="num" val="3"/>
        <color rgb="FFF8696B"/>
        <color rgb="FFFFEB84"/>
        <color rgb="FF63BE7B"/>
      </colorScale>
    </cfRule>
    <cfRule type="colorScale" priority="20296">
      <colorScale>
        <cfvo type="num" val="1"/>
        <cfvo type="num" val="2"/>
        <cfvo type="num" val="3"/>
        <color rgb="FFF8696B"/>
        <color rgb="FFFFEB84"/>
        <color rgb="FF63BE7B"/>
      </colorScale>
    </cfRule>
  </conditionalFormatting>
  <conditionalFormatting sqref="I306">
    <cfRule type="cellIs" dxfId="2387" priority="20065" operator="equal">
      <formula>5</formula>
    </cfRule>
    <cfRule type="cellIs" dxfId="2386" priority="20066" operator="equal">
      <formula>4</formula>
    </cfRule>
    <cfRule type="cellIs" dxfId="2385" priority="20067" operator="equal">
      <formula>1</formula>
    </cfRule>
    <cfRule type="cellIs" dxfId="2384" priority="20068" operator="equal">
      <formula>3</formula>
    </cfRule>
    <cfRule type="colorScale" priority="20070">
      <colorScale>
        <cfvo type="min" val="0"/>
        <cfvo type="percentile" val="50"/>
        <cfvo type="max" val="0"/>
        <color rgb="FFF8696B"/>
        <color rgb="FFFFEB84"/>
        <color rgb="FF63BE7B"/>
      </colorScale>
    </cfRule>
    <cfRule type="colorScale" priority="20071">
      <colorScale>
        <cfvo type="num" val="1"/>
        <cfvo type="num" val="2"/>
        <cfvo type="num" val="3"/>
        <color rgb="FFF8696B"/>
        <color rgb="FFFFEB84"/>
        <color rgb="FF63BE7B"/>
      </colorScale>
    </cfRule>
    <cfRule type="colorScale" priority="20072">
      <colorScale>
        <cfvo type="num" val="1"/>
        <cfvo type="num" val="2"/>
        <cfvo type="num" val="3"/>
        <color rgb="FFF8696B"/>
        <color rgb="FFFFEB84"/>
        <color rgb="FF63BE7B"/>
      </colorScale>
    </cfRule>
  </conditionalFormatting>
  <conditionalFormatting sqref="I310">
    <cfRule type="cellIs" dxfId="2383" priority="20249" operator="equal">
      <formula>5</formula>
    </cfRule>
    <cfRule type="cellIs" dxfId="2382" priority="20250" operator="equal">
      <formula>4</formula>
    </cfRule>
    <cfRule type="cellIs" dxfId="2381" priority="20251" operator="equal">
      <formula>1</formula>
    </cfRule>
    <cfRule type="cellIs" dxfId="2380" priority="20252" operator="equal">
      <formula>3</formula>
    </cfRule>
    <cfRule type="cellIs" dxfId="2379" priority="20253" operator="equal">
      <formula>2</formula>
    </cfRule>
    <cfRule type="colorScale" priority="20254">
      <colorScale>
        <cfvo type="min" val="0"/>
        <cfvo type="percentile" val="50"/>
        <cfvo type="max" val="0"/>
        <color rgb="FFF8696B"/>
        <color rgb="FFFFEB84"/>
        <color rgb="FF63BE7B"/>
      </colorScale>
    </cfRule>
    <cfRule type="colorScale" priority="20255">
      <colorScale>
        <cfvo type="num" val="1"/>
        <cfvo type="num" val="2"/>
        <cfvo type="num" val="3"/>
        <color rgb="FFF8696B"/>
        <color rgb="FFFFEB84"/>
        <color rgb="FF63BE7B"/>
      </colorScale>
    </cfRule>
    <cfRule type="colorScale" priority="20256">
      <colorScale>
        <cfvo type="num" val="1"/>
        <cfvo type="num" val="2"/>
        <cfvo type="num" val="3"/>
        <color rgb="FFF8696B"/>
        <color rgb="FFFFEB84"/>
        <color rgb="FF63BE7B"/>
      </colorScale>
    </cfRule>
  </conditionalFormatting>
  <conditionalFormatting sqref="I329">
    <cfRule type="cellIs" dxfId="2378" priority="21464" operator="equal">
      <formula>5</formula>
    </cfRule>
    <cfRule type="cellIs" dxfId="2377" priority="21465" operator="equal">
      <formula>4</formula>
    </cfRule>
    <cfRule type="cellIs" dxfId="2376" priority="21466" operator="equal">
      <formula>1</formula>
    </cfRule>
    <cfRule type="colorScale" priority="21469">
      <colorScale>
        <cfvo type="min" val="0"/>
        <cfvo type="percentile" val="50"/>
        <cfvo type="max" val="0"/>
        <color rgb="FFF8696B"/>
        <color rgb="FFFFEB84"/>
        <color rgb="FF63BE7B"/>
      </colorScale>
    </cfRule>
    <cfRule type="colorScale" priority="21470">
      <colorScale>
        <cfvo type="num" val="1"/>
        <cfvo type="num" val="2"/>
        <cfvo type="num" val="3"/>
        <color rgb="FFF8696B"/>
        <color rgb="FFFFEB84"/>
        <color rgb="FF63BE7B"/>
      </colorScale>
    </cfRule>
    <cfRule type="colorScale" priority="21471">
      <colorScale>
        <cfvo type="num" val="1"/>
        <cfvo type="num" val="2"/>
        <cfvo type="num" val="3"/>
        <color rgb="FFF8696B"/>
        <color rgb="FFFFEB84"/>
        <color rgb="FF63BE7B"/>
      </colorScale>
    </cfRule>
    <cfRule type="colorScale" priority="21472">
      <colorScale>
        <cfvo type="num" val="1"/>
        <cfvo type="num" val="2"/>
        <cfvo type="num" val="3"/>
        <color rgb="FFF8696B"/>
        <color rgb="FFFFEB84"/>
        <color rgb="FF63BE7B"/>
      </colorScale>
    </cfRule>
    <cfRule type="colorScale" priority="21473">
      <colorScale>
        <cfvo type="num" val="1"/>
        <cfvo type="num" val="2"/>
        <cfvo type="num" val="3"/>
        <color rgb="FFF8696B"/>
        <color rgb="FFFFEB84"/>
        <color rgb="FF63BE7B"/>
      </colorScale>
    </cfRule>
    <cfRule type="colorScale" priority="21474">
      <colorScale>
        <cfvo type="num" val="1"/>
        <cfvo type="num" val="2"/>
        <cfvo type="num" val="3"/>
        <color rgb="FFF8696B"/>
        <color rgb="FFFFEB84"/>
        <color rgb="FF63BE7B"/>
      </colorScale>
    </cfRule>
    <cfRule type="colorScale" priority="21475">
      <colorScale>
        <cfvo type="num" val="1"/>
        <cfvo type="num" val="2"/>
        <cfvo type="num" val="3"/>
        <color rgb="FFF8696B"/>
        <color rgb="FFFFEB84"/>
        <color rgb="FF63BE7B"/>
      </colorScale>
    </cfRule>
  </conditionalFormatting>
  <conditionalFormatting sqref="I331">
    <cfRule type="cellIs" dxfId="2375" priority="21456" operator="equal">
      <formula>5</formula>
    </cfRule>
    <cfRule type="cellIs" dxfId="2374" priority="21457" operator="equal">
      <formula>4</formula>
    </cfRule>
    <cfRule type="cellIs" dxfId="2373" priority="21458" operator="equal">
      <formula>1</formula>
    </cfRule>
    <cfRule type="colorScale" priority="21461">
      <colorScale>
        <cfvo type="min" val="0"/>
        <cfvo type="percentile" val="50"/>
        <cfvo type="max" val="0"/>
        <color rgb="FFF8696B"/>
        <color rgb="FFFFEB84"/>
        <color rgb="FF63BE7B"/>
      </colorScale>
    </cfRule>
    <cfRule type="colorScale" priority="21462">
      <colorScale>
        <cfvo type="num" val="1"/>
        <cfvo type="num" val="2"/>
        <cfvo type="num" val="3"/>
        <color rgb="FFF8696B"/>
        <color rgb="FFFFEB84"/>
        <color rgb="FF63BE7B"/>
      </colorScale>
    </cfRule>
    <cfRule type="colorScale" priority="21463">
      <colorScale>
        <cfvo type="num" val="1"/>
        <cfvo type="num" val="2"/>
        <cfvo type="num" val="3"/>
        <color rgb="FFF8696B"/>
        <color rgb="FFFFEB84"/>
        <color rgb="FF63BE7B"/>
      </colorScale>
    </cfRule>
  </conditionalFormatting>
  <conditionalFormatting sqref="I333">
    <cfRule type="cellIs" dxfId="2372" priority="21232" operator="equal">
      <formula>5</formula>
    </cfRule>
    <cfRule type="cellIs" dxfId="2371" priority="21233" operator="equal">
      <formula>4</formula>
    </cfRule>
    <cfRule type="cellIs" dxfId="2370" priority="21234" operator="equal">
      <formula>1</formula>
    </cfRule>
    <cfRule type="colorScale" priority="21237">
      <colorScale>
        <cfvo type="min" val="0"/>
        <cfvo type="percentile" val="50"/>
        <cfvo type="max" val="0"/>
        <color rgb="FFF8696B"/>
        <color rgb="FFFFEB84"/>
        <color rgb="FF63BE7B"/>
      </colorScale>
    </cfRule>
    <cfRule type="colorScale" priority="21238">
      <colorScale>
        <cfvo type="num" val="1"/>
        <cfvo type="num" val="2"/>
        <cfvo type="num" val="3"/>
        <color rgb="FFF8696B"/>
        <color rgb="FFFFEB84"/>
        <color rgb="FF63BE7B"/>
      </colorScale>
    </cfRule>
    <cfRule type="colorScale" priority="21239">
      <colorScale>
        <cfvo type="num" val="1"/>
        <cfvo type="num" val="2"/>
        <cfvo type="num" val="3"/>
        <color rgb="FFF8696B"/>
        <color rgb="FFFFEB84"/>
        <color rgb="FF63BE7B"/>
      </colorScale>
    </cfRule>
  </conditionalFormatting>
  <conditionalFormatting sqref="I337">
    <cfRule type="cellIs" dxfId="2369" priority="21416" operator="equal">
      <formula>5</formula>
    </cfRule>
    <cfRule type="cellIs" dxfId="2368" priority="21417" operator="equal">
      <formula>4</formula>
    </cfRule>
    <cfRule type="cellIs" dxfId="2367" priority="21418" operator="equal">
      <formula>1</formula>
    </cfRule>
    <cfRule type="cellIs" dxfId="2366" priority="21419" operator="equal">
      <formula>3</formula>
    </cfRule>
    <cfRule type="cellIs" dxfId="2365" priority="21420" operator="equal">
      <formula>2</formula>
    </cfRule>
    <cfRule type="colorScale" priority="21421">
      <colorScale>
        <cfvo type="min" val="0"/>
        <cfvo type="percentile" val="50"/>
        <cfvo type="max" val="0"/>
        <color rgb="FFF8696B"/>
        <color rgb="FFFFEB84"/>
        <color rgb="FF63BE7B"/>
      </colorScale>
    </cfRule>
    <cfRule type="colorScale" priority="21422">
      <colorScale>
        <cfvo type="num" val="1"/>
        <cfvo type="num" val="2"/>
        <cfvo type="num" val="3"/>
        <color rgb="FFF8696B"/>
        <color rgb="FFFFEB84"/>
        <color rgb="FF63BE7B"/>
      </colorScale>
    </cfRule>
    <cfRule type="colorScale" priority="21423">
      <colorScale>
        <cfvo type="num" val="1"/>
        <cfvo type="num" val="2"/>
        <cfvo type="num" val="3"/>
        <color rgb="FFF8696B"/>
        <color rgb="FFFFEB84"/>
        <color rgb="FF63BE7B"/>
      </colorScale>
    </cfRule>
  </conditionalFormatting>
  <conditionalFormatting sqref="I357">
    <cfRule type="cellIs" dxfId="2364" priority="18411" operator="equal">
      <formula>5</formula>
    </cfRule>
    <cfRule type="cellIs" dxfId="2363" priority="18412" operator="equal">
      <formula>4</formula>
    </cfRule>
    <cfRule type="cellIs" dxfId="2362" priority="18413" operator="equal">
      <formula>1</formula>
    </cfRule>
    <cfRule type="cellIs" dxfId="2361" priority="18414" operator="equal">
      <formula>3</formula>
    </cfRule>
    <cfRule type="colorScale" priority="18416">
      <colorScale>
        <cfvo type="min" val="0"/>
        <cfvo type="percentile" val="50"/>
        <cfvo type="max" val="0"/>
        <color rgb="FFF8696B"/>
        <color rgb="FFFFEB84"/>
        <color rgb="FF63BE7B"/>
      </colorScale>
    </cfRule>
    <cfRule type="colorScale" priority="18417">
      <colorScale>
        <cfvo type="num" val="1"/>
        <cfvo type="num" val="2"/>
        <cfvo type="num" val="3"/>
        <color rgb="FFF8696B"/>
        <color rgb="FFFFEB84"/>
        <color rgb="FF63BE7B"/>
      </colorScale>
    </cfRule>
    <cfRule type="colorScale" priority="18418">
      <colorScale>
        <cfvo type="num" val="1"/>
        <cfvo type="num" val="2"/>
        <cfvo type="num" val="3"/>
        <color rgb="FFF8696B"/>
        <color rgb="FFFFEB84"/>
        <color rgb="FF63BE7B"/>
      </colorScale>
    </cfRule>
    <cfRule type="colorScale" priority="18419">
      <colorScale>
        <cfvo type="num" val="1"/>
        <cfvo type="num" val="2"/>
        <cfvo type="num" val="3"/>
        <color rgb="FFF8696B"/>
        <color rgb="FFFFEB84"/>
        <color rgb="FF63BE7B"/>
      </colorScale>
    </cfRule>
    <cfRule type="colorScale" priority="18420">
      <colorScale>
        <cfvo type="num" val="1"/>
        <cfvo type="num" val="2"/>
        <cfvo type="num" val="3"/>
        <color rgb="FFF8696B"/>
        <color rgb="FFFFEB84"/>
        <color rgb="FF63BE7B"/>
      </colorScale>
    </cfRule>
    <cfRule type="colorScale" priority="18421">
      <colorScale>
        <cfvo type="num" val="1"/>
        <cfvo type="num" val="2"/>
        <cfvo type="num" val="3"/>
        <color rgb="FFF8696B"/>
        <color rgb="FFFFEB84"/>
        <color rgb="FF63BE7B"/>
      </colorScale>
    </cfRule>
    <cfRule type="colorScale" priority="18422">
      <colorScale>
        <cfvo type="num" val="1"/>
        <cfvo type="num" val="2"/>
        <cfvo type="num" val="3"/>
        <color rgb="FFF8696B"/>
        <color rgb="FFFFEB84"/>
        <color rgb="FF63BE7B"/>
      </colorScale>
    </cfRule>
  </conditionalFormatting>
  <conditionalFormatting sqref="I359">
    <cfRule type="cellIs" dxfId="2360" priority="18403" operator="equal">
      <formula>5</formula>
    </cfRule>
    <cfRule type="cellIs" dxfId="2359" priority="18404" operator="equal">
      <formula>4</formula>
    </cfRule>
    <cfRule type="cellIs" dxfId="2358" priority="18405" operator="equal">
      <formula>1</formula>
    </cfRule>
    <cfRule type="cellIs" dxfId="2357" priority="18406" operator="equal">
      <formula>3</formula>
    </cfRule>
    <cfRule type="colorScale" priority="18408">
      <colorScale>
        <cfvo type="min" val="0"/>
        <cfvo type="percentile" val="50"/>
        <cfvo type="max" val="0"/>
        <color rgb="FFF8696B"/>
        <color rgb="FFFFEB84"/>
        <color rgb="FF63BE7B"/>
      </colorScale>
    </cfRule>
    <cfRule type="colorScale" priority="18409">
      <colorScale>
        <cfvo type="num" val="1"/>
        <cfvo type="num" val="2"/>
        <cfvo type="num" val="3"/>
        <color rgb="FFF8696B"/>
        <color rgb="FFFFEB84"/>
        <color rgb="FF63BE7B"/>
      </colorScale>
    </cfRule>
    <cfRule type="colorScale" priority="18410">
      <colorScale>
        <cfvo type="num" val="1"/>
        <cfvo type="num" val="2"/>
        <cfvo type="num" val="3"/>
        <color rgb="FFF8696B"/>
        <color rgb="FFFFEB84"/>
        <color rgb="FF63BE7B"/>
      </colorScale>
    </cfRule>
  </conditionalFormatting>
  <conditionalFormatting sqref="I361">
    <cfRule type="cellIs" dxfId="2356" priority="18179" operator="equal">
      <formula>5</formula>
    </cfRule>
    <cfRule type="cellIs" dxfId="2355" priority="18180" operator="equal">
      <formula>4</formula>
    </cfRule>
    <cfRule type="cellIs" dxfId="2354" priority="18181" operator="equal">
      <formula>1</formula>
    </cfRule>
    <cfRule type="cellIs" dxfId="2353" priority="18182" operator="equal">
      <formula>3</formula>
    </cfRule>
    <cfRule type="colorScale" priority="18184">
      <colorScale>
        <cfvo type="min" val="0"/>
        <cfvo type="percentile" val="50"/>
        <cfvo type="max" val="0"/>
        <color rgb="FFF8696B"/>
        <color rgb="FFFFEB84"/>
        <color rgb="FF63BE7B"/>
      </colorScale>
    </cfRule>
    <cfRule type="colorScale" priority="18185">
      <colorScale>
        <cfvo type="num" val="1"/>
        <cfvo type="num" val="2"/>
        <cfvo type="num" val="3"/>
        <color rgb="FFF8696B"/>
        <color rgb="FFFFEB84"/>
        <color rgb="FF63BE7B"/>
      </colorScale>
    </cfRule>
    <cfRule type="colorScale" priority="18186">
      <colorScale>
        <cfvo type="num" val="1"/>
        <cfvo type="num" val="2"/>
        <cfvo type="num" val="3"/>
        <color rgb="FFF8696B"/>
        <color rgb="FFFFEB84"/>
        <color rgb="FF63BE7B"/>
      </colorScale>
    </cfRule>
  </conditionalFormatting>
  <conditionalFormatting sqref="I365">
    <cfRule type="cellIs" dxfId="2352" priority="18363" operator="equal">
      <formula>5</formula>
    </cfRule>
    <cfRule type="cellIs" dxfId="2351" priority="18364" operator="equal">
      <formula>4</formula>
    </cfRule>
    <cfRule type="cellIs" dxfId="2350" priority="18365" operator="equal">
      <formula>1</formula>
    </cfRule>
    <cfRule type="cellIs" dxfId="2349" priority="18366" operator="equal">
      <formula>3</formula>
    </cfRule>
    <cfRule type="cellIs" dxfId="2348" priority="18367" operator="equal">
      <formula>2</formula>
    </cfRule>
    <cfRule type="colorScale" priority="18368">
      <colorScale>
        <cfvo type="min" val="0"/>
        <cfvo type="percentile" val="50"/>
        <cfvo type="max" val="0"/>
        <color rgb="FFF8696B"/>
        <color rgb="FFFFEB84"/>
        <color rgb="FF63BE7B"/>
      </colorScale>
    </cfRule>
    <cfRule type="colorScale" priority="18369">
      <colorScale>
        <cfvo type="num" val="1"/>
        <cfvo type="num" val="2"/>
        <cfvo type="num" val="3"/>
        <color rgb="FFF8696B"/>
        <color rgb="FFFFEB84"/>
        <color rgb="FF63BE7B"/>
      </colorScale>
    </cfRule>
    <cfRule type="colorScale" priority="18370">
      <colorScale>
        <cfvo type="num" val="1"/>
        <cfvo type="num" val="2"/>
        <cfvo type="num" val="3"/>
        <color rgb="FFF8696B"/>
        <color rgb="FFFFEB84"/>
        <color rgb="FF63BE7B"/>
      </colorScale>
    </cfRule>
  </conditionalFormatting>
  <conditionalFormatting sqref="I389">
    <cfRule type="cellIs" dxfId="2347" priority="11788" operator="equal">
      <formula>5</formula>
    </cfRule>
    <cfRule type="cellIs" dxfId="2346" priority="11789" operator="equal">
      <formula>4</formula>
    </cfRule>
    <cfRule type="cellIs" dxfId="2345" priority="11790" operator="equal">
      <formula>1</formula>
    </cfRule>
    <cfRule type="colorScale" priority="11791">
      <colorScale>
        <cfvo type="min" val="0"/>
        <cfvo type="percentile" val="50"/>
        <cfvo type="max" val="0"/>
        <color rgb="FFF8696B"/>
        <color rgb="FFFFEB84"/>
        <color rgb="FF63BE7B"/>
      </colorScale>
    </cfRule>
    <cfRule type="colorScale" priority="11792">
      <colorScale>
        <cfvo type="num" val="1"/>
        <cfvo type="num" val="2"/>
        <cfvo type="num" val="3"/>
        <color rgb="FFF8696B"/>
        <color rgb="FFFFEB84"/>
        <color rgb="FF63BE7B"/>
      </colorScale>
    </cfRule>
    <cfRule type="colorScale" priority="11793">
      <colorScale>
        <cfvo type="num" val="1"/>
        <cfvo type="num" val="2"/>
        <cfvo type="num" val="3"/>
        <color rgb="FFF8696B"/>
        <color rgb="FFFFEB84"/>
        <color rgb="FF63BE7B"/>
      </colorScale>
    </cfRule>
    <cfRule type="colorScale" priority="11794">
      <colorScale>
        <cfvo type="num" val="1"/>
        <cfvo type="num" val="2"/>
        <cfvo type="num" val="3"/>
        <color rgb="FFF8696B"/>
        <color rgb="FFFFEB84"/>
        <color rgb="FF63BE7B"/>
      </colorScale>
    </cfRule>
    <cfRule type="colorScale" priority="11795">
      <colorScale>
        <cfvo type="num" val="1"/>
        <cfvo type="num" val="2"/>
        <cfvo type="num" val="3"/>
        <color rgb="FFF8696B"/>
        <color rgb="FFFFEB84"/>
        <color rgb="FF63BE7B"/>
      </colorScale>
    </cfRule>
    <cfRule type="colorScale" priority="11796">
      <colorScale>
        <cfvo type="num" val="1"/>
        <cfvo type="num" val="2"/>
        <cfvo type="num" val="3"/>
        <color rgb="FFF8696B"/>
        <color rgb="FFFFEB84"/>
        <color rgb="FF63BE7B"/>
      </colorScale>
    </cfRule>
    <cfRule type="colorScale" priority="11797">
      <colorScale>
        <cfvo type="num" val="1"/>
        <cfvo type="num" val="2"/>
        <cfvo type="num" val="3"/>
        <color rgb="FFF8696B"/>
        <color rgb="FFFFEB84"/>
        <color rgb="FF63BE7B"/>
      </colorScale>
    </cfRule>
  </conditionalFormatting>
  <conditionalFormatting sqref="I391">
    <cfRule type="cellIs" dxfId="2344" priority="11781" operator="equal">
      <formula>5</formula>
    </cfRule>
    <cfRule type="cellIs" dxfId="2343" priority="11782" operator="equal">
      <formula>4</formula>
    </cfRule>
    <cfRule type="cellIs" dxfId="2342" priority="11783" operator="equal">
      <formula>1</formula>
    </cfRule>
    <cfRule type="cellIs" dxfId="2341" priority="11784" operator="equal">
      <formula>3</formula>
    </cfRule>
    <cfRule type="colorScale" priority="11785">
      <colorScale>
        <cfvo type="min" val="0"/>
        <cfvo type="percentile" val="50"/>
        <cfvo type="max" val="0"/>
        <color rgb="FFF8696B"/>
        <color rgb="FFFFEB84"/>
        <color rgb="FF63BE7B"/>
      </colorScale>
    </cfRule>
    <cfRule type="colorScale" priority="11786">
      <colorScale>
        <cfvo type="num" val="1"/>
        <cfvo type="num" val="2"/>
        <cfvo type="num" val="3"/>
        <color rgb="FFF8696B"/>
        <color rgb="FFFFEB84"/>
        <color rgb="FF63BE7B"/>
      </colorScale>
    </cfRule>
    <cfRule type="colorScale" priority="11787">
      <colorScale>
        <cfvo type="num" val="1"/>
        <cfvo type="num" val="2"/>
        <cfvo type="num" val="3"/>
        <color rgb="FFF8696B"/>
        <color rgb="FFFFEB84"/>
        <color rgb="FF63BE7B"/>
      </colorScale>
    </cfRule>
  </conditionalFormatting>
  <conditionalFormatting sqref="I393">
    <cfRule type="cellIs" dxfId="2340" priority="11558" operator="equal">
      <formula>5</formula>
    </cfRule>
    <cfRule type="cellIs" dxfId="2339" priority="11559" operator="equal">
      <formula>4</formula>
    </cfRule>
    <cfRule type="cellIs" dxfId="2338" priority="11560" operator="equal">
      <formula>1</formula>
    </cfRule>
    <cfRule type="cellIs" dxfId="2337" priority="11561" operator="equal">
      <formula>3</formula>
    </cfRule>
    <cfRule type="colorScale" priority="11563">
      <colorScale>
        <cfvo type="min" val="0"/>
        <cfvo type="percentile" val="50"/>
        <cfvo type="max" val="0"/>
        <color rgb="FFF8696B"/>
        <color rgb="FFFFEB84"/>
        <color rgb="FF63BE7B"/>
      </colorScale>
    </cfRule>
    <cfRule type="colorScale" priority="11564">
      <colorScale>
        <cfvo type="num" val="1"/>
        <cfvo type="num" val="2"/>
        <cfvo type="num" val="3"/>
        <color rgb="FFF8696B"/>
        <color rgb="FFFFEB84"/>
        <color rgb="FF63BE7B"/>
      </colorScale>
    </cfRule>
    <cfRule type="colorScale" priority="11565">
      <colorScale>
        <cfvo type="num" val="1"/>
        <cfvo type="num" val="2"/>
        <cfvo type="num" val="3"/>
        <color rgb="FFF8696B"/>
        <color rgb="FFFFEB84"/>
        <color rgb="FF63BE7B"/>
      </colorScale>
    </cfRule>
  </conditionalFormatting>
  <conditionalFormatting sqref="I414">
    <cfRule type="cellIs" dxfId="2336" priority="10639" operator="equal">
      <formula>5</formula>
    </cfRule>
    <cfRule type="cellIs" dxfId="2335" priority="10640" operator="equal">
      <formula>4</formula>
    </cfRule>
    <cfRule type="cellIs" dxfId="2334" priority="10641" operator="equal">
      <formula>1</formula>
    </cfRule>
    <cfRule type="cellIs" dxfId="2333" priority="10642" operator="equal">
      <formula>3</formula>
    </cfRule>
    <cfRule type="colorScale" priority="10643">
      <colorScale>
        <cfvo type="min" val="0"/>
        <cfvo type="percentile" val="50"/>
        <cfvo type="max" val="0"/>
        <color rgb="FFF8696B"/>
        <color rgb="FFFFEB84"/>
        <color rgb="FF63BE7B"/>
      </colorScale>
    </cfRule>
    <cfRule type="colorScale" priority="10644">
      <colorScale>
        <cfvo type="num" val="1"/>
        <cfvo type="num" val="2"/>
        <cfvo type="num" val="3"/>
        <color rgb="FFF8696B"/>
        <color rgb="FFFFEB84"/>
        <color rgb="FF63BE7B"/>
      </colorScale>
    </cfRule>
    <cfRule type="colorScale" priority="10645">
      <colorScale>
        <cfvo type="num" val="1"/>
        <cfvo type="num" val="2"/>
        <cfvo type="num" val="3"/>
        <color rgb="FFF8696B"/>
        <color rgb="FFFFEB84"/>
        <color rgb="FF63BE7B"/>
      </colorScale>
    </cfRule>
    <cfRule type="colorScale" priority="10646">
      <colorScale>
        <cfvo type="num" val="1"/>
        <cfvo type="num" val="2"/>
        <cfvo type="num" val="3"/>
        <color rgb="FFF8696B"/>
        <color rgb="FFFFEB84"/>
        <color rgb="FF63BE7B"/>
      </colorScale>
    </cfRule>
    <cfRule type="colorScale" priority="10647">
      <colorScale>
        <cfvo type="num" val="1"/>
        <cfvo type="num" val="2"/>
        <cfvo type="num" val="3"/>
        <color rgb="FFF8696B"/>
        <color rgb="FFFFEB84"/>
        <color rgb="FF63BE7B"/>
      </colorScale>
    </cfRule>
    <cfRule type="colorScale" priority="10648">
      <colorScale>
        <cfvo type="num" val="1"/>
        <cfvo type="num" val="2"/>
        <cfvo type="num" val="3"/>
        <color rgb="FFF8696B"/>
        <color rgb="FFFFEB84"/>
        <color rgb="FF63BE7B"/>
      </colorScale>
    </cfRule>
    <cfRule type="colorScale" priority="10649">
      <colorScale>
        <cfvo type="num" val="1"/>
        <cfvo type="num" val="2"/>
        <cfvo type="num" val="3"/>
        <color rgb="FFF8696B"/>
        <color rgb="FFFFEB84"/>
        <color rgb="FF63BE7B"/>
      </colorScale>
    </cfRule>
  </conditionalFormatting>
  <conditionalFormatting sqref="I416">
    <cfRule type="cellIs" dxfId="2332" priority="10632" operator="equal">
      <formula>5</formula>
    </cfRule>
    <cfRule type="cellIs" dxfId="2331" priority="10633" operator="equal">
      <formula>4</formula>
    </cfRule>
    <cfRule type="cellIs" dxfId="2330" priority="10634" operator="equal">
      <formula>1</formula>
    </cfRule>
    <cfRule type="cellIs" dxfId="2329" priority="10635" operator="equal">
      <formula>3</formula>
    </cfRule>
    <cfRule type="colorScale" priority="10636">
      <colorScale>
        <cfvo type="min" val="0"/>
        <cfvo type="percentile" val="50"/>
        <cfvo type="max" val="0"/>
        <color rgb="FFF8696B"/>
        <color rgb="FFFFEB84"/>
        <color rgb="FF63BE7B"/>
      </colorScale>
    </cfRule>
    <cfRule type="colorScale" priority="10637">
      <colorScale>
        <cfvo type="num" val="1"/>
        <cfvo type="num" val="2"/>
        <cfvo type="num" val="3"/>
        <color rgb="FFF8696B"/>
        <color rgb="FFFFEB84"/>
        <color rgb="FF63BE7B"/>
      </colorScale>
    </cfRule>
    <cfRule type="colorScale" priority="10638">
      <colorScale>
        <cfvo type="num" val="1"/>
        <cfvo type="num" val="2"/>
        <cfvo type="num" val="3"/>
        <color rgb="FFF8696B"/>
        <color rgb="FFFFEB84"/>
        <color rgb="FF63BE7B"/>
      </colorScale>
    </cfRule>
  </conditionalFormatting>
  <conditionalFormatting sqref="I418">
    <cfRule type="cellIs" dxfId="2328" priority="10443" operator="equal">
      <formula>5</formula>
    </cfRule>
    <cfRule type="cellIs" dxfId="2327" priority="10444" operator="equal">
      <formula>4</formula>
    </cfRule>
    <cfRule type="cellIs" dxfId="2326" priority="10445" operator="equal">
      <formula>1</formula>
    </cfRule>
    <cfRule type="cellIs" dxfId="2325" priority="10446" operator="equal">
      <formula>3</formula>
    </cfRule>
    <cfRule type="colorScale" priority="10448">
      <colorScale>
        <cfvo type="min" val="0"/>
        <cfvo type="percentile" val="50"/>
        <cfvo type="max" val="0"/>
        <color rgb="FFF8696B"/>
        <color rgb="FFFFEB84"/>
        <color rgb="FF63BE7B"/>
      </colorScale>
    </cfRule>
    <cfRule type="colorScale" priority="10449">
      <colorScale>
        <cfvo type="num" val="1"/>
        <cfvo type="num" val="2"/>
        <cfvo type="num" val="3"/>
        <color rgb="FFF8696B"/>
        <color rgb="FFFFEB84"/>
        <color rgb="FF63BE7B"/>
      </colorScale>
    </cfRule>
    <cfRule type="colorScale" priority="10450">
      <colorScale>
        <cfvo type="num" val="1"/>
        <cfvo type="num" val="2"/>
        <cfvo type="num" val="3"/>
        <color rgb="FFF8696B"/>
        <color rgb="FFFFEB84"/>
        <color rgb="FF63BE7B"/>
      </colorScale>
    </cfRule>
  </conditionalFormatting>
  <conditionalFormatting sqref="I422">
    <cfRule type="cellIs" dxfId="2324" priority="10592" operator="equal">
      <formula>5</formula>
    </cfRule>
    <cfRule type="cellIs" dxfId="2323" priority="10593" operator="equal">
      <formula>4</formula>
    </cfRule>
    <cfRule type="cellIs" dxfId="2322" priority="10594" operator="equal">
      <formula>1</formula>
    </cfRule>
    <cfRule type="cellIs" dxfId="2321" priority="10595" operator="equal">
      <formula>3</formula>
    </cfRule>
    <cfRule type="cellIs" dxfId="2320" priority="10596" operator="equal">
      <formula>2</formula>
    </cfRule>
    <cfRule type="colorScale" priority="10597">
      <colorScale>
        <cfvo type="min" val="0"/>
        <cfvo type="percentile" val="50"/>
        <cfvo type="max" val="0"/>
        <color rgb="FFF8696B"/>
        <color rgb="FFFFEB84"/>
        <color rgb="FF63BE7B"/>
      </colorScale>
    </cfRule>
    <cfRule type="colorScale" priority="10598">
      <colorScale>
        <cfvo type="num" val="1"/>
        <cfvo type="num" val="2"/>
        <cfvo type="num" val="3"/>
        <color rgb="FFF8696B"/>
        <color rgb="FFFFEB84"/>
        <color rgb="FF63BE7B"/>
      </colorScale>
    </cfRule>
    <cfRule type="colorScale" priority="10599">
      <colorScale>
        <cfvo type="num" val="1"/>
        <cfvo type="num" val="2"/>
        <cfvo type="num" val="3"/>
        <color rgb="FFF8696B"/>
        <color rgb="FFFFEB84"/>
        <color rgb="FF63BE7B"/>
      </colorScale>
    </cfRule>
  </conditionalFormatting>
  <conditionalFormatting sqref="I442">
    <cfRule type="cellIs" dxfId="2319" priority="9525" operator="equal">
      <formula>5</formula>
    </cfRule>
    <cfRule type="cellIs" dxfId="2318" priority="9526" operator="equal">
      <formula>4</formula>
    </cfRule>
    <cfRule type="cellIs" dxfId="2317" priority="9527" operator="equal">
      <formula>1</formula>
    </cfRule>
    <cfRule type="colorScale" priority="9528">
      <colorScale>
        <cfvo type="min" val="0"/>
        <cfvo type="percentile" val="50"/>
        <cfvo type="max" val="0"/>
        <color rgb="FFF8696B"/>
        <color rgb="FFFFEB84"/>
        <color rgb="FF63BE7B"/>
      </colorScale>
    </cfRule>
    <cfRule type="colorScale" priority="9529">
      <colorScale>
        <cfvo type="num" val="1"/>
        <cfvo type="num" val="2"/>
        <cfvo type="num" val="3"/>
        <color rgb="FFF8696B"/>
        <color rgb="FFFFEB84"/>
        <color rgb="FF63BE7B"/>
      </colorScale>
    </cfRule>
    <cfRule type="colorScale" priority="9530">
      <colorScale>
        <cfvo type="num" val="1"/>
        <cfvo type="num" val="2"/>
        <cfvo type="num" val="3"/>
        <color rgb="FFF8696B"/>
        <color rgb="FFFFEB84"/>
        <color rgb="FF63BE7B"/>
      </colorScale>
    </cfRule>
    <cfRule type="colorScale" priority="9531">
      <colorScale>
        <cfvo type="num" val="1"/>
        <cfvo type="num" val="2"/>
        <cfvo type="num" val="3"/>
        <color rgb="FFF8696B"/>
        <color rgb="FFFFEB84"/>
        <color rgb="FF63BE7B"/>
      </colorScale>
    </cfRule>
    <cfRule type="colorScale" priority="9532">
      <colorScale>
        <cfvo type="num" val="1"/>
        <cfvo type="num" val="2"/>
        <cfvo type="num" val="3"/>
        <color rgb="FFF8696B"/>
        <color rgb="FFFFEB84"/>
        <color rgb="FF63BE7B"/>
      </colorScale>
    </cfRule>
    <cfRule type="colorScale" priority="9533">
      <colorScale>
        <cfvo type="num" val="1"/>
        <cfvo type="num" val="2"/>
        <cfvo type="num" val="3"/>
        <color rgb="FFF8696B"/>
        <color rgb="FFFFEB84"/>
        <color rgb="FF63BE7B"/>
      </colorScale>
    </cfRule>
    <cfRule type="colorScale" priority="9534">
      <colorScale>
        <cfvo type="num" val="1"/>
        <cfvo type="num" val="2"/>
        <cfvo type="num" val="3"/>
        <color rgb="FFF8696B"/>
        <color rgb="FFFFEB84"/>
        <color rgb="FF63BE7B"/>
      </colorScale>
    </cfRule>
  </conditionalFormatting>
  <conditionalFormatting sqref="I444">
    <cfRule type="cellIs" dxfId="2316" priority="9518" operator="equal">
      <formula>5</formula>
    </cfRule>
    <cfRule type="cellIs" dxfId="2315" priority="9519" operator="equal">
      <formula>4</formula>
    </cfRule>
    <cfRule type="cellIs" dxfId="2314" priority="9520" operator="equal">
      <formula>1</formula>
    </cfRule>
    <cfRule type="cellIs" dxfId="2313" priority="9521" operator="equal">
      <formula>3</formula>
    </cfRule>
    <cfRule type="colorScale" priority="9522">
      <colorScale>
        <cfvo type="min" val="0"/>
        <cfvo type="percentile" val="50"/>
        <cfvo type="max" val="0"/>
        <color rgb="FFF8696B"/>
        <color rgb="FFFFEB84"/>
        <color rgb="FF63BE7B"/>
      </colorScale>
    </cfRule>
    <cfRule type="colorScale" priority="9523">
      <colorScale>
        <cfvo type="num" val="1"/>
        <cfvo type="num" val="2"/>
        <cfvo type="num" val="3"/>
        <color rgb="FFF8696B"/>
        <color rgb="FFFFEB84"/>
        <color rgb="FF63BE7B"/>
      </colorScale>
    </cfRule>
    <cfRule type="colorScale" priority="9524">
      <colorScale>
        <cfvo type="num" val="1"/>
        <cfvo type="num" val="2"/>
        <cfvo type="num" val="3"/>
        <color rgb="FFF8696B"/>
        <color rgb="FFFFEB84"/>
        <color rgb="FF63BE7B"/>
      </colorScale>
    </cfRule>
  </conditionalFormatting>
  <conditionalFormatting sqref="I446">
    <cfRule type="cellIs" dxfId="2312" priority="9295" operator="equal">
      <formula>5</formula>
    </cfRule>
    <cfRule type="cellIs" dxfId="2311" priority="9296" operator="equal">
      <formula>4</formula>
    </cfRule>
    <cfRule type="cellIs" dxfId="2310" priority="9297" operator="equal">
      <formula>1</formula>
    </cfRule>
    <cfRule type="cellIs" dxfId="2309" priority="9298" operator="equal">
      <formula>3</formula>
    </cfRule>
    <cfRule type="colorScale" priority="9300">
      <colorScale>
        <cfvo type="min" val="0"/>
        <cfvo type="percentile" val="50"/>
        <cfvo type="max" val="0"/>
        <color rgb="FFF8696B"/>
        <color rgb="FFFFEB84"/>
        <color rgb="FF63BE7B"/>
      </colorScale>
    </cfRule>
    <cfRule type="colorScale" priority="9301">
      <colorScale>
        <cfvo type="num" val="1"/>
        <cfvo type="num" val="2"/>
        <cfvo type="num" val="3"/>
        <color rgb="FFF8696B"/>
        <color rgb="FFFFEB84"/>
        <color rgb="FF63BE7B"/>
      </colorScale>
    </cfRule>
    <cfRule type="colorScale" priority="9302">
      <colorScale>
        <cfvo type="num" val="1"/>
        <cfvo type="num" val="2"/>
        <cfvo type="num" val="3"/>
        <color rgb="FFF8696B"/>
        <color rgb="FFFFEB84"/>
        <color rgb="FF63BE7B"/>
      </colorScale>
    </cfRule>
  </conditionalFormatting>
  <conditionalFormatting sqref="I450">
    <cfRule type="cellIs" dxfId="2308" priority="9478" operator="equal">
      <formula>5</formula>
    </cfRule>
    <cfRule type="cellIs" dxfId="2307" priority="9479" operator="equal">
      <formula>4</formula>
    </cfRule>
    <cfRule type="cellIs" dxfId="2306" priority="9480" operator="equal">
      <formula>1</formula>
    </cfRule>
    <cfRule type="cellIs" dxfId="2305" priority="9481" operator="equal">
      <formula>3</formula>
    </cfRule>
    <cfRule type="cellIs" dxfId="2304" priority="9482" operator="equal">
      <formula>2</formula>
    </cfRule>
    <cfRule type="colorScale" priority="9483">
      <colorScale>
        <cfvo type="min" val="0"/>
        <cfvo type="percentile" val="50"/>
        <cfvo type="max" val="0"/>
        <color rgb="FFF8696B"/>
        <color rgb="FFFFEB84"/>
        <color rgb="FF63BE7B"/>
      </colorScale>
    </cfRule>
    <cfRule type="colorScale" priority="9484">
      <colorScale>
        <cfvo type="num" val="1"/>
        <cfvo type="num" val="2"/>
        <cfvo type="num" val="3"/>
        <color rgb="FFF8696B"/>
        <color rgb="FFFFEB84"/>
        <color rgb="FF63BE7B"/>
      </colorScale>
    </cfRule>
    <cfRule type="colorScale" priority="9485">
      <colorScale>
        <cfvo type="num" val="1"/>
        <cfvo type="num" val="2"/>
        <cfvo type="num" val="3"/>
        <color rgb="FFF8696B"/>
        <color rgb="FFFFEB84"/>
        <color rgb="FF63BE7B"/>
      </colorScale>
    </cfRule>
  </conditionalFormatting>
  <conditionalFormatting sqref="I470">
    <cfRule type="cellIs" dxfId="2303" priority="8376" operator="equal">
      <formula>5</formula>
    </cfRule>
    <cfRule type="cellIs" dxfId="2302" priority="8377" operator="equal">
      <formula>4</formula>
    </cfRule>
    <cfRule type="cellIs" dxfId="2301" priority="8378" operator="equal">
      <formula>1</formula>
    </cfRule>
    <cfRule type="cellIs" dxfId="2300" priority="8379" operator="equal">
      <formula>3</formula>
    </cfRule>
    <cfRule type="colorScale" priority="8380">
      <colorScale>
        <cfvo type="min" val="0"/>
        <cfvo type="percentile" val="50"/>
        <cfvo type="max" val="0"/>
        <color rgb="FFF8696B"/>
        <color rgb="FFFFEB84"/>
        <color rgb="FF63BE7B"/>
      </colorScale>
    </cfRule>
    <cfRule type="colorScale" priority="8381">
      <colorScale>
        <cfvo type="num" val="1"/>
        <cfvo type="num" val="2"/>
        <cfvo type="num" val="3"/>
        <color rgb="FFF8696B"/>
        <color rgb="FFFFEB84"/>
        <color rgb="FF63BE7B"/>
      </colorScale>
    </cfRule>
    <cfRule type="colorScale" priority="8382">
      <colorScale>
        <cfvo type="num" val="1"/>
        <cfvo type="num" val="2"/>
        <cfvo type="num" val="3"/>
        <color rgb="FFF8696B"/>
        <color rgb="FFFFEB84"/>
        <color rgb="FF63BE7B"/>
      </colorScale>
    </cfRule>
    <cfRule type="colorScale" priority="8383">
      <colorScale>
        <cfvo type="num" val="1"/>
        <cfvo type="num" val="2"/>
        <cfvo type="num" val="3"/>
        <color rgb="FFF8696B"/>
        <color rgb="FFFFEB84"/>
        <color rgb="FF63BE7B"/>
      </colorScale>
    </cfRule>
    <cfRule type="colorScale" priority="8384">
      <colorScale>
        <cfvo type="num" val="1"/>
        <cfvo type="num" val="2"/>
        <cfvo type="num" val="3"/>
        <color rgb="FFF8696B"/>
        <color rgb="FFFFEB84"/>
        <color rgb="FF63BE7B"/>
      </colorScale>
    </cfRule>
    <cfRule type="colorScale" priority="8385">
      <colorScale>
        <cfvo type="num" val="1"/>
        <cfvo type="num" val="2"/>
        <cfvo type="num" val="3"/>
        <color rgb="FFF8696B"/>
        <color rgb="FFFFEB84"/>
        <color rgb="FF63BE7B"/>
      </colorScale>
    </cfRule>
    <cfRule type="colorScale" priority="8386">
      <colorScale>
        <cfvo type="num" val="1"/>
        <cfvo type="num" val="2"/>
        <cfvo type="num" val="3"/>
        <color rgb="FFF8696B"/>
        <color rgb="FFFFEB84"/>
        <color rgb="FF63BE7B"/>
      </colorScale>
    </cfRule>
  </conditionalFormatting>
  <conditionalFormatting sqref="I472">
    <cfRule type="cellIs" dxfId="2299" priority="8369" operator="equal">
      <formula>5</formula>
    </cfRule>
    <cfRule type="cellIs" dxfId="2298" priority="8370" operator="equal">
      <formula>4</formula>
    </cfRule>
    <cfRule type="cellIs" dxfId="2297" priority="8371" operator="equal">
      <formula>1</formula>
    </cfRule>
    <cfRule type="cellIs" dxfId="2296" priority="8372" operator="equal">
      <formula>3</formula>
    </cfRule>
    <cfRule type="colorScale" priority="8373">
      <colorScale>
        <cfvo type="min" val="0"/>
        <cfvo type="percentile" val="50"/>
        <cfvo type="max" val="0"/>
        <color rgb="FFF8696B"/>
        <color rgb="FFFFEB84"/>
        <color rgb="FF63BE7B"/>
      </colorScale>
    </cfRule>
    <cfRule type="colorScale" priority="8374">
      <colorScale>
        <cfvo type="num" val="1"/>
        <cfvo type="num" val="2"/>
        <cfvo type="num" val="3"/>
        <color rgb="FFF8696B"/>
        <color rgb="FFFFEB84"/>
        <color rgb="FF63BE7B"/>
      </colorScale>
    </cfRule>
    <cfRule type="colorScale" priority="8375">
      <colorScale>
        <cfvo type="num" val="1"/>
        <cfvo type="num" val="2"/>
        <cfvo type="num" val="3"/>
        <color rgb="FFF8696B"/>
        <color rgb="FFFFEB84"/>
        <color rgb="FF63BE7B"/>
      </colorScale>
    </cfRule>
  </conditionalFormatting>
  <conditionalFormatting sqref="I474">
    <cfRule type="cellIs" dxfId="2295" priority="8180" operator="equal">
      <formula>5</formula>
    </cfRule>
    <cfRule type="cellIs" dxfId="2294" priority="8181" operator="equal">
      <formula>4</formula>
    </cfRule>
    <cfRule type="cellIs" dxfId="2293" priority="8182" operator="equal">
      <formula>1</formula>
    </cfRule>
    <cfRule type="cellIs" dxfId="2292" priority="8183" operator="equal">
      <formula>3</formula>
    </cfRule>
    <cfRule type="colorScale" priority="8185">
      <colorScale>
        <cfvo type="min" val="0"/>
        <cfvo type="percentile" val="50"/>
        <cfvo type="max" val="0"/>
        <color rgb="FFF8696B"/>
        <color rgb="FFFFEB84"/>
        <color rgb="FF63BE7B"/>
      </colorScale>
    </cfRule>
    <cfRule type="colorScale" priority="8186">
      <colorScale>
        <cfvo type="num" val="1"/>
        <cfvo type="num" val="2"/>
        <cfvo type="num" val="3"/>
        <color rgb="FFF8696B"/>
        <color rgb="FFFFEB84"/>
        <color rgb="FF63BE7B"/>
      </colorScale>
    </cfRule>
    <cfRule type="colorScale" priority="8187">
      <colorScale>
        <cfvo type="num" val="1"/>
        <cfvo type="num" val="2"/>
        <cfvo type="num" val="3"/>
        <color rgb="FFF8696B"/>
        <color rgb="FFFFEB84"/>
        <color rgb="FF63BE7B"/>
      </colorScale>
    </cfRule>
  </conditionalFormatting>
  <conditionalFormatting sqref="I478">
    <cfRule type="cellIs" dxfId="2291" priority="8329" operator="equal">
      <formula>5</formula>
    </cfRule>
    <cfRule type="cellIs" dxfId="2290" priority="8330" operator="equal">
      <formula>4</formula>
    </cfRule>
    <cfRule type="cellIs" dxfId="2289" priority="8331" operator="equal">
      <formula>1</formula>
    </cfRule>
    <cfRule type="cellIs" dxfId="2288" priority="8332" operator="equal">
      <formula>3</formula>
    </cfRule>
    <cfRule type="cellIs" dxfId="2287" priority="8333" operator="equal">
      <formula>2</formula>
    </cfRule>
    <cfRule type="colorScale" priority="8334">
      <colorScale>
        <cfvo type="min" val="0"/>
        <cfvo type="percentile" val="50"/>
        <cfvo type="max" val="0"/>
        <color rgb="FFF8696B"/>
        <color rgb="FFFFEB84"/>
        <color rgb="FF63BE7B"/>
      </colorScale>
    </cfRule>
    <cfRule type="colorScale" priority="8335">
      <colorScale>
        <cfvo type="num" val="1"/>
        <cfvo type="num" val="2"/>
        <cfvo type="num" val="3"/>
        <color rgb="FFF8696B"/>
        <color rgb="FFFFEB84"/>
        <color rgb="FF63BE7B"/>
      </colorScale>
    </cfRule>
    <cfRule type="colorScale" priority="8336">
      <colorScale>
        <cfvo type="num" val="1"/>
        <cfvo type="num" val="2"/>
        <cfvo type="num" val="3"/>
        <color rgb="FFF8696B"/>
        <color rgb="FFFFEB84"/>
        <color rgb="FF63BE7B"/>
      </colorScale>
    </cfRule>
  </conditionalFormatting>
  <conditionalFormatting sqref="I497">
    <cfRule type="cellIs" dxfId="2286" priority="7261" operator="equal">
      <formula>5</formula>
    </cfRule>
    <cfRule type="cellIs" dxfId="2285" priority="7262" operator="equal">
      <formula>4</formula>
    </cfRule>
    <cfRule type="cellIs" dxfId="2284" priority="7263" operator="equal">
      <formula>1</formula>
    </cfRule>
    <cfRule type="cellIs" dxfId="2283" priority="7264" operator="equal">
      <formula>3</formula>
    </cfRule>
    <cfRule type="colorScale" priority="7265">
      <colorScale>
        <cfvo type="min" val="0"/>
        <cfvo type="percentile" val="50"/>
        <cfvo type="max" val="0"/>
        <color rgb="FFF8696B"/>
        <color rgb="FFFFEB84"/>
        <color rgb="FF63BE7B"/>
      </colorScale>
    </cfRule>
    <cfRule type="colorScale" priority="7266">
      <colorScale>
        <cfvo type="num" val="1"/>
        <cfvo type="num" val="2"/>
        <cfvo type="num" val="3"/>
        <color rgb="FFF8696B"/>
        <color rgb="FFFFEB84"/>
        <color rgb="FF63BE7B"/>
      </colorScale>
    </cfRule>
    <cfRule type="colorScale" priority="7267">
      <colorScale>
        <cfvo type="num" val="1"/>
        <cfvo type="num" val="2"/>
        <cfvo type="num" val="3"/>
        <color rgb="FFF8696B"/>
        <color rgb="FFFFEB84"/>
        <color rgb="FF63BE7B"/>
      </colorScale>
    </cfRule>
    <cfRule type="colorScale" priority="7268">
      <colorScale>
        <cfvo type="num" val="1"/>
        <cfvo type="num" val="2"/>
        <cfvo type="num" val="3"/>
        <color rgb="FFF8696B"/>
        <color rgb="FFFFEB84"/>
        <color rgb="FF63BE7B"/>
      </colorScale>
    </cfRule>
    <cfRule type="colorScale" priority="7269">
      <colorScale>
        <cfvo type="num" val="1"/>
        <cfvo type="num" val="2"/>
        <cfvo type="num" val="3"/>
        <color rgb="FFF8696B"/>
        <color rgb="FFFFEB84"/>
        <color rgb="FF63BE7B"/>
      </colorScale>
    </cfRule>
    <cfRule type="colorScale" priority="7270">
      <colorScale>
        <cfvo type="num" val="1"/>
        <cfvo type="num" val="2"/>
        <cfvo type="num" val="3"/>
        <color rgb="FFF8696B"/>
        <color rgb="FFFFEB84"/>
        <color rgb="FF63BE7B"/>
      </colorScale>
    </cfRule>
    <cfRule type="colorScale" priority="7271">
      <colorScale>
        <cfvo type="num" val="1"/>
        <cfvo type="num" val="2"/>
        <cfvo type="num" val="3"/>
        <color rgb="FFF8696B"/>
        <color rgb="FFFFEB84"/>
        <color rgb="FF63BE7B"/>
      </colorScale>
    </cfRule>
  </conditionalFormatting>
  <conditionalFormatting sqref="I499">
    <cfRule type="cellIs" dxfId="2282" priority="7254" operator="equal">
      <formula>5</formula>
    </cfRule>
    <cfRule type="cellIs" dxfId="2281" priority="7255" operator="equal">
      <formula>4</formula>
    </cfRule>
    <cfRule type="cellIs" dxfId="2280" priority="7256" operator="equal">
      <formula>1</formula>
    </cfRule>
    <cfRule type="cellIs" dxfId="2279" priority="7257" operator="equal">
      <formula>3</formula>
    </cfRule>
    <cfRule type="colorScale" priority="7258">
      <colorScale>
        <cfvo type="min" val="0"/>
        <cfvo type="percentile" val="50"/>
        <cfvo type="max" val="0"/>
        <color rgb="FFF8696B"/>
        <color rgb="FFFFEB84"/>
        <color rgb="FF63BE7B"/>
      </colorScale>
    </cfRule>
    <cfRule type="colorScale" priority="7259">
      <colorScale>
        <cfvo type="num" val="1"/>
        <cfvo type="num" val="2"/>
        <cfvo type="num" val="3"/>
        <color rgb="FFF8696B"/>
        <color rgb="FFFFEB84"/>
        <color rgb="FF63BE7B"/>
      </colorScale>
    </cfRule>
    <cfRule type="colorScale" priority="7260">
      <colorScale>
        <cfvo type="num" val="1"/>
        <cfvo type="num" val="2"/>
        <cfvo type="num" val="3"/>
        <color rgb="FFF8696B"/>
        <color rgb="FFFFEB84"/>
        <color rgb="FF63BE7B"/>
      </colorScale>
    </cfRule>
  </conditionalFormatting>
  <conditionalFormatting sqref="I501">
    <cfRule type="cellIs" dxfId="2278" priority="7065" operator="equal">
      <formula>5</formula>
    </cfRule>
    <cfRule type="cellIs" dxfId="2277" priority="7066" operator="equal">
      <formula>4</formula>
    </cfRule>
    <cfRule type="cellIs" dxfId="2276" priority="7067" operator="equal">
      <formula>1</formula>
    </cfRule>
    <cfRule type="cellIs" dxfId="2275" priority="7068" operator="equal">
      <formula>3</formula>
    </cfRule>
    <cfRule type="colorScale" priority="7070">
      <colorScale>
        <cfvo type="min" val="0"/>
        <cfvo type="percentile" val="50"/>
        <cfvo type="max" val="0"/>
        <color rgb="FFF8696B"/>
        <color rgb="FFFFEB84"/>
        <color rgb="FF63BE7B"/>
      </colorScale>
    </cfRule>
    <cfRule type="colorScale" priority="7071">
      <colorScale>
        <cfvo type="num" val="1"/>
        <cfvo type="num" val="2"/>
        <cfvo type="num" val="3"/>
        <color rgb="FFF8696B"/>
        <color rgb="FFFFEB84"/>
        <color rgb="FF63BE7B"/>
      </colorScale>
    </cfRule>
    <cfRule type="colorScale" priority="7072">
      <colorScale>
        <cfvo type="num" val="1"/>
        <cfvo type="num" val="2"/>
        <cfvo type="num" val="3"/>
        <color rgb="FFF8696B"/>
        <color rgb="FFFFEB84"/>
        <color rgb="FF63BE7B"/>
      </colorScale>
    </cfRule>
  </conditionalFormatting>
  <conditionalFormatting sqref="I505">
    <cfRule type="cellIs" dxfId="2274" priority="7214" operator="equal">
      <formula>5</formula>
    </cfRule>
    <cfRule type="cellIs" dxfId="2273" priority="7215" operator="equal">
      <formula>4</formula>
    </cfRule>
    <cfRule type="cellIs" dxfId="2272" priority="7216" operator="equal">
      <formula>1</formula>
    </cfRule>
    <cfRule type="cellIs" dxfId="2271" priority="7217" operator="equal">
      <formula>3</formula>
    </cfRule>
    <cfRule type="cellIs" dxfId="2270" priority="7218" operator="equal">
      <formula>2</formula>
    </cfRule>
    <cfRule type="colorScale" priority="7219">
      <colorScale>
        <cfvo type="min" val="0"/>
        <cfvo type="percentile" val="50"/>
        <cfvo type="max" val="0"/>
        <color rgb="FFF8696B"/>
        <color rgb="FFFFEB84"/>
        <color rgb="FF63BE7B"/>
      </colorScale>
    </cfRule>
    <cfRule type="colorScale" priority="7220">
      <colorScale>
        <cfvo type="num" val="1"/>
        <cfvo type="num" val="2"/>
        <cfvo type="num" val="3"/>
        <color rgb="FFF8696B"/>
        <color rgb="FFFFEB84"/>
        <color rgb="FF63BE7B"/>
      </colorScale>
    </cfRule>
    <cfRule type="colorScale" priority="7221">
      <colorScale>
        <cfvo type="num" val="1"/>
        <cfvo type="num" val="2"/>
        <cfvo type="num" val="3"/>
        <color rgb="FFF8696B"/>
        <color rgb="FFFFEB84"/>
        <color rgb="FF63BE7B"/>
      </colorScale>
    </cfRule>
  </conditionalFormatting>
  <conditionalFormatting sqref="J9">
    <cfRule type="cellIs" dxfId="2269" priority="40061" operator="equal">
      <formula>5</formula>
    </cfRule>
    <cfRule type="cellIs" dxfId="2268" priority="40062" operator="equal">
      <formula>4</formula>
    </cfRule>
    <cfRule type="cellIs" dxfId="2267" priority="40063" operator="equal">
      <formula>1</formula>
    </cfRule>
    <cfRule type="colorScale" priority="40066">
      <colorScale>
        <cfvo type="min" val="0"/>
        <cfvo type="percentile" val="50"/>
        <cfvo type="max" val="0"/>
        <color rgb="FFF8696B"/>
        <color rgb="FFFFEB84"/>
        <color rgb="FF63BE7B"/>
      </colorScale>
    </cfRule>
    <cfRule type="colorScale" priority="40067">
      <colorScale>
        <cfvo type="num" val="1"/>
        <cfvo type="num" val="2"/>
        <cfvo type="num" val="3"/>
        <color rgb="FFF8696B"/>
        <color rgb="FFFFEB84"/>
        <color rgb="FF63BE7B"/>
      </colorScale>
    </cfRule>
    <cfRule type="colorScale" priority="40068">
      <colorScale>
        <cfvo type="num" val="1"/>
        <cfvo type="num" val="2"/>
        <cfvo type="num" val="3"/>
        <color rgb="FFF8696B"/>
        <color rgb="FFFFEB84"/>
        <color rgb="FF63BE7B"/>
      </colorScale>
    </cfRule>
    <cfRule type="colorScale" priority="40069">
      <colorScale>
        <cfvo type="num" val="1"/>
        <cfvo type="num" val="2"/>
        <cfvo type="num" val="3"/>
        <color rgb="FFF8696B"/>
        <color rgb="FFFFEB84"/>
        <color rgb="FF63BE7B"/>
      </colorScale>
    </cfRule>
    <cfRule type="colorScale" priority="40070">
      <colorScale>
        <cfvo type="num" val="1"/>
        <cfvo type="num" val="2"/>
        <cfvo type="num" val="3"/>
        <color rgb="FFF8696B"/>
        <color rgb="FFFFEB84"/>
        <color rgb="FF63BE7B"/>
      </colorScale>
    </cfRule>
    <cfRule type="colorScale" priority="40071">
      <colorScale>
        <cfvo type="num" val="1"/>
        <cfvo type="num" val="2"/>
        <cfvo type="num" val="3"/>
        <color rgb="FFF8696B"/>
        <color rgb="FFFFEB84"/>
        <color rgb="FF63BE7B"/>
      </colorScale>
    </cfRule>
    <cfRule type="colorScale" priority="40072">
      <colorScale>
        <cfvo type="num" val="1"/>
        <cfvo type="num" val="2"/>
        <cfvo type="num" val="3"/>
        <color rgb="FFF8696B"/>
        <color rgb="FFFFEB84"/>
        <color rgb="FF63BE7B"/>
      </colorScale>
    </cfRule>
  </conditionalFormatting>
  <conditionalFormatting sqref="J11">
    <cfRule type="cellIs" dxfId="2266" priority="40053" operator="equal">
      <formula>5</formula>
    </cfRule>
    <cfRule type="cellIs" dxfId="2265" priority="40054" operator="equal">
      <formula>4</formula>
    </cfRule>
    <cfRule type="cellIs" dxfId="2264" priority="40055" operator="equal">
      <formula>1</formula>
    </cfRule>
    <cfRule type="colorScale" priority="40058">
      <colorScale>
        <cfvo type="min" val="0"/>
        <cfvo type="percentile" val="50"/>
        <cfvo type="max" val="0"/>
        <color rgb="FFF8696B"/>
        <color rgb="FFFFEB84"/>
        <color rgb="FF63BE7B"/>
      </colorScale>
    </cfRule>
    <cfRule type="colorScale" priority="40059">
      <colorScale>
        <cfvo type="num" val="1"/>
        <cfvo type="num" val="2"/>
        <cfvo type="num" val="3"/>
        <color rgb="FFF8696B"/>
        <color rgb="FFFFEB84"/>
        <color rgb="FF63BE7B"/>
      </colorScale>
    </cfRule>
    <cfRule type="colorScale" priority="40060">
      <colorScale>
        <cfvo type="num" val="1"/>
        <cfvo type="num" val="2"/>
        <cfvo type="num" val="3"/>
        <color rgb="FFF8696B"/>
        <color rgb="FFFFEB84"/>
        <color rgb="FF63BE7B"/>
      </colorScale>
    </cfRule>
  </conditionalFormatting>
  <conditionalFormatting sqref="J36">
    <cfRule type="cellIs" dxfId="2263" priority="36315" operator="equal">
      <formula>5</formula>
    </cfRule>
    <cfRule type="cellIs" dxfId="2262" priority="36316" operator="equal">
      <formula>4</formula>
    </cfRule>
    <cfRule type="cellIs" dxfId="2261" priority="36317" operator="equal">
      <formula>1</formula>
    </cfRule>
    <cfRule type="colorScale" priority="36320">
      <colorScale>
        <cfvo type="num" val="1"/>
        <cfvo type="num" val="2"/>
        <cfvo type="num" val="3"/>
        <color rgb="FFF8696B"/>
        <color rgb="FFFFEB84"/>
        <color rgb="FF63BE7B"/>
      </colorScale>
    </cfRule>
    <cfRule type="colorScale" priority="36321">
      <colorScale>
        <cfvo type="num" val="1"/>
        <cfvo type="num" val="2"/>
        <cfvo type="num" val="3"/>
        <color rgb="FFF8696B"/>
        <color rgb="FFFFEB84"/>
        <color rgb="FF63BE7B"/>
      </colorScale>
    </cfRule>
    <cfRule type="colorScale" priority="36322">
      <colorScale>
        <cfvo type="min" val="0"/>
        <cfvo type="percentile" val="50"/>
        <cfvo type="max" val="0"/>
        <color rgb="FFF8696B"/>
        <color rgb="FFFFEB84"/>
        <color rgb="FF63BE7B"/>
      </colorScale>
    </cfRule>
  </conditionalFormatting>
  <conditionalFormatting sqref="J38">
    <cfRule type="cellIs" dxfId="2260" priority="36678" operator="equal">
      <formula>5</formula>
    </cfRule>
    <cfRule type="cellIs" dxfId="2259" priority="36679" operator="equal">
      <formula>4</formula>
    </cfRule>
    <cfRule type="cellIs" dxfId="2258" priority="36680" operator="equal">
      <formula>1</formula>
    </cfRule>
    <cfRule type="colorScale" priority="36683">
      <colorScale>
        <cfvo type="min" val="0"/>
        <cfvo type="percentile" val="50"/>
        <cfvo type="max" val="0"/>
        <color rgb="FFF8696B"/>
        <color rgb="FFFFEB84"/>
        <color rgb="FF63BE7B"/>
      </colorScale>
    </cfRule>
    <cfRule type="colorScale" priority="36684">
      <colorScale>
        <cfvo type="num" val="1"/>
        <cfvo type="num" val="2"/>
        <cfvo type="num" val="3"/>
        <color rgb="FFF8696B"/>
        <color rgb="FFFFEB84"/>
        <color rgb="FF63BE7B"/>
      </colorScale>
    </cfRule>
    <cfRule type="colorScale" priority="36685">
      <colorScale>
        <cfvo type="num" val="1"/>
        <cfvo type="num" val="2"/>
        <cfvo type="num" val="3"/>
        <color rgb="FFF8696B"/>
        <color rgb="FFFFEB84"/>
        <color rgb="FF63BE7B"/>
      </colorScale>
    </cfRule>
    <cfRule type="colorScale" priority="36686">
      <colorScale>
        <cfvo type="num" val="1"/>
        <cfvo type="num" val="2"/>
        <cfvo type="num" val="3"/>
        <color rgb="FFF8696B"/>
        <color rgb="FFFFEB84"/>
        <color rgb="FF63BE7B"/>
      </colorScale>
    </cfRule>
    <cfRule type="colorScale" priority="36687">
      <colorScale>
        <cfvo type="num" val="1"/>
        <cfvo type="num" val="2"/>
        <cfvo type="num" val="3"/>
        <color rgb="FFF8696B"/>
        <color rgb="FFFFEB84"/>
        <color rgb="FF63BE7B"/>
      </colorScale>
    </cfRule>
    <cfRule type="colorScale" priority="36688">
      <colorScale>
        <cfvo type="num" val="1"/>
        <cfvo type="num" val="2"/>
        <cfvo type="num" val="3"/>
        <color rgb="FFF8696B"/>
        <color rgb="FFFFEB84"/>
        <color rgb="FF63BE7B"/>
      </colorScale>
    </cfRule>
    <cfRule type="colorScale" priority="36689">
      <colorScale>
        <cfvo type="num" val="1"/>
        <cfvo type="num" val="2"/>
        <cfvo type="num" val="3"/>
        <color rgb="FFF8696B"/>
        <color rgb="FFFFEB84"/>
        <color rgb="FF63BE7B"/>
      </colorScale>
    </cfRule>
  </conditionalFormatting>
  <conditionalFormatting sqref="J40">
    <cfRule type="cellIs" dxfId="2257" priority="36670" operator="equal">
      <formula>5</formula>
    </cfRule>
    <cfRule type="cellIs" dxfId="2256" priority="36671" operator="equal">
      <formula>4</formula>
    </cfRule>
    <cfRule type="cellIs" dxfId="2255" priority="36672" operator="equal">
      <formula>1</formula>
    </cfRule>
    <cfRule type="colorScale" priority="36675">
      <colorScale>
        <cfvo type="min" val="0"/>
        <cfvo type="percentile" val="50"/>
        <cfvo type="max" val="0"/>
        <color rgb="FFF8696B"/>
        <color rgb="FFFFEB84"/>
        <color rgb="FF63BE7B"/>
      </colorScale>
    </cfRule>
    <cfRule type="colorScale" priority="36676">
      <colorScale>
        <cfvo type="num" val="1"/>
        <cfvo type="num" val="2"/>
        <cfvo type="num" val="3"/>
        <color rgb="FFF8696B"/>
        <color rgb="FFFFEB84"/>
        <color rgb="FF63BE7B"/>
      </colorScale>
    </cfRule>
    <cfRule type="colorScale" priority="36677">
      <colorScale>
        <cfvo type="num" val="1"/>
        <cfvo type="num" val="2"/>
        <cfvo type="num" val="3"/>
        <color rgb="FFF8696B"/>
        <color rgb="FFFFEB84"/>
        <color rgb="FF63BE7B"/>
      </colorScale>
    </cfRule>
  </conditionalFormatting>
  <conditionalFormatting sqref="J44">
    <cfRule type="cellIs" dxfId="2254" priority="36225" operator="equal">
      <formula>5</formula>
    </cfRule>
    <cfRule type="cellIs" dxfId="2253" priority="36226" operator="equal">
      <formula>4</formula>
    </cfRule>
    <cfRule type="cellIs" dxfId="2252" priority="36227" operator="equal">
      <formula>1</formula>
    </cfRule>
    <cfRule type="colorScale" priority="36230">
      <colorScale>
        <cfvo type="num" val="1"/>
        <cfvo type="num" val="2"/>
        <cfvo type="num" val="3"/>
        <color rgb="FFF8696B"/>
        <color rgb="FFFFEB84"/>
        <color rgb="FF63BE7B"/>
      </colorScale>
    </cfRule>
    <cfRule type="colorScale" priority="36231">
      <colorScale>
        <cfvo type="num" val="1"/>
        <cfvo type="num" val="2"/>
        <cfvo type="num" val="3"/>
        <color rgb="FFF8696B"/>
        <color rgb="FFFFEB84"/>
        <color rgb="FF63BE7B"/>
      </colorScale>
    </cfRule>
    <cfRule type="colorScale" priority="36232">
      <colorScale>
        <cfvo type="min" val="0"/>
        <cfvo type="percentile" val="50"/>
        <cfvo type="max" val="0"/>
        <color rgb="FFF8696B"/>
        <color rgb="FFFFEB84"/>
        <color rgb="FF63BE7B"/>
      </colorScale>
    </cfRule>
  </conditionalFormatting>
  <conditionalFormatting sqref="J64">
    <cfRule type="cellIs" dxfId="2251" priority="35196" operator="equal">
      <formula>5</formula>
    </cfRule>
    <cfRule type="cellIs" dxfId="2250" priority="35197" operator="equal">
      <formula>4</formula>
    </cfRule>
    <cfRule type="cellIs" dxfId="2249" priority="35198" operator="equal">
      <formula>1</formula>
    </cfRule>
    <cfRule type="colorScale" priority="35201">
      <colorScale>
        <cfvo type="num" val="1"/>
        <cfvo type="num" val="2"/>
        <cfvo type="num" val="3"/>
        <color rgb="FFF8696B"/>
        <color rgb="FFFFEB84"/>
        <color rgb="FF63BE7B"/>
      </colorScale>
    </cfRule>
    <cfRule type="colorScale" priority="35202">
      <colorScale>
        <cfvo type="num" val="1"/>
        <cfvo type="num" val="2"/>
        <cfvo type="num" val="3"/>
        <color rgb="FFF8696B"/>
        <color rgb="FFFFEB84"/>
        <color rgb="FF63BE7B"/>
      </colorScale>
    </cfRule>
    <cfRule type="colorScale" priority="35203">
      <colorScale>
        <cfvo type="min" val="0"/>
        <cfvo type="percentile" val="50"/>
        <cfvo type="max" val="0"/>
        <color rgb="FFF8696B"/>
        <color rgb="FFFFEB84"/>
        <color rgb="FF63BE7B"/>
      </colorScale>
    </cfRule>
  </conditionalFormatting>
  <conditionalFormatting sqref="J66">
    <cfRule type="cellIs" dxfId="2248" priority="35605" operator="equal">
      <formula>5</formula>
    </cfRule>
    <cfRule type="cellIs" dxfId="2247" priority="35606" operator="equal">
      <formula>4</formula>
    </cfRule>
    <cfRule type="cellIs" dxfId="2246" priority="35607" operator="equal">
      <formula>1</formula>
    </cfRule>
    <cfRule type="colorScale" priority="35610">
      <colorScale>
        <cfvo type="min" val="0"/>
        <cfvo type="percentile" val="50"/>
        <cfvo type="max" val="0"/>
        <color rgb="FFF8696B"/>
        <color rgb="FFFFEB84"/>
        <color rgb="FF63BE7B"/>
      </colorScale>
    </cfRule>
    <cfRule type="colorScale" priority="35611">
      <colorScale>
        <cfvo type="num" val="1"/>
        <cfvo type="num" val="2"/>
        <cfvo type="num" val="3"/>
        <color rgb="FFF8696B"/>
        <color rgb="FFFFEB84"/>
        <color rgb="FF63BE7B"/>
      </colorScale>
    </cfRule>
    <cfRule type="colorScale" priority="35612">
      <colorScale>
        <cfvo type="num" val="1"/>
        <cfvo type="num" val="2"/>
        <cfvo type="num" val="3"/>
        <color rgb="FFF8696B"/>
        <color rgb="FFFFEB84"/>
        <color rgb="FF63BE7B"/>
      </colorScale>
    </cfRule>
    <cfRule type="colorScale" priority="35613">
      <colorScale>
        <cfvo type="num" val="1"/>
        <cfvo type="num" val="2"/>
        <cfvo type="num" val="3"/>
        <color rgb="FFF8696B"/>
        <color rgb="FFFFEB84"/>
        <color rgb="FF63BE7B"/>
      </colorScale>
    </cfRule>
    <cfRule type="colorScale" priority="35614">
      <colorScale>
        <cfvo type="num" val="1"/>
        <cfvo type="num" val="2"/>
        <cfvo type="num" val="3"/>
        <color rgb="FFF8696B"/>
        <color rgb="FFFFEB84"/>
        <color rgb="FF63BE7B"/>
      </colorScale>
    </cfRule>
    <cfRule type="colorScale" priority="35615">
      <colorScale>
        <cfvo type="num" val="1"/>
        <cfvo type="num" val="2"/>
        <cfvo type="num" val="3"/>
        <color rgb="FFF8696B"/>
        <color rgb="FFFFEB84"/>
        <color rgb="FF63BE7B"/>
      </colorScale>
    </cfRule>
    <cfRule type="colorScale" priority="35616">
      <colorScale>
        <cfvo type="num" val="1"/>
        <cfvo type="num" val="2"/>
        <cfvo type="num" val="3"/>
        <color rgb="FFF8696B"/>
        <color rgb="FFFFEB84"/>
        <color rgb="FF63BE7B"/>
      </colorScale>
    </cfRule>
  </conditionalFormatting>
  <conditionalFormatting sqref="J68">
    <cfRule type="cellIs" dxfId="2245" priority="35597" operator="equal">
      <formula>5</formula>
    </cfRule>
    <cfRule type="cellIs" dxfId="2244" priority="35598" operator="equal">
      <formula>4</formula>
    </cfRule>
    <cfRule type="cellIs" dxfId="2243" priority="35599" operator="equal">
      <formula>1</formula>
    </cfRule>
    <cfRule type="colorScale" priority="35602">
      <colorScale>
        <cfvo type="min" val="0"/>
        <cfvo type="percentile" val="50"/>
        <cfvo type="max" val="0"/>
        <color rgb="FFF8696B"/>
        <color rgb="FFFFEB84"/>
        <color rgb="FF63BE7B"/>
      </colorScale>
    </cfRule>
    <cfRule type="colorScale" priority="35603">
      <colorScale>
        <cfvo type="num" val="1"/>
        <cfvo type="num" val="2"/>
        <cfvo type="num" val="3"/>
        <color rgb="FFF8696B"/>
        <color rgb="FFFFEB84"/>
        <color rgb="FF63BE7B"/>
      </colorScale>
    </cfRule>
    <cfRule type="colorScale" priority="35604">
      <colorScale>
        <cfvo type="num" val="1"/>
        <cfvo type="num" val="2"/>
        <cfvo type="num" val="3"/>
        <color rgb="FFF8696B"/>
        <color rgb="FFFFEB84"/>
        <color rgb="FF63BE7B"/>
      </colorScale>
    </cfRule>
  </conditionalFormatting>
  <conditionalFormatting sqref="J72">
    <cfRule type="cellIs" dxfId="2242" priority="35188" operator="equal">
      <formula>5</formula>
    </cfRule>
    <cfRule type="cellIs" dxfId="2241" priority="35189" operator="equal">
      <formula>4</formula>
    </cfRule>
    <cfRule type="cellIs" dxfId="2240" priority="35190" operator="equal">
      <formula>1</formula>
    </cfRule>
    <cfRule type="colorScale" priority="35193">
      <colorScale>
        <cfvo type="num" val="1"/>
        <cfvo type="num" val="2"/>
        <cfvo type="num" val="3"/>
        <color rgb="FFF8696B"/>
        <color rgb="FFFFEB84"/>
        <color rgb="FF63BE7B"/>
      </colorScale>
    </cfRule>
    <cfRule type="colorScale" priority="35194">
      <colorScale>
        <cfvo type="num" val="1"/>
        <cfvo type="num" val="2"/>
        <cfvo type="num" val="3"/>
        <color rgb="FFF8696B"/>
        <color rgb="FFFFEB84"/>
        <color rgb="FF63BE7B"/>
      </colorScale>
    </cfRule>
    <cfRule type="colorScale" priority="35195">
      <colorScale>
        <cfvo type="min" val="0"/>
        <cfvo type="percentile" val="50"/>
        <cfvo type="max" val="0"/>
        <color rgb="FFF8696B"/>
        <color rgb="FFFFEB84"/>
        <color rgb="FF63BE7B"/>
      </colorScale>
    </cfRule>
  </conditionalFormatting>
  <conditionalFormatting sqref="O420 O448 O476 O503 X412 X440 X468 X495 O395 X387 O230 O308 O335 O363 X232 X294 X327 X355 O266 W268:AB268 X367 Y389 Z391 AD391 O13 O42 O103 O136 O167 O171 X5 X194 X91:Y91 X122:Y122 X155:Y155 AD72">
    <cfRule type="colorScale" priority="15324">
      <colorScale>
        <cfvo type="num" val="1"/>
        <cfvo type="num" val="2"/>
        <cfvo type="num" val="3"/>
        <color rgb="FFF8696B"/>
        <color rgb="FFFFEB84"/>
        <color rgb="FF63BE7B"/>
      </colorScale>
    </cfRule>
    <cfRule type="colorScale" priority="15325">
      <colorScale>
        <cfvo type="num" val="1"/>
        <cfvo type="num" val="2"/>
        <cfvo type="num" val="3"/>
        <color rgb="FFF8696B"/>
        <color rgb="FFFFEB84"/>
        <color rgb="FF63BE7B"/>
      </colorScale>
    </cfRule>
    <cfRule type="colorScale" priority="19595">
      <colorScale>
        <cfvo type="num" val="1"/>
        <cfvo type="num" val="2"/>
        <cfvo type="num" val="3"/>
        <color rgb="FFF8696B"/>
        <color rgb="FFFFEB84"/>
        <color rgb="FF63BE7B"/>
      </colorScale>
    </cfRule>
    <cfRule type="colorScale" priority="19596">
      <colorScale>
        <cfvo type="num" val="1"/>
        <cfvo type="num" val="2"/>
        <cfvo type="num" val="3"/>
        <color rgb="FFF8696B"/>
        <color rgb="FFFFEB84"/>
        <color rgb="FF63BE7B"/>
      </colorScale>
    </cfRule>
    <cfRule type="colorScale" priority="19600">
      <colorScale>
        <cfvo type="num" val="1"/>
        <cfvo type="num" val="2"/>
        <cfvo type="num" val="3"/>
        <color rgb="FFF8696B"/>
        <color rgb="FFFFEB84"/>
        <color rgb="FF63BE7B"/>
      </colorScale>
    </cfRule>
    <cfRule type="colorScale" priority="19601">
      <colorScale>
        <cfvo type="num" val="1"/>
        <cfvo type="num" val="2"/>
        <cfvo type="num" val="3"/>
        <color rgb="FFF8696B"/>
        <color rgb="FFFFEB84"/>
        <color rgb="FF63BE7B"/>
      </colorScale>
    </cfRule>
    <cfRule type="colorScale" priority="19603">
      <colorScale>
        <cfvo type="num" val="1"/>
        <cfvo type="num" val="2"/>
        <cfvo type="num" val="3"/>
        <color rgb="FFF8696B"/>
        <color rgb="FFFFEB84"/>
        <color rgb="FF63BE7B"/>
      </colorScale>
    </cfRule>
    <cfRule type="colorScale" priority="19607">
      <colorScale>
        <cfvo type="num" val="1"/>
        <cfvo type="num" val="2"/>
        <cfvo type="num" val="3"/>
        <color rgb="FFF8696B"/>
        <color rgb="FFFFEB84"/>
        <color rgb="FF63BE7B"/>
      </colorScale>
    </cfRule>
    <cfRule type="colorScale" priority="19757">
      <colorScale>
        <cfvo type="num" val="1"/>
        <cfvo type="num" val="2"/>
        <cfvo type="num" val="3"/>
        <color rgb="FFF8696B"/>
        <color rgb="FFFFEB84"/>
        <color rgb="FF63BE7B"/>
      </colorScale>
    </cfRule>
    <cfRule type="colorScale" priority="19846">
      <colorScale>
        <cfvo type="num" val="1"/>
        <cfvo type="num" val="2"/>
        <cfvo type="num" val="3"/>
        <color rgb="FFF8696B"/>
        <color rgb="FFFFEB84"/>
        <color rgb="FF63BE7B"/>
      </colorScale>
    </cfRule>
  </conditionalFormatting>
  <conditionalFormatting sqref="J226">
    <cfRule type="cellIs" dxfId="2239" priority="16251" operator="equal">
      <formula>5</formula>
    </cfRule>
    <cfRule type="cellIs" dxfId="2238" priority="16252" operator="equal">
      <formula>4</formula>
    </cfRule>
    <cfRule type="cellIs" dxfId="2237" priority="16253" operator="equal">
      <formula>1</formula>
    </cfRule>
    <cfRule type="cellIs" dxfId="2236" priority="16254" operator="equal">
      <formula>3</formula>
    </cfRule>
    <cfRule type="colorScale" priority="16256">
      <colorScale>
        <cfvo type="min" val="0"/>
        <cfvo type="percentile" val="50"/>
        <cfvo type="max" val="0"/>
        <color rgb="FFF8696B"/>
        <color rgb="FFFFEB84"/>
        <color rgb="FF63BE7B"/>
      </colorScale>
    </cfRule>
    <cfRule type="colorScale" priority="16257">
      <colorScale>
        <cfvo type="num" val="1"/>
        <cfvo type="num" val="2"/>
        <cfvo type="num" val="3"/>
        <color rgb="FFF8696B"/>
        <color rgb="FFFFEB84"/>
        <color rgb="FF63BE7B"/>
      </colorScale>
    </cfRule>
    <cfRule type="colorScale" priority="16258">
      <colorScale>
        <cfvo type="num" val="1"/>
        <cfvo type="num" val="2"/>
        <cfvo type="num" val="3"/>
        <color rgb="FFF8696B"/>
        <color rgb="FFFFEB84"/>
        <color rgb="FF63BE7B"/>
      </colorScale>
    </cfRule>
    <cfRule type="colorScale" priority="16259">
      <colorScale>
        <cfvo type="num" val="1"/>
        <cfvo type="num" val="2"/>
        <cfvo type="num" val="3"/>
        <color rgb="FFF8696B"/>
        <color rgb="FFFFEB84"/>
        <color rgb="FF63BE7B"/>
      </colorScale>
    </cfRule>
    <cfRule type="colorScale" priority="16260">
      <colorScale>
        <cfvo type="num" val="1"/>
        <cfvo type="num" val="2"/>
        <cfvo type="num" val="3"/>
        <color rgb="FFF8696B"/>
        <color rgb="FFFFEB84"/>
        <color rgb="FF63BE7B"/>
      </colorScale>
    </cfRule>
    <cfRule type="colorScale" priority="16261">
      <colorScale>
        <cfvo type="num" val="1"/>
        <cfvo type="num" val="2"/>
        <cfvo type="num" val="3"/>
        <color rgb="FFF8696B"/>
        <color rgb="FFFFEB84"/>
        <color rgb="FF63BE7B"/>
      </colorScale>
    </cfRule>
    <cfRule type="colorScale" priority="16262">
      <colorScale>
        <cfvo type="num" val="1"/>
        <cfvo type="num" val="2"/>
        <cfvo type="num" val="3"/>
        <color rgb="FFF8696B"/>
        <color rgb="FFFFEB84"/>
        <color rgb="FF63BE7B"/>
      </colorScale>
    </cfRule>
  </conditionalFormatting>
  <conditionalFormatting sqref="J228">
    <cfRule type="cellIs" dxfId="2235" priority="16243" operator="equal">
      <formula>5</formula>
    </cfRule>
    <cfRule type="cellIs" dxfId="2234" priority="16244" operator="equal">
      <formula>4</formula>
    </cfRule>
    <cfRule type="cellIs" dxfId="2233" priority="16245" operator="equal">
      <formula>1</formula>
    </cfRule>
    <cfRule type="cellIs" dxfId="2232" priority="16246" operator="equal">
      <formula>3</formula>
    </cfRule>
    <cfRule type="colorScale" priority="16248">
      <colorScale>
        <cfvo type="min" val="0"/>
        <cfvo type="percentile" val="50"/>
        <cfvo type="max" val="0"/>
        <color rgb="FFF8696B"/>
        <color rgb="FFFFEB84"/>
        <color rgb="FF63BE7B"/>
      </colorScale>
    </cfRule>
    <cfRule type="colorScale" priority="16249">
      <colorScale>
        <cfvo type="num" val="1"/>
        <cfvo type="num" val="2"/>
        <cfvo type="num" val="3"/>
        <color rgb="FFF8696B"/>
        <color rgb="FFFFEB84"/>
        <color rgb="FF63BE7B"/>
      </colorScale>
    </cfRule>
    <cfRule type="colorScale" priority="16250">
      <colorScale>
        <cfvo type="num" val="1"/>
        <cfvo type="num" val="2"/>
        <cfvo type="num" val="3"/>
        <color rgb="FFF8696B"/>
        <color rgb="FFFFEB84"/>
        <color rgb="FF63BE7B"/>
      </colorScale>
    </cfRule>
  </conditionalFormatting>
  <conditionalFormatting sqref="J304">
    <cfRule type="cellIs" dxfId="2231" priority="20237" operator="equal">
      <formula>5</formula>
    </cfRule>
    <cfRule type="cellIs" dxfId="2230" priority="20238" operator="equal">
      <formula>4</formula>
    </cfRule>
    <cfRule type="cellIs" dxfId="2229" priority="20239" operator="equal">
      <formula>1</formula>
    </cfRule>
    <cfRule type="cellIs" dxfId="2228" priority="20240" operator="equal">
      <formula>3</formula>
    </cfRule>
    <cfRule type="colorScale" priority="20242">
      <colorScale>
        <cfvo type="min" val="0"/>
        <cfvo type="percentile" val="50"/>
        <cfvo type="max" val="0"/>
        <color rgb="FFF8696B"/>
        <color rgb="FFFFEB84"/>
        <color rgb="FF63BE7B"/>
      </colorScale>
    </cfRule>
    <cfRule type="colorScale" priority="20243">
      <colorScale>
        <cfvo type="num" val="1"/>
        <cfvo type="num" val="2"/>
        <cfvo type="num" val="3"/>
        <color rgb="FFF8696B"/>
        <color rgb="FFFFEB84"/>
        <color rgb="FF63BE7B"/>
      </colorScale>
    </cfRule>
    <cfRule type="colorScale" priority="20244">
      <colorScale>
        <cfvo type="num" val="1"/>
        <cfvo type="num" val="2"/>
        <cfvo type="num" val="3"/>
        <color rgb="FFF8696B"/>
        <color rgb="FFFFEB84"/>
        <color rgb="FF63BE7B"/>
      </colorScale>
    </cfRule>
    <cfRule type="colorScale" priority="20245">
      <colorScale>
        <cfvo type="num" val="1"/>
        <cfvo type="num" val="2"/>
        <cfvo type="num" val="3"/>
        <color rgb="FFF8696B"/>
        <color rgb="FFFFEB84"/>
        <color rgb="FF63BE7B"/>
      </colorScale>
    </cfRule>
    <cfRule type="colorScale" priority="20246">
      <colorScale>
        <cfvo type="num" val="1"/>
        <cfvo type="num" val="2"/>
        <cfvo type="num" val="3"/>
        <color rgb="FFF8696B"/>
        <color rgb="FFFFEB84"/>
        <color rgb="FF63BE7B"/>
      </colorScale>
    </cfRule>
    <cfRule type="colorScale" priority="20247">
      <colorScale>
        <cfvo type="num" val="1"/>
        <cfvo type="num" val="2"/>
        <cfvo type="num" val="3"/>
        <color rgb="FFF8696B"/>
        <color rgb="FFFFEB84"/>
        <color rgb="FF63BE7B"/>
      </colorScale>
    </cfRule>
    <cfRule type="colorScale" priority="20248">
      <colorScale>
        <cfvo type="num" val="1"/>
        <cfvo type="num" val="2"/>
        <cfvo type="num" val="3"/>
        <color rgb="FFF8696B"/>
        <color rgb="FFFFEB84"/>
        <color rgb="FF63BE7B"/>
      </colorScale>
    </cfRule>
  </conditionalFormatting>
  <conditionalFormatting sqref="J306">
    <cfRule type="cellIs" dxfId="2227" priority="20229" operator="equal">
      <formula>5</formula>
    </cfRule>
    <cfRule type="cellIs" dxfId="2226" priority="20230" operator="equal">
      <formula>4</formula>
    </cfRule>
    <cfRule type="cellIs" dxfId="2225" priority="20231" operator="equal">
      <formula>1</formula>
    </cfRule>
    <cfRule type="cellIs" dxfId="2224" priority="20232" operator="equal">
      <formula>3</formula>
    </cfRule>
    <cfRule type="colorScale" priority="20234">
      <colorScale>
        <cfvo type="min" val="0"/>
        <cfvo type="percentile" val="50"/>
        <cfvo type="max" val="0"/>
        <color rgb="FFF8696B"/>
        <color rgb="FFFFEB84"/>
        <color rgb="FF63BE7B"/>
      </colorScale>
    </cfRule>
    <cfRule type="colorScale" priority="20235">
      <colorScale>
        <cfvo type="num" val="1"/>
        <cfvo type="num" val="2"/>
        <cfvo type="num" val="3"/>
        <color rgb="FFF8696B"/>
        <color rgb="FFFFEB84"/>
        <color rgb="FF63BE7B"/>
      </colorScale>
    </cfRule>
    <cfRule type="colorScale" priority="20236">
      <colorScale>
        <cfvo type="num" val="1"/>
        <cfvo type="num" val="2"/>
        <cfvo type="num" val="3"/>
        <color rgb="FFF8696B"/>
        <color rgb="FFFFEB84"/>
        <color rgb="FF63BE7B"/>
      </colorScale>
    </cfRule>
  </conditionalFormatting>
  <conditionalFormatting sqref="J331">
    <cfRule type="cellIs" dxfId="2223" priority="21404" operator="equal">
      <formula>5</formula>
    </cfRule>
    <cfRule type="cellIs" dxfId="2222" priority="21405" operator="equal">
      <formula>4</formula>
    </cfRule>
    <cfRule type="cellIs" dxfId="2221" priority="21406" operator="equal">
      <formula>1</formula>
    </cfRule>
    <cfRule type="colorScale" priority="21409">
      <colorScale>
        <cfvo type="min" val="0"/>
        <cfvo type="percentile" val="50"/>
        <cfvo type="max" val="0"/>
        <color rgb="FFF8696B"/>
        <color rgb="FFFFEB84"/>
        <color rgb="FF63BE7B"/>
      </colorScale>
    </cfRule>
    <cfRule type="colorScale" priority="21410">
      <colorScale>
        <cfvo type="num" val="1"/>
        <cfvo type="num" val="2"/>
        <cfvo type="num" val="3"/>
        <color rgb="FFF8696B"/>
        <color rgb="FFFFEB84"/>
        <color rgb="FF63BE7B"/>
      </colorScale>
    </cfRule>
    <cfRule type="colorScale" priority="21411">
      <colorScale>
        <cfvo type="num" val="1"/>
        <cfvo type="num" val="2"/>
        <cfvo type="num" val="3"/>
        <color rgb="FFF8696B"/>
        <color rgb="FFFFEB84"/>
        <color rgb="FF63BE7B"/>
      </colorScale>
    </cfRule>
    <cfRule type="colorScale" priority="21412">
      <colorScale>
        <cfvo type="num" val="1"/>
        <cfvo type="num" val="2"/>
        <cfvo type="num" val="3"/>
        <color rgb="FFF8696B"/>
        <color rgb="FFFFEB84"/>
        <color rgb="FF63BE7B"/>
      </colorScale>
    </cfRule>
    <cfRule type="colorScale" priority="21413">
      <colorScale>
        <cfvo type="num" val="1"/>
        <cfvo type="num" val="2"/>
        <cfvo type="num" val="3"/>
        <color rgb="FFF8696B"/>
        <color rgb="FFFFEB84"/>
        <color rgb="FF63BE7B"/>
      </colorScale>
    </cfRule>
    <cfRule type="colorScale" priority="21414">
      <colorScale>
        <cfvo type="num" val="1"/>
        <cfvo type="num" val="2"/>
        <cfvo type="num" val="3"/>
        <color rgb="FFF8696B"/>
        <color rgb="FFFFEB84"/>
        <color rgb="FF63BE7B"/>
      </colorScale>
    </cfRule>
    <cfRule type="colorScale" priority="21415">
      <colorScale>
        <cfvo type="num" val="1"/>
        <cfvo type="num" val="2"/>
        <cfvo type="num" val="3"/>
        <color rgb="FFF8696B"/>
        <color rgb="FFFFEB84"/>
        <color rgb="FF63BE7B"/>
      </colorScale>
    </cfRule>
  </conditionalFormatting>
  <conditionalFormatting sqref="J333">
    <cfRule type="cellIs" dxfId="2220" priority="21396" operator="equal">
      <formula>5</formula>
    </cfRule>
    <cfRule type="cellIs" dxfId="2219" priority="21397" operator="equal">
      <formula>4</formula>
    </cfRule>
    <cfRule type="cellIs" dxfId="2218" priority="21398" operator="equal">
      <formula>1</formula>
    </cfRule>
    <cfRule type="colorScale" priority="21401">
      <colorScale>
        <cfvo type="min" val="0"/>
        <cfvo type="percentile" val="50"/>
        <cfvo type="max" val="0"/>
        <color rgb="FFF8696B"/>
        <color rgb="FFFFEB84"/>
        <color rgb="FF63BE7B"/>
      </colorScale>
    </cfRule>
    <cfRule type="colorScale" priority="21402">
      <colorScale>
        <cfvo type="num" val="1"/>
        <cfvo type="num" val="2"/>
        <cfvo type="num" val="3"/>
        <color rgb="FFF8696B"/>
        <color rgb="FFFFEB84"/>
        <color rgb="FF63BE7B"/>
      </colorScale>
    </cfRule>
    <cfRule type="colorScale" priority="21403">
      <colorScale>
        <cfvo type="num" val="1"/>
        <cfvo type="num" val="2"/>
        <cfvo type="num" val="3"/>
        <color rgb="FFF8696B"/>
        <color rgb="FFFFEB84"/>
        <color rgb="FF63BE7B"/>
      </colorScale>
    </cfRule>
  </conditionalFormatting>
  <conditionalFormatting sqref="J359">
    <cfRule type="cellIs" dxfId="2217" priority="18351" operator="equal">
      <formula>5</formula>
    </cfRule>
    <cfRule type="cellIs" dxfId="2216" priority="18352" operator="equal">
      <formula>4</formula>
    </cfRule>
    <cfRule type="cellIs" dxfId="2215" priority="18353" operator="equal">
      <formula>1</formula>
    </cfRule>
    <cfRule type="cellIs" dxfId="2214" priority="18354" operator="equal">
      <formula>3</formula>
    </cfRule>
    <cfRule type="colorScale" priority="18356">
      <colorScale>
        <cfvo type="min" val="0"/>
        <cfvo type="percentile" val="50"/>
        <cfvo type="max" val="0"/>
        <color rgb="FFF8696B"/>
        <color rgb="FFFFEB84"/>
        <color rgb="FF63BE7B"/>
      </colorScale>
    </cfRule>
    <cfRule type="colorScale" priority="18357">
      <colorScale>
        <cfvo type="num" val="1"/>
        <cfvo type="num" val="2"/>
        <cfvo type="num" val="3"/>
        <color rgb="FFF8696B"/>
        <color rgb="FFFFEB84"/>
        <color rgb="FF63BE7B"/>
      </colorScale>
    </cfRule>
    <cfRule type="colorScale" priority="18358">
      <colorScale>
        <cfvo type="num" val="1"/>
        <cfvo type="num" val="2"/>
        <cfvo type="num" val="3"/>
        <color rgb="FFF8696B"/>
        <color rgb="FFFFEB84"/>
        <color rgb="FF63BE7B"/>
      </colorScale>
    </cfRule>
    <cfRule type="colorScale" priority="18359">
      <colorScale>
        <cfvo type="num" val="1"/>
        <cfvo type="num" val="2"/>
        <cfvo type="num" val="3"/>
        <color rgb="FFF8696B"/>
        <color rgb="FFFFEB84"/>
        <color rgb="FF63BE7B"/>
      </colorScale>
    </cfRule>
    <cfRule type="colorScale" priority="18360">
      <colorScale>
        <cfvo type="num" val="1"/>
        <cfvo type="num" val="2"/>
        <cfvo type="num" val="3"/>
        <color rgb="FFF8696B"/>
        <color rgb="FFFFEB84"/>
        <color rgb="FF63BE7B"/>
      </colorScale>
    </cfRule>
    <cfRule type="colorScale" priority="18361">
      <colorScale>
        <cfvo type="num" val="1"/>
        <cfvo type="num" val="2"/>
        <cfvo type="num" val="3"/>
        <color rgb="FFF8696B"/>
        <color rgb="FFFFEB84"/>
        <color rgb="FF63BE7B"/>
      </colorScale>
    </cfRule>
    <cfRule type="colorScale" priority="18362">
      <colorScale>
        <cfvo type="num" val="1"/>
        <cfvo type="num" val="2"/>
        <cfvo type="num" val="3"/>
        <color rgb="FFF8696B"/>
        <color rgb="FFFFEB84"/>
        <color rgb="FF63BE7B"/>
      </colorScale>
    </cfRule>
  </conditionalFormatting>
  <conditionalFormatting sqref="J361">
    <cfRule type="cellIs" dxfId="2213" priority="18343" operator="equal">
      <formula>5</formula>
    </cfRule>
    <cfRule type="cellIs" dxfId="2212" priority="18344" operator="equal">
      <formula>4</formula>
    </cfRule>
    <cfRule type="cellIs" dxfId="2211" priority="18345" operator="equal">
      <formula>1</formula>
    </cfRule>
    <cfRule type="cellIs" dxfId="2210" priority="18346" operator="equal">
      <formula>3</formula>
    </cfRule>
    <cfRule type="colorScale" priority="18348">
      <colorScale>
        <cfvo type="min" val="0"/>
        <cfvo type="percentile" val="50"/>
        <cfvo type="max" val="0"/>
        <color rgb="FFF8696B"/>
        <color rgb="FFFFEB84"/>
        <color rgb="FF63BE7B"/>
      </colorScale>
    </cfRule>
    <cfRule type="colorScale" priority="18349">
      <colorScale>
        <cfvo type="num" val="1"/>
        <cfvo type="num" val="2"/>
        <cfvo type="num" val="3"/>
        <color rgb="FFF8696B"/>
        <color rgb="FFFFEB84"/>
        <color rgb="FF63BE7B"/>
      </colorScale>
    </cfRule>
    <cfRule type="colorScale" priority="18350">
      <colorScale>
        <cfvo type="num" val="1"/>
        <cfvo type="num" val="2"/>
        <cfvo type="num" val="3"/>
        <color rgb="FFF8696B"/>
        <color rgb="FFFFEB84"/>
        <color rgb="FF63BE7B"/>
      </colorScale>
    </cfRule>
  </conditionalFormatting>
  <conditionalFormatting sqref="J391">
    <cfRule type="cellIs" dxfId="2209" priority="11729" operator="equal">
      <formula>5</formula>
    </cfRule>
    <cfRule type="cellIs" dxfId="2208" priority="11730" operator="equal">
      <formula>4</formula>
    </cfRule>
    <cfRule type="cellIs" dxfId="2207" priority="11731" operator="equal">
      <formula>1</formula>
    </cfRule>
    <cfRule type="cellIs" dxfId="2206" priority="11732" operator="equal">
      <formula>3</formula>
    </cfRule>
    <cfRule type="colorScale" priority="11734">
      <colorScale>
        <cfvo type="min" val="0"/>
        <cfvo type="percentile" val="50"/>
        <cfvo type="max" val="0"/>
        <color rgb="FFF8696B"/>
        <color rgb="FFFFEB84"/>
        <color rgb="FF63BE7B"/>
      </colorScale>
    </cfRule>
    <cfRule type="colorScale" priority="11735">
      <colorScale>
        <cfvo type="num" val="1"/>
        <cfvo type="num" val="2"/>
        <cfvo type="num" val="3"/>
        <color rgb="FFF8696B"/>
        <color rgb="FFFFEB84"/>
        <color rgb="FF63BE7B"/>
      </colorScale>
    </cfRule>
    <cfRule type="colorScale" priority="11736">
      <colorScale>
        <cfvo type="num" val="1"/>
        <cfvo type="num" val="2"/>
        <cfvo type="num" val="3"/>
        <color rgb="FFF8696B"/>
        <color rgb="FFFFEB84"/>
        <color rgb="FF63BE7B"/>
      </colorScale>
    </cfRule>
    <cfRule type="colorScale" priority="11737">
      <colorScale>
        <cfvo type="num" val="1"/>
        <cfvo type="num" val="2"/>
        <cfvo type="num" val="3"/>
        <color rgb="FFF8696B"/>
        <color rgb="FFFFEB84"/>
        <color rgb="FF63BE7B"/>
      </colorScale>
    </cfRule>
    <cfRule type="colorScale" priority="11738">
      <colorScale>
        <cfvo type="num" val="1"/>
        <cfvo type="num" val="2"/>
        <cfvo type="num" val="3"/>
        <color rgb="FFF8696B"/>
        <color rgb="FFFFEB84"/>
        <color rgb="FF63BE7B"/>
      </colorScale>
    </cfRule>
    <cfRule type="colorScale" priority="11739">
      <colorScale>
        <cfvo type="num" val="1"/>
        <cfvo type="num" val="2"/>
        <cfvo type="num" val="3"/>
        <color rgb="FFF8696B"/>
        <color rgb="FFFFEB84"/>
        <color rgb="FF63BE7B"/>
      </colorScale>
    </cfRule>
    <cfRule type="colorScale" priority="11740">
      <colorScale>
        <cfvo type="num" val="1"/>
        <cfvo type="num" val="2"/>
        <cfvo type="num" val="3"/>
        <color rgb="FFF8696B"/>
        <color rgb="FFFFEB84"/>
        <color rgb="FF63BE7B"/>
      </colorScale>
    </cfRule>
  </conditionalFormatting>
  <conditionalFormatting sqref="J393">
    <cfRule type="cellIs" dxfId="2205" priority="11722" operator="equal">
      <formula>5</formula>
    </cfRule>
    <cfRule type="cellIs" dxfId="2204" priority="11723" operator="equal">
      <formula>4</formula>
    </cfRule>
    <cfRule type="cellIs" dxfId="2203" priority="11724" operator="equal">
      <formula>1</formula>
    </cfRule>
    <cfRule type="cellIs" dxfId="2202" priority="11725" operator="equal">
      <formula>3</formula>
    </cfRule>
    <cfRule type="colorScale" priority="11726">
      <colorScale>
        <cfvo type="min" val="0"/>
        <cfvo type="percentile" val="50"/>
        <cfvo type="max" val="0"/>
        <color rgb="FFF8696B"/>
        <color rgb="FFFFEB84"/>
        <color rgb="FF63BE7B"/>
      </colorScale>
    </cfRule>
    <cfRule type="colorScale" priority="11727">
      <colorScale>
        <cfvo type="num" val="1"/>
        <cfvo type="num" val="2"/>
        <cfvo type="num" val="3"/>
        <color rgb="FFF8696B"/>
        <color rgb="FFFFEB84"/>
        <color rgb="FF63BE7B"/>
      </colorScale>
    </cfRule>
    <cfRule type="colorScale" priority="11728">
      <colorScale>
        <cfvo type="num" val="1"/>
        <cfvo type="num" val="2"/>
        <cfvo type="num" val="3"/>
        <color rgb="FFF8696B"/>
        <color rgb="FFFFEB84"/>
        <color rgb="FF63BE7B"/>
      </colorScale>
    </cfRule>
  </conditionalFormatting>
  <conditionalFormatting sqref="J416">
    <cfRule type="cellIs" dxfId="2201" priority="10580" operator="equal">
      <formula>5</formula>
    </cfRule>
    <cfRule type="cellIs" dxfId="2200" priority="10581" operator="equal">
      <formula>4</formula>
    </cfRule>
    <cfRule type="cellIs" dxfId="2199" priority="10582" operator="equal">
      <formula>1</formula>
    </cfRule>
    <cfRule type="cellIs" dxfId="2198" priority="10583" operator="equal">
      <formula>3</formula>
    </cfRule>
    <cfRule type="colorScale" priority="10585">
      <colorScale>
        <cfvo type="min" val="0"/>
        <cfvo type="percentile" val="50"/>
        <cfvo type="max" val="0"/>
        <color rgb="FFF8696B"/>
        <color rgb="FFFFEB84"/>
        <color rgb="FF63BE7B"/>
      </colorScale>
    </cfRule>
    <cfRule type="colorScale" priority="10586">
      <colorScale>
        <cfvo type="num" val="1"/>
        <cfvo type="num" val="2"/>
        <cfvo type="num" val="3"/>
        <color rgb="FFF8696B"/>
        <color rgb="FFFFEB84"/>
        <color rgb="FF63BE7B"/>
      </colorScale>
    </cfRule>
    <cfRule type="colorScale" priority="10587">
      <colorScale>
        <cfvo type="num" val="1"/>
        <cfvo type="num" val="2"/>
        <cfvo type="num" val="3"/>
        <color rgb="FFF8696B"/>
        <color rgb="FFFFEB84"/>
        <color rgb="FF63BE7B"/>
      </colorScale>
    </cfRule>
    <cfRule type="colorScale" priority="10588">
      <colorScale>
        <cfvo type="num" val="1"/>
        <cfvo type="num" val="2"/>
        <cfvo type="num" val="3"/>
        <color rgb="FFF8696B"/>
        <color rgb="FFFFEB84"/>
        <color rgb="FF63BE7B"/>
      </colorScale>
    </cfRule>
    <cfRule type="colorScale" priority="10589">
      <colorScale>
        <cfvo type="num" val="1"/>
        <cfvo type="num" val="2"/>
        <cfvo type="num" val="3"/>
        <color rgb="FFF8696B"/>
        <color rgb="FFFFEB84"/>
        <color rgb="FF63BE7B"/>
      </colorScale>
    </cfRule>
    <cfRule type="colorScale" priority="10590">
      <colorScale>
        <cfvo type="num" val="1"/>
        <cfvo type="num" val="2"/>
        <cfvo type="num" val="3"/>
        <color rgb="FFF8696B"/>
        <color rgb="FFFFEB84"/>
        <color rgb="FF63BE7B"/>
      </colorScale>
    </cfRule>
    <cfRule type="colorScale" priority="10591">
      <colorScale>
        <cfvo type="num" val="1"/>
        <cfvo type="num" val="2"/>
        <cfvo type="num" val="3"/>
        <color rgb="FFF8696B"/>
        <color rgb="FFFFEB84"/>
        <color rgb="FF63BE7B"/>
      </colorScale>
    </cfRule>
  </conditionalFormatting>
  <conditionalFormatting sqref="J418">
    <cfRule type="cellIs" dxfId="2197" priority="10573" operator="equal">
      <formula>5</formula>
    </cfRule>
    <cfRule type="cellIs" dxfId="2196" priority="10574" operator="equal">
      <formula>4</formula>
    </cfRule>
    <cfRule type="cellIs" dxfId="2195" priority="10575" operator="equal">
      <formula>1</formula>
    </cfRule>
    <cfRule type="cellIs" dxfId="2194" priority="10576" operator="equal">
      <formula>3</formula>
    </cfRule>
    <cfRule type="colorScale" priority="10577">
      <colorScale>
        <cfvo type="min" val="0"/>
        <cfvo type="percentile" val="50"/>
        <cfvo type="max" val="0"/>
        <color rgb="FFF8696B"/>
        <color rgb="FFFFEB84"/>
        <color rgb="FF63BE7B"/>
      </colorScale>
    </cfRule>
    <cfRule type="colorScale" priority="10578">
      <colorScale>
        <cfvo type="num" val="1"/>
        <cfvo type="num" val="2"/>
        <cfvo type="num" val="3"/>
        <color rgb="FFF8696B"/>
        <color rgb="FFFFEB84"/>
        <color rgb="FF63BE7B"/>
      </colorScale>
    </cfRule>
    <cfRule type="colorScale" priority="10579">
      <colorScale>
        <cfvo type="num" val="1"/>
        <cfvo type="num" val="2"/>
        <cfvo type="num" val="3"/>
        <color rgb="FFF8696B"/>
        <color rgb="FFFFEB84"/>
        <color rgb="FF63BE7B"/>
      </colorScale>
    </cfRule>
  </conditionalFormatting>
  <conditionalFormatting sqref="J444">
    <cfRule type="cellIs" dxfId="2193" priority="9466" operator="equal">
      <formula>5</formula>
    </cfRule>
    <cfRule type="cellIs" dxfId="2192" priority="9467" operator="equal">
      <formula>4</formula>
    </cfRule>
    <cfRule type="cellIs" dxfId="2191" priority="9468" operator="equal">
      <formula>1</formula>
    </cfRule>
    <cfRule type="cellIs" dxfId="2190" priority="9469" operator="equal">
      <formula>3</formula>
    </cfRule>
    <cfRule type="colorScale" priority="9471">
      <colorScale>
        <cfvo type="min" val="0"/>
        <cfvo type="percentile" val="50"/>
        <cfvo type="max" val="0"/>
        <color rgb="FFF8696B"/>
        <color rgb="FFFFEB84"/>
        <color rgb="FF63BE7B"/>
      </colorScale>
    </cfRule>
    <cfRule type="colorScale" priority="9472">
      <colorScale>
        <cfvo type="num" val="1"/>
        <cfvo type="num" val="2"/>
        <cfvo type="num" val="3"/>
        <color rgb="FFF8696B"/>
        <color rgb="FFFFEB84"/>
        <color rgb="FF63BE7B"/>
      </colorScale>
    </cfRule>
    <cfRule type="colorScale" priority="9473">
      <colorScale>
        <cfvo type="num" val="1"/>
        <cfvo type="num" val="2"/>
        <cfvo type="num" val="3"/>
        <color rgb="FFF8696B"/>
        <color rgb="FFFFEB84"/>
        <color rgb="FF63BE7B"/>
      </colorScale>
    </cfRule>
    <cfRule type="colorScale" priority="9474">
      <colorScale>
        <cfvo type="num" val="1"/>
        <cfvo type="num" val="2"/>
        <cfvo type="num" val="3"/>
        <color rgb="FFF8696B"/>
        <color rgb="FFFFEB84"/>
        <color rgb="FF63BE7B"/>
      </colorScale>
    </cfRule>
    <cfRule type="colorScale" priority="9475">
      <colorScale>
        <cfvo type="num" val="1"/>
        <cfvo type="num" val="2"/>
        <cfvo type="num" val="3"/>
        <color rgb="FFF8696B"/>
        <color rgb="FFFFEB84"/>
        <color rgb="FF63BE7B"/>
      </colorScale>
    </cfRule>
    <cfRule type="colorScale" priority="9476">
      <colorScale>
        <cfvo type="num" val="1"/>
        <cfvo type="num" val="2"/>
        <cfvo type="num" val="3"/>
        <color rgb="FFF8696B"/>
        <color rgb="FFFFEB84"/>
        <color rgb="FF63BE7B"/>
      </colorScale>
    </cfRule>
    <cfRule type="colorScale" priority="9477">
      <colorScale>
        <cfvo type="num" val="1"/>
        <cfvo type="num" val="2"/>
        <cfvo type="num" val="3"/>
        <color rgb="FFF8696B"/>
        <color rgb="FFFFEB84"/>
        <color rgb="FF63BE7B"/>
      </colorScale>
    </cfRule>
  </conditionalFormatting>
  <conditionalFormatting sqref="J446">
    <cfRule type="cellIs" dxfId="2189" priority="9459" operator="equal">
      <formula>5</formula>
    </cfRule>
    <cfRule type="cellIs" dxfId="2188" priority="9460" operator="equal">
      <formula>4</formula>
    </cfRule>
    <cfRule type="cellIs" dxfId="2187" priority="9461" operator="equal">
      <formula>1</formula>
    </cfRule>
    <cfRule type="cellIs" dxfId="2186" priority="9462" operator="equal">
      <formula>3</formula>
    </cfRule>
    <cfRule type="colorScale" priority="9463">
      <colorScale>
        <cfvo type="min" val="0"/>
        <cfvo type="percentile" val="50"/>
        <cfvo type="max" val="0"/>
        <color rgb="FFF8696B"/>
        <color rgb="FFFFEB84"/>
        <color rgb="FF63BE7B"/>
      </colorScale>
    </cfRule>
    <cfRule type="colorScale" priority="9464">
      <colorScale>
        <cfvo type="num" val="1"/>
        <cfvo type="num" val="2"/>
        <cfvo type="num" val="3"/>
        <color rgb="FFF8696B"/>
        <color rgb="FFFFEB84"/>
        <color rgb="FF63BE7B"/>
      </colorScale>
    </cfRule>
    <cfRule type="colorScale" priority="9465">
      <colorScale>
        <cfvo type="num" val="1"/>
        <cfvo type="num" val="2"/>
        <cfvo type="num" val="3"/>
        <color rgb="FFF8696B"/>
        <color rgb="FFFFEB84"/>
        <color rgb="FF63BE7B"/>
      </colorScale>
    </cfRule>
  </conditionalFormatting>
  <conditionalFormatting sqref="J472">
    <cfRule type="cellIs" dxfId="2185" priority="8317" operator="equal">
      <formula>5</formula>
    </cfRule>
    <cfRule type="cellIs" dxfId="2184" priority="8318" operator="equal">
      <formula>4</formula>
    </cfRule>
    <cfRule type="cellIs" dxfId="2183" priority="8319" operator="equal">
      <formula>1</formula>
    </cfRule>
    <cfRule type="cellIs" dxfId="2182" priority="8320" operator="equal">
      <formula>3</formula>
    </cfRule>
    <cfRule type="colorScale" priority="8322">
      <colorScale>
        <cfvo type="min" val="0"/>
        <cfvo type="percentile" val="50"/>
        <cfvo type="max" val="0"/>
        <color rgb="FFF8696B"/>
        <color rgb="FFFFEB84"/>
        <color rgb="FF63BE7B"/>
      </colorScale>
    </cfRule>
    <cfRule type="colorScale" priority="8323">
      <colorScale>
        <cfvo type="num" val="1"/>
        <cfvo type="num" val="2"/>
        <cfvo type="num" val="3"/>
        <color rgb="FFF8696B"/>
        <color rgb="FFFFEB84"/>
        <color rgb="FF63BE7B"/>
      </colorScale>
    </cfRule>
    <cfRule type="colorScale" priority="8324">
      <colorScale>
        <cfvo type="num" val="1"/>
        <cfvo type="num" val="2"/>
        <cfvo type="num" val="3"/>
        <color rgb="FFF8696B"/>
        <color rgb="FFFFEB84"/>
        <color rgb="FF63BE7B"/>
      </colorScale>
    </cfRule>
    <cfRule type="colorScale" priority="8325">
      <colorScale>
        <cfvo type="num" val="1"/>
        <cfvo type="num" val="2"/>
        <cfvo type="num" val="3"/>
        <color rgb="FFF8696B"/>
        <color rgb="FFFFEB84"/>
        <color rgb="FF63BE7B"/>
      </colorScale>
    </cfRule>
    <cfRule type="colorScale" priority="8326">
      <colorScale>
        <cfvo type="num" val="1"/>
        <cfvo type="num" val="2"/>
        <cfvo type="num" val="3"/>
        <color rgb="FFF8696B"/>
        <color rgb="FFFFEB84"/>
        <color rgb="FF63BE7B"/>
      </colorScale>
    </cfRule>
    <cfRule type="colorScale" priority="8327">
      <colorScale>
        <cfvo type="num" val="1"/>
        <cfvo type="num" val="2"/>
        <cfvo type="num" val="3"/>
        <color rgb="FFF8696B"/>
        <color rgb="FFFFEB84"/>
        <color rgb="FF63BE7B"/>
      </colorScale>
    </cfRule>
    <cfRule type="colorScale" priority="8328">
      <colorScale>
        <cfvo type="num" val="1"/>
        <cfvo type="num" val="2"/>
        <cfvo type="num" val="3"/>
        <color rgb="FFF8696B"/>
        <color rgb="FFFFEB84"/>
        <color rgb="FF63BE7B"/>
      </colorScale>
    </cfRule>
  </conditionalFormatting>
  <conditionalFormatting sqref="J474">
    <cfRule type="cellIs" dxfId="2181" priority="8310" operator="equal">
      <formula>5</formula>
    </cfRule>
    <cfRule type="cellIs" dxfId="2180" priority="8311" operator="equal">
      <formula>4</formula>
    </cfRule>
    <cfRule type="cellIs" dxfId="2179" priority="8312" operator="equal">
      <formula>1</formula>
    </cfRule>
    <cfRule type="cellIs" dxfId="2178" priority="8313" operator="equal">
      <formula>3</formula>
    </cfRule>
    <cfRule type="colorScale" priority="8314">
      <colorScale>
        <cfvo type="min" val="0"/>
        <cfvo type="percentile" val="50"/>
        <cfvo type="max" val="0"/>
        <color rgb="FFF8696B"/>
        <color rgb="FFFFEB84"/>
        <color rgb="FF63BE7B"/>
      </colorScale>
    </cfRule>
    <cfRule type="colorScale" priority="8315">
      <colorScale>
        <cfvo type="num" val="1"/>
        <cfvo type="num" val="2"/>
        <cfvo type="num" val="3"/>
        <color rgb="FFF8696B"/>
        <color rgb="FFFFEB84"/>
        <color rgb="FF63BE7B"/>
      </colorScale>
    </cfRule>
    <cfRule type="colorScale" priority="8316">
      <colorScale>
        <cfvo type="num" val="1"/>
        <cfvo type="num" val="2"/>
        <cfvo type="num" val="3"/>
        <color rgb="FFF8696B"/>
        <color rgb="FFFFEB84"/>
        <color rgb="FF63BE7B"/>
      </colorScale>
    </cfRule>
  </conditionalFormatting>
  <conditionalFormatting sqref="J499">
    <cfRule type="cellIs" dxfId="2177" priority="7202" operator="equal">
      <formula>5</formula>
    </cfRule>
    <cfRule type="cellIs" dxfId="2176" priority="7203" operator="equal">
      <formula>4</formula>
    </cfRule>
    <cfRule type="cellIs" dxfId="2175" priority="7204" operator="equal">
      <formula>1</formula>
    </cfRule>
    <cfRule type="cellIs" dxfId="2174" priority="7205" operator="equal">
      <formula>3</formula>
    </cfRule>
    <cfRule type="colorScale" priority="7207">
      <colorScale>
        <cfvo type="min" val="0"/>
        <cfvo type="percentile" val="50"/>
        <cfvo type="max" val="0"/>
        <color rgb="FFF8696B"/>
        <color rgb="FFFFEB84"/>
        <color rgb="FF63BE7B"/>
      </colorScale>
    </cfRule>
    <cfRule type="colorScale" priority="7208">
      <colorScale>
        <cfvo type="num" val="1"/>
        <cfvo type="num" val="2"/>
        <cfvo type="num" val="3"/>
        <color rgb="FFF8696B"/>
        <color rgb="FFFFEB84"/>
        <color rgb="FF63BE7B"/>
      </colorScale>
    </cfRule>
    <cfRule type="colorScale" priority="7209">
      <colorScale>
        <cfvo type="num" val="1"/>
        <cfvo type="num" val="2"/>
        <cfvo type="num" val="3"/>
        <color rgb="FFF8696B"/>
        <color rgb="FFFFEB84"/>
        <color rgb="FF63BE7B"/>
      </colorScale>
    </cfRule>
    <cfRule type="colorScale" priority="7210">
      <colorScale>
        <cfvo type="num" val="1"/>
        <cfvo type="num" val="2"/>
        <cfvo type="num" val="3"/>
        <color rgb="FFF8696B"/>
        <color rgb="FFFFEB84"/>
        <color rgb="FF63BE7B"/>
      </colorScale>
    </cfRule>
    <cfRule type="colorScale" priority="7211">
      <colorScale>
        <cfvo type="num" val="1"/>
        <cfvo type="num" val="2"/>
        <cfvo type="num" val="3"/>
        <color rgb="FFF8696B"/>
        <color rgb="FFFFEB84"/>
        <color rgb="FF63BE7B"/>
      </colorScale>
    </cfRule>
    <cfRule type="colorScale" priority="7212">
      <colorScale>
        <cfvo type="num" val="1"/>
        <cfvo type="num" val="2"/>
        <cfvo type="num" val="3"/>
        <color rgb="FFF8696B"/>
        <color rgb="FFFFEB84"/>
        <color rgb="FF63BE7B"/>
      </colorScale>
    </cfRule>
    <cfRule type="colorScale" priority="7213">
      <colorScale>
        <cfvo type="num" val="1"/>
        <cfvo type="num" val="2"/>
        <cfvo type="num" val="3"/>
        <color rgb="FFF8696B"/>
        <color rgb="FFFFEB84"/>
        <color rgb="FF63BE7B"/>
      </colorScale>
    </cfRule>
  </conditionalFormatting>
  <conditionalFormatting sqref="J501">
    <cfRule type="cellIs" dxfId="2173" priority="7195" operator="equal">
      <formula>5</formula>
    </cfRule>
    <cfRule type="cellIs" dxfId="2172" priority="7196" operator="equal">
      <formula>4</formula>
    </cfRule>
    <cfRule type="cellIs" dxfId="2171" priority="7197" operator="equal">
      <formula>1</formula>
    </cfRule>
    <cfRule type="cellIs" dxfId="2170" priority="7198" operator="equal">
      <formula>3</formula>
    </cfRule>
    <cfRule type="colorScale" priority="7199">
      <colorScale>
        <cfvo type="min" val="0"/>
        <cfvo type="percentile" val="50"/>
        <cfvo type="max" val="0"/>
        <color rgb="FFF8696B"/>
        <color rgb="FFFFEB84"/>
        <color rgb="FF63BE7B"/>
      </colorScale>
    </cfRule>
    <cfRule type="colorScale" priority="7200">
      <colorScale>
        <cfvo type="num" val="1"/>
        <cfvo type="num" val="2"/>
        <cfvo type="num" val="3"/>
        <color rgb="FFF8696B"/>
        <color rgb="FFFFEB84"/>
        <color rgb="FF63BE7B"/>
      </colorScale>
    </cfRule>
    <cfRule type="colorScale" priority="7201">
      <colorScale>
        <cfvo type="num" val="1"/>
        <cfvo type="num" val="2"/>
        <cfvo type="num" val="3"/>
        <color rgb="FFF8696B"/>
        <color rgb="FFFFEB84"/>
        <color rgb="FF63BE7B"/>
      </colorScale>
    </cfRule>
  </conditionalFormatting>
  <conditionalFormatting sqref="K38">
    <cfRule type="cellIs" dxfId="2169" priority="36395" operator="equal">
      <formula>5</formula>
    </cfRule>
    <cfRule type="cellIs" dxfId="2168" priority="36396" operator="equal">
      <formula>4</formula>
    </cfRule>
    <cfRule type="cellIs" dxfId="2167" priority="36397" operator="equal">
      <formula>1</formula>
    </cfRule>
    <cfRule type="colorScale" priority="36400">
      <colorScale>
        <cfvo type="min" val="0"/>
        <cfvo type="percentile" val="50"/>
        <cfvo type="max" val="0"/>
        <color rgb="FFF8696B"/>
        <color rgb="FFFFEB84"/>
        <color rgb="FF63BE7B"/>
      </colorScale>
    </cfRule>
    <cfRule type="colorScale" priority="36401">
      <colorScale>
        <cfvo type="num" val="1"/>
        <cfvo type="num" val="2"/>
        <cfvo type="num" val="3"/>
        <color rgb="FFF8696B"/>
        <color rgb="FFFFEB84"/>
        <color rgb="FF63BE7B"/>
      </colorScale>
    </cfRule>
    <cfRule type="colorScale" priority="36402">
      <colorScale>
        <cfvo type="num" val="1"/>
        <cfvo type="num" val="2"/>
        <cfvo type="num" val="3"/>
        <color rgb="FFF8696B"/>
        <color rgb="FFFFEB84"/>
        <color rgb="FF63BE7B"/>
      </colorScale>
    </cfRule>
    <cfRule type="colorScale" priority="36403">
      <colorScale>
        <cfvo type="num" val="1"/>
        <cfvo type="num" val="2"/>
        <cfvo type="num" val="3"/>
        <color rgb="FFF8696B"/>
        <color rgb="FFFFEB84"/>
        <color rgb="FF63BE7B"/>
      </colorScale>
    </cfRule>
    <cfRule type="colorScale" priority="36404">
      <colorScale>
        <cfvo type="num" val="1"/>
        <cfvo type="num" val="2"/>
        <cfvo type="num" val="3"/>
        <color rgb="FFF8696B"/>
        <color rgb="FFFFEB84"/>
        <color rgb="FF63BE7B"/>
      </colorScale>
    </cfRule>
    <cfRule type="colorScale" priority="36405">
      <colorScale>
        <cfvo type="num" val="1"/>
        <cfvo type="num" val="2"/>
        <cfvo type="num" val="3"/>
        <color rgb="FFF8696B"/>
        <color rgb="FFFFEB84"/>
        <color rgb="FF63BE7B"/>
      </colorScale>
    </cfRule>
    <cfRule type="colorScale" priority="36406">
      <colorScale>
        <cfvo type="num" val="1"/>
        <cfvo type="num" val="2"/>
        <cfvo type="num" val="3"/>
        <color rgb="FFF8696B"/>
        <color rgb="FFFFEB84"/>
        <color rgb="FF63BE7B"/>
      </colorScale>
    </cfRule>
  </conditionalFormatting>
  <conditionalFormatting sqref="K42">
    <cfRule type="cellIs" dxfId="2166" priority="36299" operator="equal">
      <formula>5</formula>
    </cfRule>
    <cfRule type="cellIs" dxfId="2165" priority="36300" operator="equal">
      <formula>4</formula>
    </cfRule>
    <cfRule type="cellIs" dxfId="2164" priority="36301" operator="equal">
      <formula>1</formula>
    </cfRule>
    <cfRule type="cellIs" dxfId="2163" priority="36302" operator="equal">
      <formula>3</formula>
    </cfRule>
    <cfRule type="cellIs" dxfId="2162" priority="36303" operator="equal">
      <formula>2</formula>
    </cfRule>
    <cfRule type="colorScale" priority="36304">
      <colorScale>
        <cfvo type="num" val="1"/>
        <cfvo type="num" val="2"/>
        <cfvo type="num" val="3"/>
        <color rgb="FFF8696B"/>
        <color rgb="FFFFEB84"/>
        <color rgb="FF63BE7B"/>
      </colorScale>
    </cfRule>
    <cfRule type="colorScale" priority="36305">
      <colorScale>
        <cfvo type="num" val="1"/>
        <cfvo type="num" val="2"/>
        <cfvo type="num" val="3"/>
        <color rgb="FFF8696B"/>
        <color rgb="FFFFEB84"/>
        <color rgb="FF63BE7B"/>
      </colorScale>
    </cfRule>
    <cfRule type="colorScale" priority="36306">
      <colorScale>
        <cfvo type="min" val="0"/>
        <cfvo type="percentile" val="50"/>
        <cfvo type="max" val="0"/>
        <color rgb="FFF8696B"/>
        <color rgb="FFFFEB84"/>
        <color rgb="FF63BE7B"/>
      </colorScale>
    </cfRule>
  </conditionalFormatting>
  <conditionalFormatting sqref="K66">
    <cfRule type="cellIs" dxfId="2161" priority="35374" operator="equal">
      <formula>5</formula>
    </cfRule>
    <cfRule type="cellIs" dxfId="2160" priority="35375" operator="equal">
      <formula>4</formula>
    </cfRule>
    <cfRule type="cellIs" dxfId="2159" priority="35376" operator="equal">
      <formula>1</formula>
    </cfRule>
    <cfRule type="colorScale" priority="35379">
      <colorScale>
        <cfvo type="min" val="0"/>
        <cfvo type="percentile" val="50"/>
        <cfvo type="max" val="0"/>
        <color rgb="FFF8696B"/>
        <color rgb="FFFFEB84"/>
        <color rgb="FF63BE7B"/>
      </colorScale>
    </cfRule>
    <cfRule type="colorScale" priority="35380">
      <colorScale>
        <cfvo type="num" val="1"/>
        <cfvo type="num" val="2"/>
        <cfvo type="num" val="3"/>
        <color rgb="FFF8696B"/>
        <color rgb="FFFFEB84"/>
        <color rgb="FF63BE7B"/>
      </colorScale>
    </cfRule>
    <cfRule type="colorScale" priority="35381">
      <colorScale>
        <cfvo type="num" val="1"/>
        <cfvo type="num" val="2"/>
        <cfvo type="num" val="3"/>
        <color rgb="FFF8696B"/>
        <color rgb="FFFFEB84"/>
        <color rgb="FF63BE7B"/>
      </colorScale>
    </cfRule>
    <cfRule type="colorScale" priority="35382">
      <colorScale>
        <cfvo type="num" val="1"/>
        <cfvo type="num" val="2"/>
        <cfvo type="num" val="3"/>
        <color rgb="FFF8696B"/>
        <color rgb="FFFFEB84"/>
        <color rgb="FF63BE7B"/>
      </colorScale>
    </cfRule>
    <cfRule type="colorScale" priority="35383">
      <colorScale>
        <cfvo type="num" val="1"/>
        <cfvo type="num" val="2"/>
        <cfvo type="num" val="3"/>
        <color rgb="FFF8696B"/>
        <color rgb="FFFFEB84"/>
        <color rgb="FF63BE7B"/>
      </colorScale>
    </cfRule>
    <cfRule type="colorScale" priority="35384">
      <colorScale>
        <cfvo type="num" val="1"/>
        <cfvo type="num" val="2"/>
        <cfvo type="num" val="3"/>
        <color rgb="FFF8696B"/>
        <color rgb="FFFFEB84"/>
        <color rgb="FF63BE7B"/>
      </colorScale>
    </cfRule>
    <cfRule type="colorScale" priority="35385">
      <colorScale>
        <cfvo type="num" val="1"/>
        <cfvo type="num" val="2"/>
        <cfvo type="num" val="3"/>
        <color rgb="FFF8696B"/>
        <color rgb="FFFFEB84"/>
        <color rgb="FF63BE7B"/>
      </colorScale>
    </cfRule>
  </conditionalFormatting>
  <conditionalFormatting sqref="M7">
    <cfRule type="cellIs" dxfId="2158" priority="40041" operator="equal">
      <formula>5</formula>
    </cfRule>
    <cfRule type="cellIs" dxfId="2157" priority="40042" operator="equal">
      <formula>4</formula>
    </cfRule>
    <cfRule type="cellIs" dxfId="2156" priority="40043" operator="equal">
      <formula>1</formula>
    </cfRule>
    <cfRule type="cellIs" dxfId="2155" priority="40044" operator="equal">
      <formula>3</formula>
    </cfRule>
    <cfRule type="cellIs" dxfId="2154" priority="40045" operator="equal">
      <formula>2</formula>
    </cfRule>
    <cfRule type="colorScale" priority="40046">
      <colorScale>
        <cfvo type="min" val="0"/>
        <cfvo type="percentile" val="50"/>
        <cfvo type="max" val="0"/>
        <color rgb="FFF8696B"/>
        <color rgb="FFFFEB84"/>
        <color rgb="FF63BE7B"/>
      </colorScale>
    </cfRule>
    <cfRule type="colorScale" priority="40047">
      <colorScale>
        <cfvo type="num" val="1"/>
        <cfvo type="num" val="2"/>
        <cfvo type="num" val="3"/>
        <color rgb="FFF8696B"/>
        <color rgb="FFFFEB84"/>
        <color rgb="FF63BE7B"/>
      </colorScale>
    </cfRule>
    <cfRule type="colorScale" priority="40048">
      <colorScale>
        <cfvo type="num" val="1"/>
        <cfvo type="num" val="2"/>
        <cfvo type="num" val="3"/>
        <color rgb="FFF8696B"/>
        <color rgb="FFFFEB84"/>
        <color rgb="FF63BE7B"/>
      </colorScale>
    </cfRule>
    <cfRule type="colorScale" priority="40049">
      <colorScale>
        <cfvo type="num" val="1"/>
        <cfvo type="num" val="2"/>
        <cfvo type="num" val="3"/>
        <color rgb="FFF8696B"/>
        <color rgb="FFFFEB84"/>
        <color rgb="FF63BE7B"/>
      </colorScale>
    </cfRule>
    <cfRule type="colorScale" priority="40050">
      <colorScale>
        <cfvo type="num" val="1"/>
        <cfvo type="num" val="2"/>
        <cfvo type="num" val="3"/>
        <color rgb="FFF8696B"/>
        <color rgb="FFFFEB84"/>
        <color rgb="FF63BE7B"/>
      </colorScale>
    </cfRule>
    <cfRule type="colorScale" priority="40051">
      <colorScale>
        <cfvo type="num" val="1"/>
        <cfvo type="num" val="2"/>
        <cfvo type="num" val="3"/>
        <color rgb="FFF8696B"/>
        <color rgb="FFFFEB84"/>
        <color rgb="FF63BE7B"/>
      </colorScale>
    </cfRule>
    <cfRule type="colorScale" priority="40052">
      <colorScale>
        <cfvo type="num" val="1"/>
        <cfvo type="num" val="2"/>
        <cfvo type="num" val="3"/>
        <color rgb="FFF8696B"/>
        <color rgb="FFFFEB84"/>
        <color rgb="FF63BE7B"/>
      </colorScale>
    </cfRule>
  </conditionalFormatting>
  <conditionalFormatting sqref="M9">
    <cfRule type="cellIs" dxfId="2153" priority="40033" operator="equal">
      <formula>5</formula>
    </cfRule>
    <cfRule type="cellIs" dxfId="2152" priority="40034" operator="equal">
      <formula>4</formula>
    </cfRule>
    <cfRule type="cellIs" dxfId="2151" priority="40035" operator="equal">
      <formula>1</formula>
    </cfRule>
    <cfRule type="cellIs" dxfId="2150" priority="40036" operator="equal">
      <formula>3</formula>
    </cfRule>
    <cfRule type="cellIs" dxfId="2149" priority="40037" operator="equal">
      <formula>2</formula>
    </cfRule>
    <cfRule type="colorScale" priority="40038">
      <colorScale>
        <cfvo type="min" val="0"/>
        <cfvo type="percentile" val="50"/>
        <cfvo type="max" val="0"/>
        <color rgb="FFF8696B"/>
        <color rgb="FFFFEB84"/>
        <color rgb="FF63BE7B"/>
      </colorScale>
    </cfRule>
    <cfRule type="colorScale" priority="40039">
      <colorScale>
        <cfvo type="num" val="1"/>
        <cfvo type="num" val="2"/>
        <cfvo type="num" val="3"/>
        <color rgb="FFF8696B"/>
        <color rgb="FFFFEB84"/>
        <color rgb="FF63BE7B"/>
      </colorScale>
    </cfRule>
    <cfRule type="colorScale" priority="40040">
      <colorScale>
        <cfvo type="num" val="1"/>
        <cfvo type="num" val="2"/>
        <cfvo type="num" val="3"/>
        <color rgb="FFF8696B"/>
        <color rgb="FFFFEB84"/>
        <color rgb="FF63BE7B"/>
      </colorScale>
    </cfRule>
  </conditionalFormatting>
  <conditionalFormatting sqref="M15">
    <cfRule type="cellIs" dxfId="2148" priority="39925" operator="equal">
      <formula>5</formula>
    </cfRule>
    <cfRule type="cellIs" dxfId="2147" priority="39926" operator="equal">
      <formula>4</formula>
    </cfRule>
    <cfRule type="cellIs" dxfId="2146" priority="39927" operator="equal">
      <formula>1</formula>
    </cfRule>
    <cfRule type="cellIs" dxfId="2145" priority="39928" operator="equal">
      <formula>3</formula>
    </cfRule>
    <cfRule type="cellIs" dxfId="2144" priority="39929" operator="equal">
      <formula>2</formula>
    </cfRule>
    <cfRule type="colorScale" priority="39930">
      <colorScale>
        <cfvo type="min" val="0"/>
        <cfvo type="percentile" val="50"/>
        <cfvo type="max" val="0"/>
        <color rgb="FFF8696B"/>
        <color rgb="FFFFEB84"/>
        <color rgb="FF63BE7B"/>
      </colorScale>
    </cfRule>
    <cfRule type="colorScale" priority="39931">
      <colorScale>
        <cfvo type="num" val="1"/>
        <cfvo type="num" val="2"/>
        <cfvo type="num" val="3"/>
        <color rgb="FFF8696B"/>
        <color rgb="FFFFEB84"/>
        <color rgb="FF63BE7B"/>
      </colorScale>
    </cfRule>
    <cfRule type="colorScale" priority="39932">
      <colorScale>
        <cfvo type="num" val="1"/>
        <cfvo type="num" val="2"/>
        <cfvo type="num" val="3"/>
        <color rgb="FFF8696B"/>
        <color rgb="FFFFEB84"/>
        <color rgb="FF63BE7B"/>
      </colorScale>
    </cfRule>
  </conditionalFormatting>
  <conditionalFormatting sqref="M36">
    <cfRule type="cellIs" dxfId="2143" priority="36658" operator="equal">
      <formula>5</formula>
    </cfRule>
    <cfRule type="cellIs" dxfId="2142" priority="36659" operator="equal">
      <formula>4</formula>
    </cfRule>
    <cfRule type="cellIs" dxfId="2141" priority="36660" operator="equal">
      <formula>1</formula>
    </cfRule>
    <cfRule type="cellIs" dxfId="2140" priority="36661" operator="equal">
      <formula>3</formula>
    </cfRule>
    <cfRule type="cellIs" dxfId="2139" priority="36662" operator="equal">
      <formula>2</formula>
    </cfRule>
    <cfRule type="colorScale" priority="36663">
      <colorScale>
        <cfvo type="min" val="0"/>
        <cfvo type="percentile" val="50"/>
        <cfvo type="max" val="0"/>
        <color rgb="FFF8696B"/>
        <color rgb="FFFFEB84"/>
        <color rgb="FF63BE7B"/>
      </colorScale>
    </cfRule>
    <cfRule type="colorScale" priority="36664">
      <colorScale>
        <cfvo type="num" val="1"/>
        <cfvo type="num" val="2"/>
        <cfvo type="num" val="3"/>
        <color rgb="FFF8696B"/>
        <color rgb="FFFFEB84"/>
        <color rgb="FF63BE7B"/>
      </colorScale>
    </cfRule>
    <cfRule type="colorScale" priority="36665">
      <colorScale>
        <cfvo type="num" val="1"/>
        <cfvo type="num" val="2"/>
        <cfvo type="num" val="3"/>
        <color rgb="FFF8696B"/>
        <color rgb="FFFFEB84"/>
        <color rgb="FF63BE7B"/>
      </colorScale>
    </cfRule>
    <cfRule type="colorScale" priority="36666">
      <colorScale>
        <cfvo type="num" val="1"/>
        <cfvo type="num" val="2"/>
        <cfvo type="num" val="3"/>
        <color rgb="FFF8696B"/>
        <color rgb="FFFFEB84"/>
        <color rgb="FF63BE7B"/>
      </colorScale>
    </cfRule>
    <cfRule type="colorScale" priority="36667">
      <colorScale>
        <cfvo type="num" val="1"/>
        <cfvo type="num" val="2"/>
        <cfvo type="num" val="3"/>
        <color rgb="FFF8696B"/>
        <color rgb="FFFFEB84"/>
        <color rgb="FF63BE7B"/>
      </colorScale>
    </cfRule>
    <cfRule type="colorScale" priority="36668">
      <colorScale>
        <cfvo type="num" val="1"/>
        <cfvo type="num" val="2"/>
        <cfvo type="num" val="3"/>
        <color rgb="FFF8696B"/>
        <color rgb="FFFFEB84"/>
        <color rgb="FF63BE7B"/>
      </colorScale>
    </cfRule>
    <cfRule type="colorScale" priority="36669">
      <colorScale>
        <cfvo type="num" val="1"/>
        <cfvo type="num" val="2"/>
        <cfvo type="num" val="3"/>
        <color rgb="FFF8696B"/>
        <color rgb="FFFFEB84"/>
        <color rgb="FF63BE7B"/>
      </colorScale>
    </cfRule>
  </conditionalFormatting>
  <conditionalFormatting sqref="M38">
    <cfRule type="cellIs" dxfId="2138" priority="36650" operator="equal">
      <formula>5</formula>
    </cfRule>
    <cfRule type="cellIs" dxfId="2137" priority="36651" operator="equal">
      <formula>4</formula>
    </cfRule>
    <cfRule type="cellIs" dxfId="2136" priority="36652" operator="equal">
      <formula>1</formula>
    </cfRule>
    <cfRule type="cellIs" dxfId="2135" priority="36653" operator="equal">
      <formula>3</formula>
    </cfRule>
    <cfRule type="cellIs" dxfId="2134" priority="36654" operator="equal">
      <formula>2</formula>
    </cfRule>
    <cfRule type="colorScale" priority="36655">
      <colorScale>
        <cfvo type="min" val="0"/>
        <cfvo type="percentile" val="50"/>
        <cfvo type="max" val="0"/>
        <color rgb="FFF8696B"/>
        <color rgb="FFFFEB84"/>
        <color rgb="FF63BE7B"/>
      </colorScale>
    </cfRule>
    <cfRule type="colorScale" priority="36656">
      <colorScale>
        <cfvo type="num" val="1"/>
        <cfvo type="num" val="2"/>
        <cfvo type="num" val="3"/>
        <color rgb="FFF8696B"/>
        <color rgb="FFFFEB84"/>
        <color rgb="FF63BE7B"/>
      </colorScale>
    </cfRule>
    <cfRule type="colorScale" priority="36657">
      <colorScale>
        <cfvo type="num" val="1"/>
        <cfvo type="num" val="2"/>
        <cfvo type="num" val="3"/>
        <color rgb="FFF8696B"/>
        <color rgb="FFFFEB84"/>
        <color rgb="FF63BE7B"/>
      </colorScale>
    </cfRule>
  </conditionalFormatting>
  <conditionalFormatting sqref="M44">
    <cfRule type="cellIs" dxfId="2133" priority="36550" operator="equal">
      <formula>5</formula>
    </cfRule>
    <cfRule type="cellIs" dxfId="2132" priority="36551" operator="equal">
      <formula>4</formula>
    </cfRule>
    <cfRule type="cellIs" dxfId="2131" priority="36552" operator="equal">
      <formula>1</formula>
    </cfRule>
    <cfRule type="cellIs" dxfId="2130" priority="36553" operator="equal">
      <formula>3</formula>
    </cfRule>
    <cfRule type="cellIs" dxfId="2129" priority="36554" operator="equal">
      <formula>2</formula>
    </cfRule>
    <cfRule type="colorScale" priority="36555">
      <colorScale>
        <cfvo type="min" val="0"/>
        <cfvo type="percentile" val="50"/>
        <cfvo type="max" val="0"/>
        <color rgb="FFF8696B"/>
        <color rgb="FFFFEB84"/>
        <color rgb="FF63BE7B"/>
      </colorScale>
    </cfRule>
    <cfRule type="colorScale" priority="36556">
      <colorScale>
        <cfvo type="num" val="1"/>
        <cfvo type="num" val="2"/>
        <cfvo type="num" val="3"/>
        <color rgb="FFF8696B"/>
        <color rgb="FFFFEB84"/>
        <color rgb="FF63BE7B"/>
      </colorScale>
    </cfRule>
    <cfRule type="colorScale" priority="36557">
      <colorScale>
        <cfvo type="num" val="1"/>
        <cfvo type="num" val="2"/>
        <cfvo type="num" val="3"/>
        <color rgb="FFF8696B"/>
        <color rgb="FFFFEB84"/>
        <color rgb="FF63BE7B"/>
      </colorScale>
    </cfRule>
  </conditionalFormatting>
  <conditionalFormatting sqref="M64">
    <cfRule type="cellIs" dxfId="2128" priority="35585" operator="equal">
      <formula>5</formula>
    </cfRule>
    <cfRule type="cellIs" dxfId="2127" priority="35586" operator="equal">
      <formula>4</formula>
    </cfRule>
    <cfRule type="cellIs" dxfId="2126" priority="35587" operator="equal">
      <formula>1</formula>
    </cfRule>
    <cfRule type="colorScale" priority="35590">
      <colorScale>
        <cfvo type="min" val="0"/>
        <cfvo type="percentile" val="50"/>
        <cfvo type="max" val="0"/>
        <color rgb="FFF8696B"/>
        <color rgb="FFFFEB84"/>
        <color rgb="FF63BE7B"/>
      </colorScale>
    </cfRule>
    <cfRule type="colorScale" priority="35591">
      <colorScale>
        <cfvo type="num" val="1"/>
        <cfvo type="num" val="2"/>
        <cfvo type="num" val="3"/>
        <color rgb="FFF8696B"/>
        <color rgb="FFFFEB84"/>
        <color rgb="FF63BE7B"/>
      </colorScale>
    </cfRule>
    <cfRule type="colorScale" priority="35592">
      <colorScale>
        <cfvo type="num" val="1"/>
        <cfvo type="num" val="2"/>
        <cfvo type="num" val="3"/>
        <color rgb="FFF8696B"/>
        <color rgb="FFFFEB84"/>
        <color rgb="FF63BE7B"/>
      </colorScale>
    </cfRule>
    <cfRule type="colorScale" priority="35593">
      <colorScale>
        <cfvo type="num" val="1"/>
        <cfvo type="num" val="2"/>
        <cfvo type="num" val="3"/>
        <color rgb="FFF8696B"/>
        <color rgb="FFFFEB84"/>
        <color rgb="FF63BE7B"/>
      </colorScale>
    </cfRule>
    <cfRule type="colorScale" priority="35594">
      <colorScale>
        <cfvo type="num" val="1"/>
        <cfvo type="num" val="2"/>
        <cfvo type="num" val="3"/>
        <color rgb="FFF8696B"/>
        <color rgb="FFFFEB84"/>
        <color rgb="FF63BE7B"/>
      </colorScale>
    </cfRule>
    <cfRule type="colorScale" priority="35595">
      <colorScale>
        <cfvo type="num" val="1"/>
        <cfvo type="num" val="2"/>
        <cfvo type="num" val="3"/>
        <color rgb="FFF8696B"/>
        <color rgb="FFFFEB84"/>
        <color rgb="FF63BE7B"/>
      </colorScale>
    </cfRule>
    <cfRule type="colorScale" priority="35596">
      <colorScale>
        <cfvo type="num" val="1"/>
        <cfvo type="num" val="2"/>
        <cfvo type="num" val="3"/>
        <color rgb="FFF8696B"/>
        <color rgb="FFFFEB84"/>
        <color rgb="FF63BE7B"/>
      </colorScale>
    </cfRule>
  </conditionalFormatting>
  <conditionalFormatting sqref="M66">
    <cfRule type="cellIs" dxfId="2125" priority="35577" operator="equal">
      <formula>5</formula>
    </cfRule>
    <cfRule type="cellIs" dxfId="2124" priority="35578" operator="equal">
      <formula>4</formula>
    </cfRule>
    <cfRule type="cellIs" dxfId="2123" priority="35579" operator="equal">
      <formula>1</formula>
    </cfRule>
    <cfRule type="cellIs" dxfId="2122" priority="35580" operator="equal">
      <formula>3</formula>
    </cfRule>
    <cfRule type="cellIs" dxfId="2121" priority="35581" operator="equal">
      <formula>2</formula>
    </cfRule>
    <cfRule type="colorScale" priority="35582">
      <colorScale>
        <cfvo type="min" val="0"/>
        <cfvo type="percentile" val="50"/>
        <cfvo type="max" val="0"/>
        <color rgb="FFF8696B"/>
        <color rgb="FFFFEB84"/>
        <color rgb="FF63BE7B"/>
      </colorScale>
    </cfRule>
    <cfRule type="colorScale" priority="35583">
      <colorScale>
        <cfvo type="num" val="1"/>
        <cfvo type="num" val="2"/>
        <cfvo type="num" val="3"/>
        <color rgb="FFF8696B"/>
        <color rgb="FFFFEB84"/>
        <color rgb="FF63BE7B"/>
      </colorScale>
    </cfRule>
    <cfRule type="colorScale" priority="35584">
      <colorScale>
        <cfvo type="num" val="1"/>
        <cfvo type="num" val="2"/>
        <cfvo type="num" val="3"/>
        <color rgb="FFF8696B"/>
        <color rgb="FFFFEB84"/>
        <color rgb="FF63BE7B"/>
      </colorScale>
    </cfRule>
  </conditionalFormatting>
  <conditionalFormatting sqref="M72">
    <cfRule type="cellIs" dxfId="2120" priority="35489" operator="equal">
      <formula>5</formula>
    </cfRule>
    <cfRule type="cellIs" dxfId="2119" priority="35490" operator="equal">
      <formula>4</formula>
    </cfRule>
    <cfRule type="cellIs" dxfId="2118" priority="35491" operator="equal">
      <formula>1</formula>
    </cfRule>
    <cfRule type="colorScale" priority="35494">
      <colorScale>
        <cfvo type="min" val="0"/>
        <cfvo type="percentile" val="50"/>
        <cfvo type="max" val="0"/>
        <color rgb="FFF8696B"/>
        <color rgb="FFFFEB84"/>
        <color rgb="FF63BE7B"/>
      </colorScale>
    </cfRule>
    <cfRule type="colorScale" priority="35495">
      <colorScale>
        <cfvo type="num" val="1"/>
        <cfvo type="num" val="2"/>
        <cfvo type="num" val="3"/>
        <color rgb="FFF8696B"/>
        <color rgb="FFFFEB84"/>
        <color rgb="FF63BE7B"/>
      </colorScale>
    </cfRule>
    <cfRule type="colorScale" priority="35496">
      <colorScale>
        <cfvo type="num" val="1"/>
        <cfvo type="num" val="2"/>
        <cfvo type="num" val="3"/>
        <color rgb="FFF8696B"/>
        <color rgb="FFFFEB84"/>
        <color rgb="FF63BE7B"/>
      </colorScale>
    </cfRule>
  </conditionalFormatting>
  <conditionalFormatting sqref="M99">
    <cfRule type="cellIs" dxfId="2117" priority="37587" operator="equal">
      <formula>5</formula>
    </cfRule>
    <cfRule type="cellIs" dxfId="2116" priority="37588" operator="equal">
      <formula>4</formula>
    </cfRule>
    <cfRule type="cellIs" dxfId="2115" priority="37589" operator="equal">
      <formula>1</formula>
    </cfRule>
    <cfRule type="cellIs" dxfId="2114" priority="37590" operator="equal">
      <formula>3</formula>
    </cfRule>
    <cfRule type="cellIs" dxfId="2113" priority="37591" operator="equal">
      <formula>2</formula>
    </cfRule>
    <cfRule type="colorScale" priority="37592">
      <colorScale>
        <cfvo type="min" val="0"/>
        <cfvo type="percentile" val="50"/>
        <cfvo type="max" val="0"/>
        <color rgb="FFF8696B"/>
        <color rgb="FFFFEB84"/>
        <color rgb="FF63BE7B"/>
      </colorScale>
    </cfRule>
    <cfRule type="colorScale" priority="37593">
      <colorScale>
        <cfvo type="num" val="1"/>
        <cfvo type="num" val="2"/>
        <cfvo type="num" val="3"/>
        <color rgb="FFF8696B"/>
        <color rgb="FFFFEB84"/>
        <color rgb="FF63BE7B"/>
      </colorScale>
    </cfRule>
    <cfRule type="colorScale" priority="37594">
      <colorScale>
        <cfvo type="num" val="1"/>
        <cfvo type="num" val="2"/>
        <cfvo type="num" val="3"/>
        <color rgb="FFF8696B"/>
        <color rgb="FFFFEB84"/>
        <color rgb="FF63BE7B"/>
      </colorScale>
    </cfRule>
  </conditionalFormatting>
  <conditionalFormatting sqref="M132">
    <cfRule type="cellIs" dxfId="2112" priority="26245" operator="equal">
      <formula>5</formula>
    </cfRule>
    <cfRule type="cellIs" dxfId="2111" priority="26246" operator="equal">
      <formula>4</formula>
    </cfRule>
    <cfRule type="cellIs" dxfId="2110" priority="26247" operator="equal">
      <formula>1</formula>
    </cfRule>
    <cfRule type="cellIs" dxfId="2109" priority="26248" operator="equal">
      <formula>3</formula>
    </cfRule>
    <cfRule type="cellIs" dxfId="2108" priority="26249" operator="equal">
      <formula>2</formula>
    </cfRule>
    <cfRule type="colorScale" priority="26250">
      <colorScale>
        <cfvo type="min" val="0"/>
        <cfvo type="percentile" val="50"/>
        <cfvo type="max" val="0"/>
        <color rgb="FFF8696B"/>
        <color rgb="FFFFEB84"/>
        <color rgb="FF63BE7B"/>
      </colorScale>
    </cfRule>
    <cfRule type="colorScale" priority="26251">
      <colorScale>
        <cfvo type="num" val="1"/>
        <cfvo type="num" val="2"/>
        <cfvo type="num" val="3"/>
        <color rgb="FFF8696B"/>
        <color rgb="FFFFEB84"/>
        <color rgb="FF63BE7B"/>
      </colorScale>
    </cfRule>
    <cfRule type="colorScale" priority="26252">
      <colorScale>
        <cfvo type="num" val="1"/>
        <cfvo type="num" val="2"/>
        <cfvo type="num" val="3"/>
        <color rgb="FFF8696B"/>
        <color rgb="FFFFEB84"/>
        <color rgb="FF63BE7B"/>
      </colorScale>
    </cfRule>
  </conditionalFormatting>
  <conditionalFormatting sqref="M222">
    <cfRule type="cellIs" dxfId="2107" priority="16632" operator="equal">
      <formula>5</formula>
    </cfRule>
    <cfRule type="cellIs" dxfId="2106" priority="16633" operator="equal">
      <formula>4</formula>
    </cfRule>
    <cfRule type="cellIs" dxfId="2105" priority="16634" operator="equal">
      <formula>1</formula>
    </cfRule>
    <cfRule type="cellIs" dxfId="2104" priority="16635" operator="equal">
      <formula>3</formula>
    </cfRule>
    <cfRule type="cellIs" dxfId="2103" priority="16636" operator="equal">
      <formula>2</formula>
    </cfRule>
    <cfRule type="colorScale" priority="16637">
      <colorScale>
        <cfvo type="min" val="0"/>
        <cfvo type="percentile" val="50"/>
        <cfvo type="max" val="0"/>
        <color rgb="FFF8696B"/>
        <color rgb="FFFFEB84"/>
        <color rgb="FF63BE7B"/>
      </colorScale>
    </cfRule>
    <cfRule type="colorScale" priority="16638">
      <colorScale>
        <cfvo type="num" val="1"/>
        <cfvo type="num" val="2"/>
        <cfvo type="num" val="3"/>
        <color rgb="FFF8696B"/>
        <color rgb="FFFFEB84"/>
        <color rgb="FF63BE7B"/>
      </colorScale>
    </cfRule>
    <cfRule type="colorScale" priority="16639">
      <colorScale>
        <cfvo type="num" val="1"/>
        <cfvo type="num" val="2"/>
        <cfvo type="num" val="3"/>
        <color rgb="FFF8696B"/>
        <color rgb="FFFFEB84"/>
        <color rgb="FF63BE7B"/>
      </colorScale>
    </cfRule>
    <cfRule type="colorScale" priority="16640">
      <colorScale>
        <cfvo type="num" val="1"/>
        <cfvo type="num" val="2"/>
        <cfvo type="num" val="3"/>
        <color rgb="FFF8696B"/>
        <color rgb="FFFFEB84"/>
        <color rgb="FF63BE7B"/>
      </colorScale>
    </cfRule>
    <cfRule type="colorScale" priority="16641">
      <colorScale>
        <cfvo type="num" val="1"/>
        <cfvo type="num" val="2"/>
        <cfvo type="num" val="3"/>
        <color rgb="FFF8696B"/>
        <color rgb="FFFFEB84"/>
        <color rgb="FF63BE7B"/>
      </colorScale>
    </cfRule>
    <cfRule type="colorScale" priority="16642">
      <colorScale>
        <cfvo type="num" val="1"/>
        <cfvo type="num" val="2"/>
        <cfvo type="num" val="3"/>
        <color rgb="FFF8696B"/>
        <color rgb="FFFFEB84"/>
        <color rgb="FF63BE7B"/>
      </colorScale>
    </cfRule>
    <cfRule type="colorScale" priority="16643">
      <colorScale>
        <cfvo type="num" val="1"/>
        <cfvo type="num" val="2"/>
        <cfvo type="num" val="3"/>
        <color rgb="FFF8696B"/>
        <color rgb="FFFFEB84"/>
        <color rgb="FF63BE7B"/>
      </colorScale>
    </cfRule>
  </conditionalFormatting>
  <conditionalFormatting sqref="M224">
    <cfRule type="cellIs" dxfId="2102" priority="15973" operator="equal">
      <formula>5</formula>
    </cfRule>
    <cfRule type="cellIs" dxfId="2101" priority="15974" operator="equal">
      <formula>4</formula>
    </cfRule>
    <cfRule type="cellIs" dxfId="2100" priority="15975" operator="equal">
      <formula>1</formula>
    </cfRule>
    <cfRule type="cellIs" dxfId="2099" priority="15976" operator="equal">
      <formula>3</formula>
    </cfRule>
    <cfRule type="cellIs" dxfId="2098" priority="15977" operator="equal">
      <formula>2</formula>
    </cfRule>
    <cfRule type="colorScale" priority="15978">
      <colorScale>
        <cfvo type="min" val="0"/>
        <cfvo type="percentile" val="50"/>
        <cfvo type="max" val="0"/>
        <color rgb="FFF8696B"/>
        <color rgb="FFFFEB84"/>
        <color rgb="FF63BE7B"/>
      </colorScale>
    </cfRule>
    <cfRule type="colorScale" priority="15979">
      <colorScale>
        <cfvo type="num" val="1"/>
        <cfvo type="num" val="2"/>
        <cfvo type="num" val="3"/>
        <color rgb="FFF8696B"/>
        <color rgb="FFFFEB84"/>
        <color rgb="FF63BE7B"/>
      </colorScale>
    </cfRule>
    <cfRule type="colorScale" priority="15980">
      <colorScale>
        <cfvo type="num" val="1"/>
        <cfvo type="num" val="2"/>
        <cfvo type="num" val="3"/>
        <color rgb="FFF8696B"/>
        <color rgb="FFFFEB84"/>
        <color rgb="FF63BE7B"/>
      </colorScale>
    </cfRule>
  </conditionalFormatting>
  <conditionalFormatting sqref="M226">
    <cfRule type="cellIs" dxfId="2097" priority="16235" operator="equal">
      <formula>5</formula>
    </cfRule>
    <cfRule type="cellIs" dxfId="2096" priority="16236" operator="equal">
      <formula>4</formula>
    </cfRule>
    <cfRule type="cellIs" dxfId="2095" priority="16237" operator="equal">
      <formula>1</formula>
    </cfRule>
    <cfRule type="cellIs" dxfId="2094" priority="16238" operator="equal">
      <formula>3</formula>
    </cfRule>
    <cfRule type="cellIs" dxfId="2093" priority="16239" operator="equal">
      <formula>2</formula>
    </cfRule>
    <cfRule type="colorScale" priority="16240">
      <colorScale>
        <cfvo type="min" val="0"/>
        <cfvo type="percentile" val="50"/>
        <cfvo type="max" val="0"/>
        <color rgb="FFF8696B"/>
        <color rgb="FFFFEB84"/>
        <color rgb="FF63BE7B"/>
      </colorScale>
    </cfRule>
    <cfRule type="colorScale" priority="16241">
      <colorScale>
        <cfvo type="num" val="1"/>
        <cfvo type="num" val="2"/>
        <cfvo type="num" val="3"/>
        <color rgb="FFF8696B"/>
        <color rgb="FFFFEB84"/>
        <color rgb="FF63BE7B"/>
      </colorScale>
    </cfRule>
    <cfRule type="colorScale" priority="16242">
      <colorScale>
        <cfvo type="num" val="1"/>
        <cfvo type="num" val="2"/>
        <cfvo type="num" val="3"/>
        <color rgb="FFF8696B"/>
        <color rgb="FFFFEB84"/>
        <color rgb="FF63BE7B"/>
      </colorScale>
    </cfRule>
  </conditionalFormatting>
  <conditionalFormatting sqref="M304">
    <cfRule type="cellIs" dxfId="2092" priority="20209" operator="equal">
      <formula>5</formula>
    </cfRule>
    <cfRule type="cellIs" dxfId="2091" priority="20210" operator="equal">
      <formula>4</formula>
    </cfRule>
    <cfRule type="cellIs" dxfId="2090" priority="20211" operator="equal">
      <formula>1</formula>
    </cfRule>
    <cfRule type="cellIs" dxfId="2089" priority="20212" operator="equal">
      <formula>3</formula>
    </cfRule>
    <cfRule type="cellIs" dxfId="2088" priority="20213" operator="equal">
      <formula>2</formula>
    </cfRule>
    <cfRule type="colorScale" priority="20214">
      <colorScale>
        <cfvo type="min" val="0"/>
        <cfvo type="percentile" val="50"/>
        <cfvo type="max" val="0"/>
        <color rgb="FFF8696B"/>
        <color rgb="FFFFEB84"/>
        <color rgb="FF63BE7B"/>
      </colorScale>
    </cfRule>
    <cfRule type="colorScale" priority="20215">
      <colorScale>
        <cfvo type="num" val="1"/>
        <cfvo type="num" val="2"/>
        <cfvo type="num" val="3"/>
        <color rgb="FFF8696B"/>
        <color rgb="FFFFEB84"/>
        <color rgb="FF63BE7B"/>
      </colorScale>
    </cfRule>
    <cfRule type="colorScale" priority="20216">
      <colorScale>
        <cfvo type="num" val="1"/>
        <cfvo type="num" val="2"/>
        <cfvo type="num" val="3"/>
        <color rgb="FFF8696B"/>
        <color rgb="FFFFEB84"/>
        <color rgb="FF63BE7B"/>
      </colorScale>
    </cfRule>
  </conditionalFormatting>
  <conditionalFormatting sqref="M310">
    <cfRule type="cellIs" dxfId="2087" priority="20101" operator="equal">
      <formula>5</formula>
    </cfRule>
    <cfRule type="cellIs" dxfId="2086" priority="20102" operator="equal">
      <formula>4</formula>
    </cfRule>
    <cfRule type="cellIs" dxfId="2085" priority="20103" operator="equal">
      <formula>1</formula>
    </cfRule>
    <cfRule type="cellIs" dxfId="2084" priority="20104" operator="equal">
      <formula>3</formula>
    </cfRule>
    <cfRule type="cellIs" dxfId="2083" priority="20105" operator="equal">
      <formula>2</formula>
    </cfRule>
    <cfRule type="colorScale" priority="20106">
      <colorScale>
        <cfvo type="min" val="0"/>
        <cfvo type="percentile" val="50"/>
        <cfvo type="max" val="0"/>
        <color rgb="FFF8696B"/>
        <color rgb="FFFFEB84"/>
        <color rgb="FF63BE7B"/>
      </colorScale>
    </cfRule>
    <cfRule type="colorScale" priority="20107">
      <colorScale>
        <cfvo type="num" val="1"/>
        <cfvo type="num" val="2"/>
        <cfvo type="num" val="3"/>
        <color rgb="FFF8696B"/>
        <color rgb="FFFFEB84"/>
        <color rgb="FF63BE7B"/>
      </colorScale>
    </cfRule>
    <cfRule type="colorScale" priority="20108">
      <colorScale>
        <cfvo type="num" val="1"/>
        <cfvo type="num" val="2"/>
        <cfvo type="num" val="3"/>
        <color rgb="FFF8696B"/>
        <color rgb="FFFFEB84"/>
        <color rgb="FF63BE7B"/>
      </colorScale>
    </cfRule>
  </conditionalFormatting>
  <conditionalFormatting sqref="M329">
    <cfRule type="cellIs" dxfId="2082" priority="21384" operator="equal">
      <formula>5</formula>
    </cfRule>
    <cfRule type="cellIs" dxfId="2081" priority="21385" operator="equal">
      <formula>4</formula>
    </cfRule>
    <cfRule type="cellIs" dxfId="2080" priority="21386" operator="equal">
      <formula>1</formula>
    </cfRule>
    <cfRule type="cellIs" dxfId="2079" priority="21387" operator="equal">
      <formula>3</formula>
    </cfRule>
    <cfRule type="cellIs" dxfId="2078" priority="21388" operator="equal">
      <formula>2</formula>
    </cfRule>
    <cfRule type="colorScale" priority="21389">
      <colorScale>
        <cfvo type="min" val="0"/>
        <cfvo type="percentile" val="50"/>
        <cfvo type="max" val="0"/>
        <color rgb="FFF8696B"/>
        <color rgb="FFFFEB84"/>
        <color rgb="FF63BE7B"/>
      </colorScale>
    </cfRule>
    <cfRule type="colorScale" priority="21390">
      <colorScale>
        <cfvo type="num" val="1"/>
        <cfvo type="num" val="2"/>
        <cfvo type="num" val="3"/>
        <color rgb="FFF8696B"/>
        <color rgb="FFFFEB84"/>
        <color rgb="FF63BE7B"/>
      </colorScale>
    </cfRule>
    <cfRule type="colorScale" priority="21391">
      <colorScale>
        <cfvo type="num" val="1"/>
        <cfvo type="num" val="2"/>
        <cfvo type="num" val="3"/>
        <color rgb="FFF8696B"/>
        <color rgb="FFFFEB84"/>
        <color rgb="FF63BE7B"/>
      </colorScale>
    </cfRule>
    <cfRule type="colorScale" priority="21392">
      <colorScale>
        <cfvo type="num" val="1"/>
        <cfvo type="num" val="2"/>
        <cfvo type="num" val="3"/>
        <color rgb="FFF8696B"/>
        <color rgb="FFFFEB84"/>
        <color rgb="FF63BE7B"/>
      </colorScale>
    </cfRule>
    <cfRule type="colorScale" priority="21393">
      <colorScale>
        <cfvo type="num" val="1"/>
        <cfvo type="num" val="2"/>
        <cfvo type="num" val="3"/>
        <color rgb="FFF8696B"/>
        <color rgb="FFFFEB84"/>
        <color rgb="FF63BE7B"/>
      </colorScale>
    </cfRule>
    <cfRule type="colorScale" priority="21394">
      <colorScale>
        <cfvo type="num" val="1"/>
        <cfvo type="num" val="2"/>
        <cfvo type="num" val="3"/>
        <color rgb="FFF8696B"/>
        <color rgb="FFFFEB84"/>
        <color rgb="FF63BE7B"/>
      </colorScale>
    </cfRule>
    <cfRule type="colorScale" priority="21395">
      <colorScale>
        <cfvo type="num" val="1"/>
        <cfvo type="num" val="2"/>
        <cfvo type="num" val="3"/>
        <color rgb="FFF8696B"/>
        <color rgb="FFFFEB84"/>
        <color rgb="FF63BE7B"/>
      </colorScale>
    </cfRule>
  </conditionalFormatting>
  <conditionalFormatting sqref="M331">
    <cfRule type="cellIs" dxfId="2077" priority="21376" operator="equal">
      <formula>5</formula>
    </cfRule>
    <cfRule type="cellIs" dxfId="2076" priority="21377" operator="equal">
      <formula>4</formula>
    </cfRule>
    <cfRule type="cellIs" dxfId="2075" priority="21378" operator="equal">
      <formula>1</formula>
    </cfRule>
    <cfRule type="cellIs" dxfId="2074" priority="21379" operator="equal">
      <formula>3</formula>
    </cfRule>
    <cfRule type="cellIs" dxfId="2073" priority="21380" operator="equal">
      <formula>2</formula>
    </cfRule>
    <cfRule type="colorScale" priority="21381">
      <colorScale>
        <cfvo type="min" val="0"/>
        <cfvo type="percentile" val="50"/>
        <cfvo type="max" val="0"/>
        <color rgb="FFF8696B"/>
        <color rgb="FFFFEB84"/>
        <color rgb="FF63BE7B"/>
      </colorScale>
    </cfRule>
    <cfRule type="colorScale" priority="21382">
      <colorScale>
        <cfvo type="num" val="1"/>
        <cfvo type="num" val="2"/>
        <cfvo type="num" val="3"/>
        <color rgb="FFF8696B"/>
        <color rgb="FFFFEB84"/>
        <color rgb="FF63BE7B"/>
      </colorScale>
    </cfRule>
    <cfRule type="colorScale" priority="21383">
      <colorScale>
        <cfvo type="num" val="1"/>
        <cfvo type="num" val="2"/>
        <cfvo type="num" val="3"/>
        <color rgb="FFF8696B"/>
        <color rgb="FFFFEB84"/>
        <color rgb="FF63BE7B"/>
      </colorScale>
    </cfRule>
  </conditionalFormatting>
  <conditionalFormatting sqref="M337">
    <cfRule type="cellIs" dxfId="2072" priority="21268" operator="equal">
      <formula>5</formula>
    </cfRule>
    <cfRule type="cellIs" dxfId="2071" priority="21269" operator="equal">
      <formula>4</formula>
    </cfRule>
    <cfRule type="cellIs" dxfId="2070" priority="21270" operator="equal">
      <formula>1</formula>
    </cfRule>
    <cfRule type="cellIs" dxfId="2069" priority="21271" operator="equal">
      <formula>3</formula>
    </cfRule>
    <cfRule type="cellIs" dxfId="2068" priority="21272" operator="equal">
      <formula>2</formula>
    </cfRule>
    <cfRule type="colorScale" priority="21273">
      <colorScale>
        <cfvo type="min" val="0"/>
        <cfvo type="percentile" val="50"/>
        <cfvo type="max" val="0"/>
        <color rgb="FFF8696B"/>
        <color rgb="FFFFEB84"/>
        <color rgb="FF63BE7B"/>
      </colorScale>
    </cfRule>
    <cfRule type="colorScale" priority="21274">
      <colorScale>
        <cfvo type="num" val="1"/>
        <cfvo type="num" val="2"/>
        <cfvo type="num" val="3"/>
        <color rgb="FFF8696B"/>
        <color rgb="FFFFEB84"/>
        <color rgb="FF63BE7B"/>
      </colorScale>
    </cfRule>
    <cfRule type="colorScale" priority="21275">
      <colorScale>
        <cfvo type="num" val="1"/>
        <cfvo type="num" val="2"/>
        <cfvo type="num" val="3"/>
        <color rgb="FFF8696B"/>
        <color rgb="FFFFEB84"/>
        <color rgb="FF63BE7B"/>
      </colorScale>
    </cfRule>
  </conditionalFormatting>
  <conditionalFormatting sqref="M357">
    <cfRule type="cellIs" dxfId="2067" priority="18331" operator="equal">
      <formula>5</formula>
    </cfRule>
    <cfRule type="cellIs" dxfId="2066" priority="18332" operator="equal">
      <formula>4</formula>
    </cfRule>
    <cfRule type="cellIs" dxfId="2065" priority="18333" operator="equal">
      <formula>1</formula>
    </cfRule>
    <cfRule type="cellIs" dxfId="2064" priority="18334" operator="equal">
      <formula>3</formula>
    </cfRule>
    <cfRule type="cellIs" dxfId="2063" priority="18335" operator="equal">
      <formula>2</formula>
    </cfRule>
    <cfRule type="colorScale" priority="18336">
      <colorScale>
        <cfvo type="min" val="0"/>
        <cfvo type="percentile" val="50"/>
        <cfvo type="max" val="0"/>
        <color rgb="FFF8696B"/>
        <color rgb="FFFFEB84"/>
        <color rgb="FF63BE7B"/>
      </colorScale>
    </cfRule>
    <cfRule type="colorScale" priority="18337">
      <colorScale>
        <cfvo type="num" val="1"/>
        <cfvo type="num" val="2"/>
        <cfvo type="num" val="3"/>
        <color rgb="FFF8696B"/>
        <color rgb="FFFFEB84"/>
        <color rgb="FF63BE7B"/>
      </colorScale>
    </cfRule>
    <cfRule type="colorScale" priority="18338">
      <colorScale>
        <cfvo type="num" val="1"/>
        <cfvo type="num" val="2"/>
        <cfvo type="num" val="3"/>
        <color rgb="FFF8696B"/>
        <color rgb="FFFFEB84"/>
        <color rgb="FF63BE7B"/>
      </colorScale>
    </cfRule>
    <cfRule type="colorScale" priority="18339">
      <colorScale>
        <cfvo type="num" val="1"/>
        <cfvo type="num" val="2"/>
        <cfvo type="num" val="3"/>
        <color rgb="FFF8696B"/>
        <color rgb="FFFFEB84"/>
        <color rgb="FF63BE7B"/>
      </colorScale>
    </cfRule>
    <cfRule type="colorScale" priority="18340">
      <colorScale>
        <cfvo type="num" val="1"/>
        <cfvo type="num" val="2"/>
        <cfvo type="num" val="3"/>
        <color rgb="FFF8696B"/>
        <color rgb="FFFFEB84"/>
        <color rgb="FF63BE7B"/>
      </colorScale>
    </cfRule>
    <cfRule type="colorScale" priority="18341">
      <colorScale>
        <cfvo type="num" val="1"/>
        <cfvo type="num" val="2"/>
        <cfvo type="num" val="3"/>
        <color rgb="FFF8696B"/>
        <color rgb="FFFFEB84"/>
        <color rgb="FF63BE7B"/>
      </colorScale>
    </cfRule>
    <cfRule type="colorScale" priority="18342">
      <colorScale>
        <cfvo type="num" val="1"/>
        <cfvo type="num" val="2"/>
        <cfvo type="num" val="3"/>
        <color rgb="FFF8696B"/>
        <color rgb="FFFFEB84"/>
        <color rgb="FF63BE7B"/>
      </colorScale>
    </cfRule>
  </conditionalFormatting>
  <conditionalFormatting sqref="M359">
    <cfRule type="cellIs" dxfId="2062" priority="18323" operator="equal">
      <formula>5</formula>
    </cfRule>
    <cfRule type="cellIs" dxfId="2061" priority="18324" operator="equal">
      <formula>4</formula>
    </cfRule>
    <cfRule type="cellIs" dxfId="2060" priority="18325" operator="equal">
      <formula>1</formula>
    </cfRule>
    <cfRule type="cellIs" dxfId="2059" priority="18326" operator="equal">
      <formula>3</formula>
    </cfRule>
    <cfRule type="cellIs" dxfId="2058" priority="18327" operator="equal">
      <formula>2</formula>
    </cfRule>
    <cfRule type="colorScale" priority="18328">
      <colorScale>
        <cfvo type="min" val="0"/>
        <cfvo type="percentile" val="50"/>
        <cfvo type="max" val="0"/>
        <color rgb="FFF8696B"/>
        <color rgb="FFFFEB84"/>
        <color rgb="FF63BE7B"/>
      </colorScale>
    </cfRule>
    <cfRule type="colorScale" priority="18329">
      <colorScale>
        <cfvo type="num" val="1"/>
        <cfvo type="num" val="2"/>
        <cfvo type="num" val="3"/>
        <color rgb="FFF8696B"/>
        <color rgb="FFFFEB84"/>
        <color rgb="FF63BE7B"/>
      </colorScale>
    </cfRule>
    <cfRule type="colorScale" priority="18330">
      <colorScale>
        <cfvo type="num" val="1"/>
        <cfvo type="num" val="2"/>
        <cfvo type="num" val="3"/>
        <color rgb="FFF8696B"/>
        <color rgb="FFFFEB84"/>
        <color rgb="FF63BE7B"/>
      </colorScale>
    </cfRule>
  </conditionalFormatting>
  <conditionalFormatting sqref="M365">
    <cfRule type="cellIs" dxfId="2057" priority="18215" operator="equal">
      <formula>5</formula>
    </cfRule>
    <cfRule type="cellIs" dxfId="2056" priority="18216" operator="equal">
      <formula>4</formula>
    </cfRule>
    <cfRule type="cellIs" dxfId="2055" priority="18217" operator="equal">
      <formula>1</formula>
    </cfRule>
    <cfRule type="cellIs" dxfId="2054" priority="18218" operator="equal">
      <formula>3</formula>
    </cfRule>
    <cfRule type="cellIs" dxfId="2053" priority="18219" operator="equal">
      <formula>2</formula>
    </cfRule>
    <cfRule type="colorScale" priority="18220">
      <colorScale>
        <cfvo type="min" val="0"/>
        <cfvo type="percentile" val="50"/>
        <cfvo type="max" val="0"/>
        <color rgb="FFF8696B"/>
        <color rgb="FFFFEB84"/>
        <color rgb="FF63BE7B"/>
      </colorScale>
    </cfRule>
    <cfRule type="colorScale" priority="18221">
      <colorScale>
        <cfvo type="num" val="1"/>
        <cfvo type="num" val="2"/>
        <cfvo type="num" val="3"/>
        <color rgb="FFF8696B"/>
        <color rgb="FFFFEB84"/>
        <color rgb="FF63BE7B"/>
      </colorScale>
    </cfRule>
    <cfRule type="colorScale" priority="18222">
      <colorScale>
        <cfvo type="num" val="1"/>
        <cfvo type="num" val="2"/>
        <cfvo type="num" val="3"/>
        <color rgb="FFF8696B"/>
        <color rgb="FFFFEB84"/>
        <color rgb="FF63BE7B"/>
      </colorScale>
    </cfRule>
  </conditionalFormatting>
  <conditionalFormatting sqref="M389">
    <cfRule type="cellIs" dxfId="2052" priority="11710" operator="equal">
      <formula>5</formula>
    </cfRule>
    <cfRule type="cellIs" dxfId="2051" priority="11711" operator="equal">
      <formula>4</formula>
    </cfRule>
    <cfRule type="cellIs" dxfId="2050" priority="11712" operator="equal">
      <formula>1</formula>
    </cfRule>
    <cfRule type="cellIs" dxfId="2049" priority="11713" operator="equal">
      <formula>3</formula>
    </cfRule>
    <cfRule type="cellIs" dxfId="2048" priority="11714" operator="equal">
      <formula>2</formula>
    </cfRule>
    <cfRule type="colorScale" priority="11715">
      <colorScale>
        <cfvo type="min" val="0"/>
        <cfvo type="percentile" val="50"/>
        <cfvo type="max" val="0"/>
        <color rgb="FFF8696B"/>
        <color rgb="FFFFEB84"/>
        <color rgb="FF63BE7B"/>
      </colorScale>
    </cfRule>
    <cfRule type="colorScale" priority="11716">
      <colorScale>
        <cfvo type="num" val="1"/>
        <cfvo type="num" val="2"/>
        <cfvo type="num" val="3"/>
        <color rgb="FFF8696B"/>
        <color rgb="FFFFEB84"/>
        <color rgb="FF63BE7B"/>
      </colorScale>
    </cfRule>
    <cfRule type="colorScale" priority="11717">
      <colorScale>
        <cfvo type="num" val="1"/>
        <cfvo type="num" val="2"/>
        <cfvo type="num" val="3"/>
        <color rgb="FFF8696B"/>
        <color rgb="FFFFEB84"/>
        <color rgb="FF63BE7B"/>
      </colorScale>
    </cfRule>
    <cfRule type="colorScale" priority="11718">
      <colorScale>
        <cfvo type="num" val="1"/>
        <cfvo type="num" val="2"/>
        <cfvo type="num" val="3"/>
        <color rgb="FFF8696B"/>
        <color rgb="FFFFEB84"/>
        <color rgb="FF63BE7B"/>
      </colorScale>
    </cfRule>
    <cfRule type="colorScale" priority="11719">
      <colorScale>
        <cfvo type="num" val="1"/>
        <cfvo type="num" val="2"/>
        <cfvo type="num" val="3"/>
        <color rgb="FFF8696B"/>
        <color rgb="FFFFEB84"/>
        <color rgb="FF63BE7B"/>
      </colorScale>
    </cfRule>
    <cfRule type="colorScale" priority="11720">
      <colorScale>
        <cfvo type="num" val="1"/>
        <cfvo type="num" val="2"/>
        <cfvo type="num" val="3"/>
        <color rgb="FFF8696B"/>
        <color rgb="FFFFEB84"/>
        <color rgb="FF63BE7B"/>
      </colorScale>
    </cfRule>
    <cfRule type="colorScale" priority="11721">
      <colorScale>
        <cfvo type="num" val="1"/>
        <cfvo type="num" val="2"/>
        <cfvo type="num" val="3"/>
        <color rgb="FFF8696B"/>
        <color rgb="FFFFEB84"/>
        <color rgb="FF63BE7B"/>
      </colorScale>
    </cfRule>
  </conditionalFormatting>
  <conditionalFormatting sqref="M391">
    <cfRule type="cellIs" dxfId="2047" priority="11702" operator="equal">
      <formula>5</formula>
    </cfRule>
    <cfRule type="cellIs" dxfId="2046" priority="11703" operator="equal">
      <formula>4</formula>
    </cfRule>
    <cfRule type="cellIs" dxfId="2045" priority="11704" operator="equal">
      <formula>1</formula>
    </cfRule>
    <cfRule type="cellIs" dxfId="2044" priority="11705" operator="equal">
      <formula>3</formula>
    </cfRule>
    <cfRule type="cellIs" dxfId="2043" priority="11706" operator="equal">
      <formula>2</formula>
    </cfRule>
    <cfRule type="colorScale" priority="11707">
      <colorScale>
        <cfvo type="min" val="0"/>
        <cfvo type="percentile" val="50"/>
        <cfvo type="max" val="0"/>
        <color rgb="FFF8696B"/>
        <color rgb="FFFFEB84"/>
        <color rgb="FF63BE7B"/>
      </colorScale>
    </cfRule>
    <cfRule type="colorScale" priority="11708">
      <colorScale>
        <cfvo type="num" val="1"/>
        <cfvo type="num" val="2"/>
        <cfvo type="num" val="3"/>
        <color rgb="FFF8696B"/>
        <color rgb="FFFFEB84"/>
        <color rgb="FF63BE7B"/>
      </colorScale>
    </cfRule>
    <cfRule type="colorScale" priority="11709">
      <colorScale>
        <cfvo type="num" val="1"/>
        <cfvo type="num" val="2"/>
        <cfvo type="num" val="3"/>
        <color rgb="FFF8696B"/>
        <color rgb="FFFFEB84"/>
        <color rgb="FF63BE7B"/>
      </colorScale>
    </cfRule>
  </conditionalFormatting>
  <conditionalFormatting sqref="M414">
    <cfRule type="cellIs" dxfId="2042" priority="10561" operator="equal">
      <formula>5</formula>
    </cfRule>
    <cfRule type="cellIs" dxfId="2041" priority="10562" operator="equal">
      <formula>4</formula>
    </cfRule>
    <cfRule type="cellIs" dxfId="2040" priority="10563" operator="equal">
      <formula>1</formula>
    </cfRule>
    <cfRule type="cellIs" dxfId="2039" priority="10564" operator="equal">
      <formula>3</formula>
    </cfRule>
    <cfRule type="cellIs" dxfId="2038" priority="10565" operator="equal">
      <formula>2</formula>
    </cfRule>
    <cfRule type="colorScale" priority="10566">
      <colorScale>
        <cfvo type="min" val="0"/>
        <cfvo type="percentile" val="50"/>
        <cfvo type="max" val="0"/>
        <color rgb="FFF8696B"/>
        <color rgb="FFFFEB84"/>
        <color rgb="FF63BE7B"/>
      </colorScale>
    </cfRule>
    <cfRule type="colorScale" priority="10567">
      <colorScale>
        <cfvo type="num" val="1"/>
        <cfvo type="num" val="2"/>
        <cfvo type="num" val="3"/>
        <color rgb="FFF8696B"/>
        <color rgb="FFFFEB84"/>
        <color rgb="FF63BE7B"/>
      </colorScale>
    </cfRule>
    <cfRule type="colorScale" priority="10568">
      <colorScale>
        <cfvo type="num" val="1"/>
        <cfvo type="num" val="2"/>
        <cfvo type="num" val="3"/>
        <color rgb="FFF8696B"/>
        <color rgb="FFFFEB84"/>
        <color rgb="FF63BE7B"/>
      </colorScale>
    </cfRule>
    <cfRule type="colorScale" priority="10569">
      <colorScale>
        <cfvo type="num" val="1"/>
        <cfvo type="num" val="2"/>
        <cfvo type="num" val="3"/>
        <color rgb="FFF8696B"/>
        <color rgb="FFFFEB84"/>
        <color rgb="FF63BE7B"/>
      </colorScale>
    </cfRule>
    <cfRule type="colorScale" priority="10570">
      <colorScale>
        <cfvo type="num" val="1"/>
        <cfvo type="num" val="2"/>
        <cfvo type="num" val="3"/>
        <color rgb="FFF8696B"/>
        <color rgb="FFFFEB84"/>
        <color rgb="FF63BE7B"/>
      </colorScale>
    </cfRule>
    <cfRule type="colorScale" priority="10571">
      <colorScale>
        <cfvo type="num" val="1"/>
        <cfvo type="num" val="2"/>
        <cfvo type="num" val="3"/>
        <color rgb="FFF8696B"/>
        <color rgb="FFFFEB84"/>
        <color rgb="FF63BE7B"/>
      </colorScale>
    </cfRule>
    <cfRule type="colorScale" priority="10572">
      <colorScale>
        <cfvo type="num" val="1"/>
        <cfvo type="num" val="2"/>
        <cfvo type="num" val="3"/>
        <color rgb="FFF8696B"/>
        <color rgb="FFFFEB84"/>
        <color rgb="FF63BE7B"/>
      </colorScale>
    </cfRule>
  </conditionalFormatting>
  <conditionalFormatting sqref="M416">
    <cfRule type="cellIs" dxfId="2037" priority="10553" operator="equal">
      <formula>5</formula>
    </cfRule>
    <cfRule type="cellIs" dxfId="2036" priority="10554" operator="equal">
      <formula>4</formula>
    </cfRule>
    <cfRule type="cellIs" dxfId="2035" priority="10555" operator="equal">
      <formula>1</formula>
    </cfRule>
    <cfRule type="cellIs" dxfId="2034" priority="10556" operator="equal">
      <formula>3</formula>
    </cfRule>
    <cfRule type="cellIs" dxfId="2033" priority="10557" operator="equal">
      <formula>2</formula>
    </cfRule>
    <cfRule type="colorScale" priority="10558">
      <colorScale>
        <cfvo type="min" val="0"/>
        <cfvo type="percentile" val="50"/>
        <cfvo type="max" val="0"/>
        <color rgb="FFF8696B"/>
        <color rgb="FFFFEB84"/>
        <color rgb="FF63BE7B"/>
      </colorScale>
    </cfRule>
    <cfRule type="colorScale" priority="10559">
      <colorScale>
        <cfvo type="num" val="1"/>
        <cfvo type="num" val="2"/>
        <cfvo type="num" val="3"/>
        <color rgb="FFF8696B"/>
        <color rgb="FFFFEB84"/>
        <color rgb="FF63BE7B"/>
      </colorScale>
    </cfRule>
    <cfRule type="colorScale" priority="10560">
      <colorScale>
        <cfvo type="num" val="1"/>
        <cfvo type="num" val="2"/>
        <cfvo type="num" val="3"/>
        <color rgb="FFF8696B"/>
        <color rgb="FFFFEB84"/>
        <color rgb="FF63BE7B"/>
      </colorScale>
    </cfRule>
  </conditionalFormatting>
  <conditionalFormatting sqref="M422">
    <cfRule type="cellIs" dxfId="2032" priority="10457" operator="equal">
      <formula>5</formula>
    </cfRule>
    <cfRule type="cellIs" dxfId="2031" priority="10458" operator="equal">
      <formula>4</formula>
    </cfRule>
    <cfRule type="cellIs" dxfId="2030" priority="10459" operator="equal">
      <formula>1</formula>
    </cfRule>
    <cfRule type="cellIs" dxfId="2029" priority="10460" operator="equal">
      <formula>3</formula>
    </cfRule>
    <cfRule type="cellIs" dxfId="2028" priority="10461" operator="equal">
      <formula>2</formula>
    </cfRule>
    <cfRule type="colorScale" priority="10462">
      <colorScale>
        <cfvo type="min" val="0"/>
        <cfvo type="percentile" val="50"/>
        <cfvo type="max" val="0"/>
        <color rgb="FFF8696B"/>
        <color rgb="FFFFEB84"/>
        <color rgb="FF63BE7B"/>
      </colorScale>
    </cfRule>
    <cfRule type="colorScale" priority="10463">
      <colorScale>
        <cfvo type="num" val="1"/>
        <cfvo type="num" val="2"/>
        <cfvo type="num" val="3"/>
        <color rgb="FFF8696B"/>
        <color rgb="FFFFEB84"/>
        <color rgb="FF63BE7B"/>
      </colorScale>
    </cfRule>
    <cfRule type="colorScale" priority="10464">
      <colorScale>
        <cfvo type="num" val="1"/>
        <cfvo type="num" val="2"/>
        <cfvo type="num" val="3"/>
        <color rgb="FFF8696B"/>
        <color rgb="FFFFEB84"/>
        <color rgb="FF63BE7B"/>
      </colorScale>
    </cfRule>
  </conditionalFormatting>
  <conditionalFormatting sqref="M442">
    <cfRule type="cellIs" dxfId="2027" priority="9447" operator="equal">
      <formula>5</formula>
    </cfRule>
    <cfRule type="cellIs" dxfId="2026" priority="9448" operator="equal">
      <formula>4</formula>
    </cfRule>
    <cfRule type="cellIs" dxfId="2025" priority="9449" operator="equal">
      <formula>1</formula>
    </cfRule>
    <cfRule type="cellIs" dxfId="2024" priority="9450" operator="equal">
      <formula>3</formula>
    </cfRule>
    <cfRule type="cellIs" dxfId="2023" priority="9451" operator="equal">
      <formula>2</formula>
    </cfRule>
    <cfRule type="colorScale" priority="9452">
      <colorScale>
        <cfvo type="min" val="0"/>
        <cfvo type="percentile" val="50"/>
        <cfvo type="max" val="0"/>
        <color rgb="FFF8696B"/>
        <color rgb="FFFFEB84"/>
        <color rgb="FF63BE7B"/>
      </colorScale>
    </cfRule>
    <cfRule type="colorScale" priority="9453">
      <colorScale>
        <cfvo type="num" val="1"/>
        <cfvo type="num" val="2"/>
        <cfvo type="num" val="3"/>
        <color rgb="FFF8696B"/>
        <color rgb="FFFFEB84"/>
        <color rgb="FF63BE7B"/>
      </colorScale>
    </cfRule>
    <cfRule type="colorScale" priority="9454">
      <colorScale>
        <cfvo type="num" val="1"/>
        <cfvo type="num" val="2"/>
        <cfvo type="num" val="3"/>
        <color rgb="FFF8696B"/>
        <color rgb="FFFFEB84"/>
        <color rgb="FF63BE7B"/>
      </colorScale>
    </cfRule>
    <cfRule type="colorScale" priority="9455">
      <colorScale>
        <cfvo type="num" val="1"/>
        <cfvo type="num" val="2"/>
        <cfvo type="num" val="3"/>
        <color rgb="FFF8696B"/>
        <color rgb="FFFFEB84"/>
        <color rgb="FF63BE7B"/>
      </colorScale>
    </cfRule>
    <cfRule type="colorScale" priority="9456">
      <colorScale>
        <cfvo type="num" val="1"/>
        <cfvo type="num" val="2"/>
        <cfvo type="num" val="3"/>
        <color rgb="FFF8696B"/>
        <color rgb="FFFFEB84"/>
        <color rgb="FF63BE7B"/>
      </colorScale>
    </cfRule>
    <cfRule type="colorScale" priority="9457">
      <colorScale>
        <cfvo type="num" val="1"/>
        <cfvo type="num" val="2"/>
        <cfvo type="num" val="3"/>
        <color rgb="FFF8696B"/>
        <color rgb="FFFFEB84"/>
        <color rgb="FF63BE7B"/>
      </colorScale>
    </cfRule>
    <cfRule type="colorScale" priority="9458">
      <colorScale>
        <cfvo type="num" val="1"/>
        <cfvo type="num" val="2"/>
        <cfvo type="num" val="3"/>
        <color rgb="FFF8696B"/>
        <color rgb="FFFFEB84"/>
        <color rgb="FF63BE7B"/>
      </colorScale>
    </cfRule>
  </conditionalFormatting>
  <conditionalFormatting sqref="M444">
    <cfRule type="cellIs" dxfId="2022" priority="9439" operator="equal">
      <formula>5</formula>
    </cfRule>
    <cfRule type="cellIs" dxfId="2021" priority="9440" operator="equal">
      <formula>4</formula>
    </cfRule>
    <cfRule type="cellIs" dxfId="2020" priority="9441" operator="equal">
      <formula>1</formula>
    </cfRule>
    <cfRule type="cellIs" dxfId="2019" priority="9442" operator="equal">
      <formula>3</formula>
    </cfRule>
    <cfRule type="cellIs" dxfId="2018" priority="9443" operator="equal">
      <formula>2</formula>
    </cfRule>
    <cfRule type="colorScale" priority="9444">
      <colorScale>
        <cfvo type="min" val="0"/>
        <cfvo type="percentile" val="50"/>
        <cfvo type="max" val="0"/>
        <color rgb="FFF8696B"/>
        <color rgb="FFFFEB84"/>
        <color rgb="FF63BE7B"/>
      </colorScale>
    </cfRule>
    <cfRule type="colorScale" priority="9445">
      <colorScale>
        <cfvo type="num" val="1"/>
        <cfvo type="num" val="2"/>
        <cfvo type="num" val="3"/>
        <color rgb="FFF8696B"/>
        <color rgb="FFFFEB84"/>
        <color rgb="FF63BE7B"/>
      </colorScale>
    </cfRule>
    <cfRule type="colorScale" priority="9446">
      <colorScale>
        <cfvo type="num" val="1"/>
        <cfvo type="num" val="2"/>
        <cfvo type="num" val="3"/>
        <color rgb="FFF8696B"/>
        <color rgb="FFFFEB84"/>
        <color rgb="FF63BE7B"/>
      </colorScale>
    </cfRule>
  </conditionalFormatting>
  <conditionalFormatting sqref="M450">
    <cfRule type="cellIs" dxfId="2017" priority="9331" operator="equal">
      <formula>5</formula>
    </cfRule>
    <cfRule type="cellIs" dxfId="2016" priority="9332" operator="equal">
      <formula>4</formula>
    </cfRule>
    <cfRule type="cellIs" dxfId="2015" priority="9333" operator="equal">
      <formula>1</formula>
    </cfRule>
    <cfRule type="cellIs" dxfId="2014" priority="9334" operator="equal">
      <formula>3</formula>
    </cfRule>
    <cfRule type="cellIs" dxfId="2013" priority="9335" operator="equal">
      <formula>2</formula>
    </cfRule>
    <cfRule type="colorScale" priority="9336">
      <colorScale>
        <cfvo type="min" val="0"/>
        <cfvo type="percentile" val="50"/>
        <cfvo type="max" val="0"/>
        <color rgb="FFF8696B"/>
        <color rgb="FFFFEB84"/>
        <color rgb="FF63BE7B"/>
      </colorScale>
    </cfRule>
    <cfRule type="colorScale" priority="9337">
      <colorScale>
        <cfvo type="num" val="1"/>
        <cfvo type="num" val="2"/>
        <cfvo type="num" val="3"/>
        <color rgb="FFF8696B"/>
        <color rgb="FFFFEB84"/>
        <color rgb="FF63BE7B"/>
      </colorScale>
    </cfRule>
    <cfRule type="colorScale" priority="9338">
      <colorScale>
        <cfvo type="num" val="1"/>
        <cfvo type="num" val="2"/>
        <cfvo type="num" val="3"/>
        <color rgb="FFF8696B"/>
        <color rgb="FFFFEB84"/>
        <color rgb="FF63BE7B"/>
      </colorScale>
    </cfRule>
  </conditionalFormatting>
  <conditionalFormatting sqref="M470">
    <cfRule type="cellIs" dxfId="2012" priority="8298" operator="equal">
      <formula>5</formula>
    </cfRule>
    <cfRule type="cellIs" dxfId="2011" priority="8299" operator="equal">
      <formula>4</formula>
    </cfRule>
    <cfRule type="cellIs" dxfId="2010" priority="8300" operator="equal">
      <formula>1</formula>
    </cfRule>
    <cfRule type="cellIs" dxfId="2009" priority="8301" operator="equal">
      <formula>3</formula>
    </cfRule>
    <cfRule type="cellIs" dxfId="2008" priority="8302" operator="equal">
      <formula>2</formula>
    </cfRule>
    <cfRule type="colorScale" priority="8303">
      <colorScale>
        <cfvo type="min" val="0"/>
        <cfvo type="percentile" val="50"/>
        <cfvo type="max" val="0"/>
        <color rgb="FFF8696B"/>
        <color rgb="FFFFEB84"/>
        <color rgb="FF63BE7B"/>
      </colorScale>
    </cfRule>
    <cfRule type="colorScale" priority="8304">
      <colorScale>
        <cfvo type="num" val="1"/>
        <cfvo type="num" val="2"/>
        <cfvo type="num" val="3"/>
        <color rgb="FFF8696B"/>
        <color rgb="FFFFEB84"/>
        <color rgb="FF63BE7B"/>
      </colorScale>
    </cfRule>
    <cfRule type="colorScale" priority="8305">
      <colorScale>
        <cfvo type="num" val="1"/>
        <cfvo type="num" val="2"/>
        <cfvo type="num" val="3"/>
        <color rgb="FFF8696B"/>
        <color rgb="FFFFEB84"/>
        <color rgb="FF63BE7B"/>
      </colorScale>
    </cfRule>
    <cfRule type="colorScale" priority="8306">
      <colorScale>
        <cfvo type="num" val="1"/>
        <cfvo type="num" val="2"/>
        <cfvo type="num" val="3"/>
        <color rgb="FFF8696B"/>
        <color rgb="FFFFEB84"/>
        <color rgb="FF63BE7B"/>
      </colorScale>
    </cfRule>
    <cfRule type="colorScale" priority="8307">
      <colorScale>
        <cfvo type="num" val="1"/>
        <cfvo type="num" val="2"/>
        <cfvo type="num" val="3"/>
        <color rgb="FFF8696B"/>
        <color rgb="FFFFEB84"/>
        <color rgb="FF63BE7B"/>
      </colorScale>
    </cfRule>
    <cfRule type="colorScale" priority="8308">
      <colorScale>
        <cfvo type="num" val="1"/>
        <cfvo type="num" val="2"/>
        <cfvo type="num" val="3"/>
        <color rgb="FFF8696B"/>
        <color rgb="FFFFEB84"/>
        <color rgb="FF63BE7B"/>
      </colorScale>
    </cfRule>
    <cfRule type="colorScale" priority="8309">
      <colorScale>
        <cfvo type="num" val="1"/>
        <cfvo type="num" val="2"/>
        <cfvo type="num" val="3"/>
        <color rgb="FFF8696B"/>
        <color rgb="FFFFEB84"/>
        <color rgb="FF63BE7B"/>
      </colorScale>
    </cfRule>
  </conditionalFormatting>
  <conditionalFormatting sqref="M472">
    <cfRule type="cellIs" dxfId="2007" priority="8290" operator="equal">
      <formula>5</formula>
    </cfRule>
    <cfRule type="cellIs" dxfId="2006" priority="8291" operator="equal">
      <formula>4</formula>
    </cfRule>
    <cfRule type="cellIs" dxfId="2005" priority="8292" operator="equal">
      <formula>1</formula>
    </cfRule>
    <cfRule type="cellIs" dxfId="2004" priority="8293" operator="equal">
      <formula>3</formula>
    </cfRule>
    <cfRule type="cellIs" dxfId="2003" priority="8294" operator="equal">
      <formula>2</formula>
    </cfRule>
    <cfRule type="colorScale" priority="8295">
      <colorScale>
        <cfvo type="min" val="0"/>
        <cfvo type="percentile" val="50"/>
        <cfvo type="max" val="0"/>
        <color rgb="FFF8696B"/>
        <color rgb="FFFFEB84"/>
        <color rgb="FF63BE7B"/>
      </colorScale>
    </cfRule>
    <cfRule type="colorScale" priority="8296">
      <colorScale>
        <cfvo type="num" val="1"/>
        <cfvo type="num" val="2"/>
        <cfvo type="num" val="3"/>
        <color rgb="FFF8696B"/>
        <color rgb="FFFFEB84"/>
        <color rgb="FF63BE7B"/>
      </colorScale>
    </cfRule>
    <cfRule type="colorScale" priority="8297">
      <colorScale>
        <cfvo type="num" val="1"/>
        <cfvo type="num" val="2"/>
        <cfvo type="num" val="3"/>
        <color rgb="FFF8696B"/>
        <color rgb="FFFFEB84"/>
        <color rgb="FF63BE7B"/>
      </colorScale>
    </cfRule>
  </conditionalFormatting>
  <conditionalFormatting sqref="M478">
    <cfRule type="cellIs" dxfId="2002" priority="8194" operator="equal">
      <formula>5</formula>
    </cfRule>
    <cfRule type="cellIs" dxfId="2001" priority="8195" operator="equal">
      <formula>4</formula>
    </cfRule>
    <cfRule type="cellIs" dxfId="2000" priority="8196" operator="equal">
      <formula>1</formula>
    </cfRule>
    <cfRule type="cellIs" dxfId="1999" priority="8197" operator="equal">
      <formula>3</formula>
    </cfRule>
    <cfRule type="cellIs" dxfId="1998" priority="8198" operator="equal">
      <formula>2</formula>
    </cfRule>
    <cfRule type="colorScale" priority="8199">
      <colorScale>
        <cfvo type="min" val="0"/>
        <cfvo type="percentile" val="50"/>
        <cfvo type="max" val="0"/>
        <color rgb="FFF8696B"/>
        <color rgb="FFFFEB84"/>
        <color rgb="FF63BE7B"/>
      </colorScale>
    </cfRule>
    <cfRule type="colorScale" priority="8200">
      <colorScale>
        <cfvo type="num" val="1"/>
        <cfvo type="num" val="2"/>
        <cfvo type="num" val="3"/>
        <color rgb="FFF8696B"/>
        <color rgb="FFFFEB84"/>
        <color rgb="FF63BE7B"/>
      </colorScale>
    </cfRule>
    <cfRule type="colorScale" priority="8201">
      <colorScale>
        <cfvo type="num" val="1"/>
        <cfvo type="num" val="2"/>
        <cfvo type="num" val="3"/>
        <color rgb="FFF8696B"/>
        <color rgb="FFFFEB84"/>
        <color rgb="FF63BE7B"/>
      </colorScale>
    </cfRule>
  </conditionalFormatting>
  <conditionalFormatting sqref="M497">
    <cfRule type="cellIs" dxfId="1997" priority="7183" operator="equal">
      <formula>5</formula>
    </cfRule>
    <cfRule type="cellIs" dxfId="1996" priority="7184" operator="equal">
      <formula>4</formula>
    </cfRule>
    <cfRule type="cellIs" dxfId="1995" priority="7185" operator="equal">
      <formula>1</formula>
    </cfRule>
    <cfRule type="cellIs" dxfId="1994" priority="7186" operator="equal">
      <formula>3</formula>
    </cfRule>
    <cfRule type="cellIs" dxfId="1993" priority="7187" operator="equal">
      <formula>2</formula>
    </cfRule>
    <cfRule type="colorScale" priority="7188">
      <colorScale>
        <cfvo type="min" val="0"/>
        <cfvo type="percentile" val="50"/>
        <cfvo type="max" val="0"/>
        <color rgb="FFF8696B"/>
        <color rgb="FFFFEB84"/>
        <color rgb="FF63BE7B"/>
      </colorScale>
    </cfRule>
    <cfRule type="colorScale" priority="7189">
      <colorScale>
        <cfvo type="num" val="1"/>
        <cfvo type="num" val="2"/>
        <cfvo type="num" val="3"/>
        <color rgb="FFF8696B"/>
        <color rgb="FFFFEB84"/>
        <color rgb="FF63BE7B"/>
      </colorScale>
    </cfRule>
    <cfRule type="colorScale" priority="7190">
      <colorScale>
        <cfvo type="num" val="1"/>
        <cfvo type="num" val="2"/>
        <cfvo type="num" val="3"/>
        <color rgb="FFF8696B"/>
        <color rgb="FFFFEB84"/>
        <color rgb="FF63BE7B"/>
      </colorScale>
    </cfRule>
    <cfRule type="colorScale" priority="7191">
      <colorScale>
        <cfvo type="num" val="1"/>
        <cfvo type="num" val="2"/>
        <cfvo type="num" val="3"/>
        <color rgb="FFF8696B"/>
        <color rgb="FFFFEB84"/>
        <color rgb="FF63BE7B"/>
      </colorScale>
    </cfRule>
    <cfRule type="colorScale" priority="7192">
      <colorScale>
        <cfvo type="num" val="1"/>
        <cfvo type="num" val="2"/>
        <cfvo type="num" val="3"/>
        <color rgb="FFF8696B"/>
        <color rgb="FFFFEB84"/>
        <color rgb="FF63BE7B"/>
      </colorScale>
    </cfRule>
    <cfRule type="colorScale" priority="7193">
      <colorScale>
        <cfvo type="num" val="1"/>
        <cfvo type="num" val="2"/>
        <cfvo type="num" val="3"/>
        <color rgb="FFF8696B"/>
        <color rgb="FFFFEB84"/>
        <color rgb="FF63BE7B"/>
      </colorScale>
    </cfRule>
    <cfRule type="colorScale" priority="7194">
      <colorScale>
        <cfvo type="num" val="1"/>
        <cfvo type="num" val="2"/>
        <cfvo type="num" val="3"/>
        <color rgb="FFF8696B"/>
        <color rgb="FFFFEB84"/>
        <color rgb="FF63BE7B"/>
      </colorScale>
    </cfRule>
  </conditionalFormatting>
  <conditionalFormatting sqref="M499">
    <cfRule type="cellIs" dxfId="1992" priority="7175" operator="equal">
      <formula>5</formula>
    </cfRule>
    <cfRule type="cellIs" dxfId="1991" priority="7176" operator="equal">
      <formula>4</formula>
    </cfRule>
    <cfRule type="cellIs" dxfId="1990" priority="7177" operator="equal">
      <formula>1</formula>
    </cfRule>
    <cfRule type="cellIs" dxfId="1989" priority="7178" operator="equal">
      <formula>3</formula>
    </cfRule>
    <cfRule type="cellIs" dxfId="1988" priority="7179" operator="equal">
      <formula>2</formula>
    </cfRule>
    <cfRule type="colorScale" priority="7180">
      <colorScale>
        <cfvo type="min" val="0"/>
        <cfvo type="percentile" val="50"/>
        <cfvo type="max" val="0"/>
        <color rgb="FFF8696B"/>
        <color rgb="FFFFEB84"/>
        <color rgb="FF63BE7B"/>
      </colorScale>
    </cfRule>
    <cfRule type="colorScale" priority="7181">
      <colorScale>
        <cfvo type="num" val="1"/>
        <cfvo type="num" val="2"/>
        <cfvo type="num" val="3"/>
        <color rgb="FFF8696B"/>
        <color rgb="FFFFEB84"/>
        <color rgb="FF63BE7B"/>
      </colorScale>
    </cfRule>
    <cfRule type="colorScale" priority="7182">
      <colorScale>
        <cfvo type="num" val="1"/>
        <cfvo type="num" val="2"/>
        <cfvo type="num" val="3"/>
        <color rgb="FFF8696B"/>
        <color rgb="FFFFEB84"/>
        <color rgb="FF63BE7B"/>
      </colorScale>
    </cfRule>
  </conditionalFormatting>
  <conditionalFormatting sqref="M505">
    <cfRule type="cellIs" dxfId="1987" priority="7079" operator="equal">
      <formula>5</formula>
    </cfRule>
    <cfRule type="cellIs" dxfId="1986" priority="7080" operator="equal">
      <formula>4</formula>
    </cfRule>
    <cfRule type="cellIs" dxfId="1985" priority="7081" operator="equal">
      <formula>1</formula>
    </cfRule>
    <cfRule type="cellIs" dxfId="1984" priority="7082" operator="equal">
      <formula>3</formula>
    </cfRule>
    <cfRule type="cellIs" dxfId="1983" priority="7083" operator="equal">
      <formula>2</formula>
    </cfRule>
    <cfRule type="colorScale" priority="7084">
      <colorScale>
        <cfvo type="min" val="0"/>
        <cfvo type="percentile" val="50"/>
        <cfvo type="max" val="0"/>
        <color rgb="FFF8696B"/>
        <color rgb="FFFFEB84"/>
        <color rgb="FF63BE7B"/>
      </colorScale>
    </cfRule>
    <cfRule type="colorScale" priority="7085">
      <colorScale>
        <cfvo type="num" val="1"/>
        <cfvo type="num" val="2"/>
        <cfvo type="num" val="3"/>
        <color rgb="FFF8696B"/>
        <color rgb="FFFFEB84"/>
        <color rgb="FF63BE7B"/>
      </colorScale>
    </cfRule>
    <cfRule type="colorScale" priority="7086">
      <colorScale>
        <cfvo type="num" val="1"/>
        <cfvo type="num" val="2"/>
        <cfvo type="num" val="3"/>
        <color rgb="FFF8696B"/>
        <color rgb="FFFFEB84"/>
        <color rgb="FF63BE7B"/>
      </colorScale>
    </cfRule>
  </conditionalFormatting>
  <conditionalFormatting sqref="N64">
    <cfRule type="cellIs" dxfId="1982" priority="35180" operator="equal">
      <formula>5</formula>
    </cfRule>
    <cfRule type="cellIs" dxfId="1981" priority="35181" operator="equal">
      <formula>4</formula>
    </cfRule>
    <cfRule type="cellIs" dxfId="1980" priority="35182" operator="equal">
      <formula>1</formula>
    </cfRule>
    <cfRule type="colorScale" priority="35185">
      <colorScale>
        <cfvo type="num" val="1"/>
        <cfvo type="num" val="2"/>
        <cfvo type="num" val="3"/>
        <color rgb="FFF8696B"/>
        <color rgb="FFFFEB84"/>
        <color rgb="FF63BE7B"/>
      </colorScale>
    </cfRule>
    <cfRule type="colorScale" priority="35186">
      <colorScale>
        <cfvo type="num" val="1"/>
        <cfvo type="num" val="2"/>
        <cfvo type="num" val="3"/>
        <color rgb="FFF8696B"/>
        <color rgb="FFFFEB84"/>
        <color rgb="FF63BE7B"/>
      </colorScale>
    </cfRule>
    <cfRule type="colorScale" priority="35187">
      <colorScale>
        <cfvo type="min" val="0"/>
        <cfvo type="percentile" val="50"/>
        <cfvo type="max" val="0"/>
        <color rgb="FFF8696B"/>
        <color rgb="FFFFEB84"/>
        <color rgb="FF63BE7B"/>
      </colorScale>
    </cfRule>
  </conditionalFormatting>
  <conditionalFormatting sqref="N72">
    <cfRule type="cellIs" dxfId="1979" priority="35172" operator="equal">
      <formula>5</formula>
    </cfRule>
    <cfRule type="cellIs" dxfId="1978" priority="35173" operator="equal">
      <formula>4</formula>
    </cfRule>
    <cfRule type="cellIs" dxfId="1977" priority="35174" operator="equal">
      <formula>1</formula>
    </cfRule>
    <cfRule type="colorScale" priority="35177">
      <colorScale>
        <cfvo type="num" val="1"/>
        <cfvo type="num" val="2"/>
        <cfvo type="num" val="3"/>
        <color rgb="FFF8696B"/>
        <color rgb="FFFFEB84"/>
        <color rgb="FF63BE7B"/>
      </colorScale>
    </cfRule>
    <cfRule type="colorScale" priority="35178">
      <colorScale>
        <cfvo type="num" val="1"/>
        <cfvo type="num" val="2"/>
        <cfvo type="num" val="3"/>
        <color rgb="FFF8696B"/>
        <color rgb="FFFFEB84"/>
        <color rgb="FF63BE7B"/>
      </colorScale>
    </cfRule>
    <cfRule type="colorScale" priority="35179">
      <colorScale>
        <cfvo type="min" val="0"/>
        <cfvo type="percentile" val="50"/>
        <cfvo type="max" val="0"/>
        <color rgb="FFF8696B"/>
        <color rgb="FFFFEB84"/>
        <color rgb="FF63BE7B"/>
      </colorScale>
    </cfRule>
  </conditionalFormatting>
  <conditionalFormatting sqref="O450:R450 O422:V422 O478:V478 O505:V505 O224:P224 O337:R337 O365:V365 P232 O310:V310 Y310:AC310 O260:P260 P268 O165:P165 R165 O15:R15 O105:R105 O138:R138 O196:R196">
    <cfRule type="colorScale" priority="15333">
      <colorScale>
        <cfvo type="num" val="1"/>
        <cfvo type="num" val="2"/>
        <cfvo type="num" val="3"/>
        <color rgb="FFF8696B"/>
        <color rgb="FFFFEB84"/>
        <color rgb="FF63BE7B"/>
      </colorScale>
    </cfRule>
    <cfRule type="colorScale" priority="15334">
      <colorScale>
        <cfvo type="num" val="1"/>
        <cfvo type="num" val="2"/>
        <cfvo type="num" val="3"/>
        <color rgb="FFF8696B"/>
        <color rgb="FFFFEB84"/>
        <color rgb="FF63BE7B"/>
      </colorScale>
    </cfRule>
    <cfRule type="colorScale" priority="15335">
      <colorScale>
        <cfvo type="num" val="1"/>
        <cfvo type="num" val="2"/>
        <cfvo type="num" val="3"/>
        <color rgb="FFF8696B"/>
        <color rgb="FFFFEB84"/>
        <color rgb="FF63BE7B"/>
      </colorScale>
    </cfRule>
    <cfRule type="colorScale" priority="15336">
      <colorScale>
        <cfvo type="num" val="1"/>
        <cfvo type="num" val="2"/>
        <cfvo type="num" val="3"/>
        <color rgb="FFF8696B"/>
        <color rgb="FFFFEB84"/>
        <color rgb="FF63BE7B"/>
      </colorScale>
    </cfRule>
    <cfRule type="colorScale" priority="15337">
      <colorScale>
        <cfvo type="num" val="1"/>
        <cfvo type="num" val="2"/>
        <cfvo type="num" val="3"/>
        <color rgb="FFF8696B"/>
        <color rgb="FFFFEB84"/>
        <color rgb="FF63BE7B"/>
      </colorScale>
    </cfRule>
    <cfRule type="colorScale" priority="19662">
      <colorScale>
        <cfvo type="num" val="1"/>
        <cfvo type="num" val="2"/>
        <cfvo type="num" val="3"/>
        <color rgb="FFF8696B"/>
        <color rgb="FFFFEB84"/>
        <color rgb="FF63BE7B"/>
      </colorScale>
    </cfRule>
    <cfRule type="colorScale" priority="19670">
      <colorScale>
        <cfvo type="num" val="1"/>
        <cfvo type="num" val="2"/>
        <cfvo type="num" val="3"/>
        <color rgb="FFF8696B"/>
        <color rgb="FFFFEB84"/>
        <color rgb="FF63BE7B"/>
      </colorScale>
    </cfRule>
    <cfRule type="colorScale" priority="19672">
      <colorScale>
        <cfvo type="num" val="1"/>
        <cfvo type="num" val="2"/>
        <cfvo type="num" val="3"/>
        <color rgb="FFF8696B"/>
        <color rgb="FFFFEB84"/>
        <color rgb="FF63BE7B"/>
      </colorScale>
    </cfRule>
    <cfRule type="colorScale" priority="19676">
      <colorScale>
        <cfvo type="num" val="1"/>
        <cfvo type="num" val="2"/>
        <cfvo type="num" val="3"/>
        <color rgb="FFF8696B"/>
        <color rgb="FFFFEB84"/>
        <color rgb="FF63BE7B"/>
      </colorScale>
    </cfRule>
    <cfRule type="colorScale" priority="19677">
      <colorScale>
        <cfvo type="num" val="1"/>
        <cfvo type="num" val="2"/>
        <cfvo type="num" val="3"/>
        <color rgb="FFF8696B"/>
        <color rgb="FFFFEB84"/>
        <color rgb="FF63BE7B"/>
      </colorScale>
    </cfRule>
    <cfRule type="colorScale" priority="19715">
      <colorScale>
        <cfvo type="num" val="1"/>
        <cfvo type="num" val="2"/>
        <cfvo type="num" val="3"/>
        <color rgb="FFF8696B"/>
        <color rgb="FFFFEB84"/>
        <color rgb="FF63BE7B"/>
      </colorScale>
    </cfRule>
    <cfRule type="colorScale" priority="19723">
      <colorScale>
        <cfvo type="num" val="1"/>
        <cfvo type="num" val="2"/>
        <cfvo type="num" val="3"/>
        <color rgb="FFF8696B"/>
        <color rgb="FFFFEB84"/>
        <color rgb="FF63BE7B"/>
      </colorScale>
    </cfRule>
    <cfRule type="colorScale" priority="19725">
      <colorScale>
        <cfvo type="num" val="1"/>
        <cfvo type="num" val="2"/>
        <cfvo type="num" val="3"/>
        <color rgb="FFF8696B"/>
        <color rgb="FFFFEB84"/>
        <color rgb="FF63BE7B"/>
      </colorScale>
    </cfRule>
    <cfRule type="colorScale" priority="19727">
      <colorScale>
        <cfvo type="num" val="1"/>
        <cfvo type="num" val="2"/>
        <cfvo type="num" val="3"/>
        <color rgb="FFF8696B"/>
        <color rgb="FFFFEB84"/>
        <color rgb="FF63BE7B"/>
      </colorScale>
    </cfRule>
    <cfRule type="colorScale" priority="19728">
      <colorScale>
        <cfvo type="num" val="1"/>
        <cfvo type="num" val="2"/>
        <cfvo type="num" val="3"/>
        <color rgb="FFF8696B"/>
        <color rgb="FFFFEB84"/>
        <color rgb="FF63BE7B"/>
      </colorScale>
    </cfRule>
    <cfRule type="colorScale" priority="19794">
      <colorScale>
        <cfvo type="num" val="1"/>
        <cfvo type="num" val="2"/>
        <cfvo type="num" val="3"/>
        <color rgb="FFF8696B"/>
        <color rgb="FFFFEB84"/>
        <color rgb="FF63BE7B"/>
      </colorScale>
    </cfRule>
    <cfRule type="colorScale" priority="19850">
      <colorScale>
        <cfvo type="num" val="1"/>
        <cfvo type="num" val="2"/>
        <cfvo type="num" val="3"/>
        <color rgb="FFF8696B"/>
        <color rgb="FFFFEB84"/>
        <color rgb="FF63BE7B"/>
      </colorScale>
    </cfRule>
  </conditionalFormatting>
  <conditionalFormatting sqref="O412 O440 O468 O495 O387 O232 O294 O327 O355 O268:U268 O367 P389 Q391 R393 O5 O91 O122 O155 O194">
    <cfRule type="colorScale" priority="44973">
      <colorScale>
        <cfvo type="num" val="1"/>
        <cfvo type="num" val="2"/>
        <cfvo type="num" val="3"/>
        <color rgb="FFF8696B"/>
        <color rgb="FFFFEB84"/>
        <color rgb="FF63BE7B"/>
      </colorScale>
    </cfRule>
    <cfRule type="colorScale" priority="44974">
      <colorScale>
        <cfvo type="num" val="1"/>
        <cfvo type="num" val="2"/>
        <cfvo type="num" val="3"/>
        <color rgb="FFF8696B"/>
        <color rgb="FFFFEB84"/>
        <color rgb="FF63BE7B"/>
      </colorScale>
    </cfRule>
    <cfRule type="colorScale" priority="44975">
      <colorScale>
        <cfvo type="num" val="1"/>
        <cfvo type="num" val="2"/>
        <cfvo type="num" val="3"/>
        <color rgb="FFF8696B"/>
        <color rgb="FFFFEB84"/>
        <color rgb="FF63BE7B"/>
      </colorScale>
    </cfRule>
    <cfRule type="colorScale" priority="44977">
      <colorScale>
        <cfvo type="num" val="1"/>
        <cfvo type="num" val="2"/>
        <cfvo type="num" val="3"/>
        <color rgb="FFF8696B"/>
        <color rgb="FFFFEB84"/>
        <color rgb="FF63BE7B"/>
      </colorScale>
    </cfRule>
    <cfRule type="colorScale" priority="44978">
      <colorScale>
        <cfvo type="num" val="1"/>
        <cfvo type="num" val="2"/>
        <cfvo type="num" val="3"/>
        <color rgb="FFF8696B"/>
        <color rgb="FFFFEB84"/>
        <color rgb="FF63BE7B"/>
      </colorScale>
    </cfRule>
    <cfRule type="colorScale" priority="44979">
      <colorScale>
        <cfvo type="num" val="1"/>
        <cfvo type="num" val="2"/>
        <cfvo type="num" val="3"/>
        <color rgb="FFF8696B"/>
        <color rgb="FFFFEB84"/>
        <color rgb="FF63BE7B"/>
      </colorScale>
    </cfRule>
    <cfRule type="colorScale" priority="44980">
      <colorScale>
        <cfvo type="num" val="1"/>
        <cfvo type="num" val="2"/>
        <cfvo type="num" val="3"/>
        <color rgb="FFF8696B"/>
        <color rgb="FFFFEB84"/>
        <color rgb="FF63BE7B"/>
      </colorScale>
    </cfRule>
    <cfRule type="colorScale" priority="44981">
      <colorScale>
        <cfvo type="num" val="1"/>
        <cfvo type="num" val="2"/>
        <cfvo type="num" val="3"/>
        <color rgb="FFF8696B"/>
        <color rgb="FFFFEB84"/>
        <color rgb="FF63BE7B"/>
      </colorScale>
    </cfRule>
    <cfRule type="colorScale" priority="44982">
      <colorScale>
        <cfvo type="num" val="1"/>
        <cfvo type="num" val="2"/>
        <cfvo type="num" val="3"/>
        <color rgb="FFF8696B"/>
        <color rgb="FFFFEB84"/>
        <color rgb="FF63BE7B"/>
      </colorScale>
    </cfRule>
    <cfRule type="colorScale" priority="44983">
      <colorScale>
        <cfvo type="num" val="1"/>
        <cfvo type="num" val="2"/>
        <cfvo type="num" val="3"/>
        <color rgb="FFF8696B"/>
        <color rgb="FFFFEB84"/>
        <color rgb="FF63BE7B"/>
      </colorScale>
    </cfRule>
    <cfRule type="colorScale" priority="44985">
      <colorScale>
        <cfvo type="num" val="1"/>
        <cfvo type="num" val="2"/>
        <cfvo type="num" val="3"/>
        <color rgb="FFF8696B"/>
        <color rgb="FFFFEB84"/>
        <color rgb="FF63BE7B"/>
      </colorScale>
    </cfRule>
    <cfRule type="colorScale" priority="44987">
      <colorScale>
        <cfvo type="num" val="1"/>
        <cfvo type="num" val="2"/>
        <cfvo type="num" val="3"/>
        <color rgb="FFF8696B"/>
        <color rgb="FFFFEB84"/>
        <color rgb="FF63BE7B"/>
      </colorScale>
    </cfRule>
    <cfRule type="colorScale" priority="45179">
      <colorScale>
        <cfvo type="num" val="1"/>
        <cfvo type="num" val="2"/>
        <cfvo type="num" val="3"/>
        <color rgb="FFF8696B"/>
        <color rgb="FFFFEB84"/>
        <color rgb="FF63BE7B"/>
      </colorScale>
    </cfRule>
    <cfRule type="colorScale" priority="45180">
      <colorScale>
        <cfvo type="num" val="1"/>
        <cfvo type="num" val="2"/>
        <cfvo type="num" val="3"/>
        <color rgb="FFF8696B"/>
        <color rgb="FFFFEB84"/>
        <color rgb="FF63BE7B"/>
      </colorScale>
    </cfRule>
    <cfRule type="colorScale" priority="45181">
      <colorScale>
        <cfvo type="num" val="1"/>
        <cfvo type="num" val="2"/>
        <cfvo type="num" val="3"/>
        <color rgb="FFF8696B"/>
        <color rgb="FFFFEB84"/>
        <color rgb="FF63BE7B"/>
      </colorScale>
    </cfRule>
    <cfRule type="colorScale" priority="45183">
      <colorScale>
        <cfvo type="num" val="1"/>
        <cfvo type="num" val="2"/>
        <cfvo type="num" val="3"/>
        <color rgb="FFF8696B"/>
        <color rgb="FFFFEB84"/>
        <color rgb="FF63BE7B"/>
      </colorScale>
    </cfRule>
    <cfRule type="colorScale" priority="45184">
      <colorScale>
        <cfvo type="num" val="1"/>
        <cfvo type="num" val="2"/>
        <cfvo type="num" val="3"/>
        <color rgb="FFF8696B"/>
        <color rgb="FFFFEB84"/>
        <color rgb="FF63BE7B"/>
      </colorScale>
    </cfRule>
    <cfRule type="colorScale" priority="45185">
      <colorScale>
        <cfvo type="num" val="1"/>
        <cfvo type="num" val="2"/>
        <cfvo type="num" val="3"/>
        <color rgb="FFF8696B"/>
        <color rgb="FFFFEB84"/>
        <color rgb="FF63BE7B"/>
      </colorScale>
    </cfRule>
    <cfRule type="colorScale" priority="45186">
      <colorScale>
        <cfvo type="num" val="1"/>
        <cfvo type="num" val="2"/>
        <cfvo type="num" val="3"/>
        <color rgb="FFF8696B"/>
        <color rgb="FFFFEB84"/>
        <color rgb="FF63BE7B"/>
      </colorScale>
    </cfRule>
    <cfRule type="colorScale" priority="45187">
      <colorScale>
        <cfvo type="num" val="1"/>
        <cfvo type="num" val="2"/>
        <cfvo type="num" val="3"/>
        <color rgb="FFF8696B"/>
        <color rgb="FFFFEB84"/>
        <color rgb="FF63BE7B"/>
      </colorScale>
    </cfRule>
    <cfRule type="colorScale" priority="45188">
      <colorScale>
        <cfvo type="num" val="1"/>
        <cfvo type="num" val="2"/>
        <cfvo type="num" val="3"/>
        <color rgb="FFF8696B"/>
        <color rgb="FFFFEB84"/>
        <color rgb="FF63BE7B"/>
      </colorScale>
    </cfRule>
    <cfRule type="colorScale" priority="45189">
      <colorScale>
        <cfvo type="num" val="1"/>
        <cfvo type="num" val="2"/>
        <cfvo type="num" val="3"/>
        <color rgb="FFF8696B"/>
        <color rgb="FFFFEB84"/>
        <color rgb="FF63BE7B"/>
      </colorScale>
    </cfRule>
    <cfRule type="colorScale" priority="45191">
      <colorScale>
        <cfvo type="num" val="1"/>
        <cfvo type="num" val="2"/>
        <cfvo type="num" val="3"/>
        <color rgb="FFF8696B"/>
        <color rgb="FFFFEB84"/>
        <color rgb="FF63BE7B"/>
      </colorScale>
    </cfRule>
    <cfRule type="colorScale" priority="45193">
      <colorScale>
        <cfvo type="num" val="1"/>
        <cfvo type="num" val="2"/>
        <cfvo type="num" val="3"/>
        <color rgb="FFF8696B"/>
        <color rgb="FFFFEB84"/>
        <color rgb="FF63BE7B"/>
      </colorScale>
    </cfRule>
    <cfRule type="colorScale" priority="45680">
      <colorScale>
        <cfvo type="num" val="1"/>
        <cfvo type="num" val="2"/>
        <cfvo type="num" val="3"/>
        <color rgb="FFF8696B"/>
        <color rgb="FFFFEB84"/>
        <color rgb="FF63BE7B"/>
      </colorScale>
    </cfRule>
    <cfRule type="colorScale" priority="45708">
      <colorScale>
        <cfvo type="num" val="1"/>
        <cfvo type="num" val="2"/>
        <cfvo type="num" val="3"/>
        <color rgb="FFF8696B"/>
        <color rgb="FFFFEB84"/>
        <color rgb="FF63BE7B"/>
      </colorScale>
    </cfRule>
    <cfRule type="colorScale" priority="45709">
      <colorScale>
        <cfvo type="num" val="1"/>
        <cfvo type="num" val="2"/>
        <cfvo type="num" val="3"/>
        <color rgb="FFF8696B"/>
        <color rgb="FFFFEB84"/>
        <color rgb="FF63BE7B"/>
      </colorScale>
    </cfRule>
    <cfRule type="colorScale" priority="45710">
      <colorScale>
        <cfvo type="num" val="1"/>
        <cfvo type="num" val="2"/>
        <cfvo type="num" val="3"/>
        <color rgb="FFF8696B"/>
        <color rgb="FFFFEB84"/>
        <color rgb="FF63BE7B"/>
      </colorScale>
    </cfRule>
    <cfRule type="colorScale" priority="45711">
      <colorScale>
        <cfvo type="num" val="1"/>
        <cfvo type="num" val="2"/>
        <cfvo type="num" val="3"/>
        <color rgb="FFF8696B"/>
        <color rgb="FFFFEB84"/>
        <color rgb="FF63BE7B"/>
      </colorScale>
    </cfRule>
    <cfRule type="colorScale" priority="45712">
      <colorScale>
        <cfvo type="num" val="1"/>
        <cfvo type="num" val="2"/>
        <cfvo type="num" val="3"/>
        <color rgb="FFF8696B"/>
        <color rgb="FFFFEB84"/>
        <color rgb="FF63BE7B"/>
      </colorScale>
    </cfRule>
  </conditionalFormatting>
  <conditionalFormatting sqref="O38">
    <cfRule type="cellIs" dxfId="1976" priority="36415" operator="equal">
      <formula>5</formula>
    </cfRule>
    <cfRule type="cellIs" dxfId="1975" priority="36416" operator="equal">
      <formula>4</formula>
    </cfRule>
    <cfRule type="cellIs" dxfId="1974" priority="36417" operator="equal">
      <formula>1</formula>
    </cfRule>
    <cfRule type="colorScale" priority="36420">
      <colorScale>
        <cfvo type="min" val="0"/>
        <cfvo type="percentile" val="50"/>
        <cfvo type="max" val="0"/>
        <color rgb="FFF8696B"/>
        <color rgb="FFFFEB84"/>
        <color rgb="FF63BE7B"/>
      </colorScale>
    </cfRule>
    <cfRule type="colorScale" priority="36421">
      <colorScale>
        <cfvo type="num" val="1"/>
        <cfvo type="num" val="2"/>
        <cfvo type="num" val="3"/>
        <color rgb="FFF8696B"/>
        <color rgb="FFFFEB84"/>
        <color rgb="FF63BE7B"/>
      </colorScale>
    </cfRule>
    <cfRule type="colorScale" priority="36422">
      <colorScale>
        <cfvo type="num" val="1"/>
        <cfvo type="num" val="2"/>
        <cfvo type="num" val="3"/>
        <color rgb="FFF8696B"/>
        <color rgb="FFFFEB84"/>
        <color rgb="FF63BE7B"/>
      </colorScale>
    </cfRule>
  </conditionalFormatting>
  <conditionalFormatting sqref="O40">
    <cfRule type="cellIs" dxfId="1973" priority="36281" operator="equal">
      <formula>5</formula>
    </cfRule>
    <cfRule type="cellIs" dxfId="1972" priority="36282" operator="equal">
      <formula>4</formula>
    </cfRule>
    <cfRule type="cellIs" dxfId="1971" priority="36283" operator="equal">
      <formula>1</formula>
    </cfRule>
    <cfRule type="colorScale" priority="36286">
      <colorScale>
        <cfvo type="num" val="1"/>
        <cfvo type="num" val="2"/>
        <cfvo type="num" val="3"/>
        <color rgb="FFF8696B"/>
        <color rgb="FFFFEB84"/>
        <color rgb="FF63BE7B"/>
      </colorScale>
    </cfRule>
    <cfRule type="colorScale" priority="36287">
      <colorScale>
        <cfvo type="num" val="1"/>
        <cfvo type="num" val="2"/>
        <cfvo type="num" val="3"/>
        <color rgb="FFF8696B"/>
        <color rgb="FFFFEB84"/>
        <color rgb="FF63BE7B"/>
      </colorScale>
    </cfRule>
    <cfRule type="colorScale" priority="36288">
      <colorScale>
        <cfvo type="min" val="0"/>
        <cfvo type="percentile" val="50"/>
        <cfvo type="max" val="0"/>
        <color rgb="FFF8696B"/>
        <color rgb="FFFFEB84"/>
        <color rgb="FF63BE7B"/>
      </colorScale>
    </cfRule>
  </conditionalFormatting>
  <conditionalFormatting sqref="O44">
    <cfRule type="cellIs" dxfId="1970" priority="36289" operator="equal">
      <formula>5</formula>
    </cfRule>
    <cfRule type="cellIs" dxfId="1969" priority="36290" operator="equal">
      <formula>4</formula>
    </cfRule>
    <cfRule type="cellIs" dxfId="1968" priority="36291" operator="equal">
      <formula>1</formula>
    </cfRule>
    <cfRule type="cellIs" dxfId="1967" priority="36292" operator="equal">
      <formula>3</formula>
    </cfRule>
    <cfRule type="cellIs" dxfId="1966" priority="36293" operator="equal">
      <formula>2</formula>
    </cfRule>
    <cfRule type="colorScale" priority="36294">
      <colorScale>
        <cfvo type="num" val="1"/>
        <cfvo type="num" val="2"/>
        <cfvo type="num" val="3"/>
        <color rgb="FFF8696B"/>
        <color rgb="FFFFEB84"/>
        <color rgb="FF63BE7B"/>
      </colorScale>
    </cfRule>
    <cfRule type="colorScale" priority="36295">
      <colorScale>
        <cfvo type="num" val="1"/>
        <cfvo type="num" val="2"/>
        <cfvo type="num" val="3"/>
        <color rgb="FFF8696B"/>
        <color rgb="FFFFEB84"/>
        <color rgb="FF63BE7B"/>
      </colorScale>
    </cfRule>
    <cfRule type="colorScale" priority="36296">
      <colorScale>
        <cfvo type="min" val="0"/>
        <cfvo type="percentile" val="50"/>
        <cfvo type="max" val="0"/>
        <color rgb="FFF8696B"/>
        <color rgb="FFFFEB84"/>
        <color rgb="FF63BE7B"/>
      </colorScale>
    </cfRule>
  </conditionalFormatting>
  <conditionalFormatting sqref="O66">
    <cfRule type="cellIs" dxfId="1965" priority="35394" operator="equal">
      <formula>5</formula>
    </cfRule>
    <cfRule type="cellIs" dxfId="1964" priority="35395" operator="equal">
      <formula>4</formula>
    </cfRule>
    <cfRule type="cellIs" dxfId="1963" priority="35396" operator="equal">
      <formula>1</formula>
    </cfRule>
    <cfRule type="colorScale" priority="35399">
      <colorScale>
        <cfvo type="min" val="0"/>
        <cfvo type="percentile" val="50"/>
        <cfvo type="max" val="0"/>
        <color rgb="FFF8696B"/>
        <color rgb="FFFFEB84"/>
        <color rgb="FF63BE7B"/>
      </colorScale>
    </cfRule>
    <cfRule type="colorScale" priority="35400">
      <colorScale>
        <cfvo type="num" val="1"/>
        <cfvo type="num" val="2"/>
        <cfvo type="num" val="3"/>
        <color rgb="FFF8696B"/>
        <color rgb="FFFFEB84"/>
        <color rgb="FF63BE7B"/>
      </colorScale>
    </cfRule>
    <cfRule type="colorScale" priority="35401">
      <colorScale>
        <cfvo type="num" val="1"/>
        <cfvo type="num" val="2"/>
        <cfvo type="num" val="3"/>
        <color rgb="FFF8696B"/>
        <color rgb="FFFFEB84"/>
        <color rgb="FF63BE7B"/>
      </colorScale>
    </cfRule>
  </conditionalFormatting>
  <conditionalFormatting sqref="O68">
    <cfRule type="cellIs" dxfId="1962" priority="35276" operator="equal">
      <formula>5</formula>
    </cfRule>
    <cfRule type="cellIs" dxfId="1961" priority="35277" operator="equal">
      <formula>4</formula>
    </cfRule>
    <cfRule type="cellIs" dxfId="1960" priority="35278" operator="equal">
      <formula>1</formula>
    </cfRule>
    <cfRule type="colorScale" priority="35281">
      <colorScale>
        <cfvo type="num" val="1"/>
        <cfvo type="num" val="2"/>
        <cfvo type="num" val="3"/>
        <color rgb="FFF8696B"/>
        <color rgb="FFFFEB84"/>
        <color rgb="FF63BE7B"/>
      </colorScale>
    </cfRule>
    <cfRule type="colorScale" priority="35282">
      <colorScale>
        <cfvo type="num" val="1"/>
        <cfvo type="num" val="2"/>
        <cfvo type="num" val="3"/>
        <color rgb="FFF8696B"/>
        <color rgb="FFFFEB84"/>
        <color rgb="FF63BE7B"/>
      </colorScale>
    </cfRule>
    <cfRule type="colorScale" priority="35283">
      <colorScale>
        <cfvo type="min" val="0"/>
        <cfvo type="percentile" val="50"/>
        <cfvo type="max" val="0"/>
        <color rgb="FFF8696B"/>
        <color rgb="FFFFEB84"/>
        <color rgb="FF63BE7B"/>
      </colorScale>
    </cfRule>
  </conditionalFormatting>
  <conditionalFormatting sqref="O72">
    <cfRule type="cellIs" dxfId="1959" priority="35284" operator="equal">
      <formula>5</formula>
    </cfRule>
    <cfRule type="cellIs" dxfId="1958" priority="35285" operator="equal">
      <formula>4</formula>
    </cfRule>
    <cfRule type="cellIs" dxfId="1957" priority="35286" operator="equal">
      <formula>1</formula>
    </cfRule>
    <cfRule type="colorScale" priority="35289">
      <colorScale>
        <cfvo type="num" val="1"/>
        <cfvo type="num" val="2"/>
        <cfvo type="num" val="3"/>
        <color rgb="FFF8696B"/>
        <color rgb="FFFFEB84"/>
        <color rgb="FF63BE7B"/>
      </colorScale>
    </cfRule>
    <cfRule type="colorScale" priority="35290">
      <colorScale>
        <cfvo type="num" val="1"/>
        <cfvo type="num" val="2"/>
        <cfvo type="num" val="3"/>
        <color rgb="FFF8696B"/>
        <color rgb="FFFFEB84"/>
        <color rgb="FF63BE7B"/>
      </colorScale>
    </cfRule>
    <cfRule type="colorScale" priority="35291">
      <colorScale>
        <cfvo type="min" val="0"/>
        <cfvo type="percentile" val="50"/>
        <cfvo type="max" val="0"/>
        <color rgb="FFF8696B"/>
        <color rgb="FFFFEB84"/>
        <color rgb="FF63BE7B"/>
      </colorScale>
    </cfRule>
  </conditionalFormatting>
  <conditionalFormatting sqref="O226">
    <cfRule type="cellIs" dxfId="1956" priority="6967" operator="equal">
      <formula>5</formula>
    </cfRule>
    <cfRule type="cellIs" dxfId="1955" priority="6968" operator="equal">
      <formula>4</formula>
    </cfRule>
    <cfRule type="cellIs" dxfId="1954" priority="6969" operator="equal">
      <formula>1</formula>
    </cfRule>
    <cfRule type="cellIs" dxfId="1953" priority="6970" operator="equal">
      <formula>3</formula>
    </cfRule>
    <cfRule type="cellIs" dxfId="1952" priority="6971" operator="equal">
      <formula>2</formula>
    </cfRule>
    <cfRule type="colorScale" priority="6972">
      <colorScale>
        <cfvo type="min" val="0"/>
        <cfvo type="percentile" val="50"/>
        <cfvo type="max" val="0"/>
        <color rgb="FFF8696B"/>
        <color rgb="FFFFEB84"/>
        <color rgb="FF63BE7B"/>
      </colorScale>
    </cfRule>
    <cfRule type="colorScale" priority="6973">
      <colorScale>
        <cfvo type="num" val="1"/>
        <cfvo type="num" val="2"/>
        <cfvo type="num" val="3"/>
        <color rgb="FFF8696B"/>
        <color rgb="FFFFEB84"/>
        <color rgb="FF63BE7B"/>
      </colorScale>
    </cfRule>
    <cfRule type="colorScale" priority="6974">
      <colorScale>
        <cfvo type="num" val="1"/>
        <cfvo type="num" val="2"/>
        <cfvo type="num" val="3"/>
        <color rgb="FFF8696B"/>
        <color rgb="FFFFEB84"/>
        <color rgb="FF63BE7B"/>
      </colorScale>
    </cfRule>
  </conditionalFormatting>
  <conditionalFormatting sqref="O503:P503 O414:P414 O420:P420 O442:P442 O448:P448 O470:P470 O476:P476 O497:P497 O389:P389 O395:P395 O222:P222 O230:P230 O308:P308 O329:P329 O335:P335 O357:P357 O363:P363 O258:P258 O266:P266 O171:P171 O7:P7 O13:P13 O36:P36 O42:P42 O64:P64 O103:P103 O136:P136">
    <cfRule type="colorScale" priority="45645">
      <colorScale>
        <cfvo type="num" val="1"/>
        <cfvo type="num" val="2"/>
        <cfvo type="num" val="3"/>
        <color rgb="FFF8696B"/>
        <color rgb="FFFFEB84"/>
        <color rgb="FF63BE7B"/>
      </colorScale>
    </cfRule>
    <cfRule type="colorScale" priority="45703">
      <colorScale>
        <cfvo type="num" val="1"/>
        <cfvo type="num" val="2"/>
        <cfvo type="num" val="3"/>
        <color rgb="FFF8696B"/>
        <color rgb="FFFFEB84"/>
        <color rgb="FF63BE7B"/>
      </colorScale>
    </cfRule>
    <cfRule type="colorScale" priority="45704">
      <colorScale>
        <cfvo type="num" val="1"/>
        <cfvo type="num" val="2"/>
        <cfvo type="num" val="3"/>
        <color rgb="FFF8696B"/>
        <color rgb="FFFFEB84"/>
        <color rgb="FF63BE7B"/>
      </colorScale>
    </cfRule>
    <cfRule type="colorScale" priority="45705">
      <colorScale>
        <cfvo type="num" val="1"/>
        <cfvo type="num" val="2"/>
        <cfvo type="num" val="3"/>
        <color rgb="FFF8696B"/>
        <color rgb="FFFFEB84"/>
        <color rgb="FF63BE7B"/>
      </colorScale>
    </cfRule>
    <cfRule type="colorScale" priority="45706">
      <colorScale>
        <cfvo type="num" val="1"/>
        <cfvo type="num" val="2"/>
        <cfvo type="num" val="3"/>
        <color rgb="FFF8696B"/>
        <color rgb="FFFFEB84"/>
        <color rgb="FF63BE7B"/>
      </colorScale>
    </cfRule>
    <cfRule type="colorScale" priority="45707">
      <colorScale>
        <cfvo type="num" val="1"/>
        <cfvo type="num" val="2"/>
        <cfvo type="num" val="3"/>
        <color rgb="FFF8696B"/>
        <color rgb="FFFFEB84"/>
        <color rgb="FF63BE7B"/>
      </colorScale>
    </cfRule>
    <cfRule type="colorScale" priority="45748">
      <colorScale>
        <cfvo type="num" val="1"/>
        <cfvo type="num" val="2"/>
        <cfvo type="num" val="3"/>
        <color rgb="FFF8696B"/>
        <color rgb="FFFFEB84"/>
        <color rgb="FF63BE7B"/>
      </colorScale>
    </cfRule>
    <cfRule type="colorScale" priority="45771">
      <colorScale>
        <cfvo type="num" val="1"/>
        <cfvo type="num" val="2"/>
        <cfvo type="num" val="3"/>
        <color rgb="FFF8696B"/>
        <color rgb="FFFFEB84"/>
        <color rgb="FF63BE7B"/>
      </colorScale>
    </cfRule>
    <cfRule type="colorScale" priority="45797">
      <colorScale>
        <cfvo type="num" val="1"/>
        <cfvo type="num" val="2"/>
        <cfvo type="num" val="3"/>
        <color rgb="FFF8696B"/>
        <color rgb="FFFFEB84"/>
        <color rgb="FF63BE7B"/>
      </colorScale>
    </cfRule>
    <cfRule type="colorScale" priority="45816">
      <colorScale>
        <cfvo type="num" val="1"/>
        <cfvo type="num" val="2"/>
        <cfvo type="num" val="3"/>
        <color rgb="FFF8696B"/>
        <color rgb="FFFFEB84"/>
        <color rgb="FF63BE7B"/>
      </colorScale>
    </cfRule>
    <cfRule type="colorScale" priority="45818">
      <colorScale>
        <cfvo type="num" val="1"/>
        <cfvo type="num" val="2"/>
        <cfvo type="num" val="3"/>
        <color rgb="FFF8696B"/>
        <color rgb="FFFFEB84"/>
        <color rgb="FF63BE7B"/>
      </colorScale>
    </cfRule>
  </conditionalFormatting>
  <conditionalFormatting sqref="P9">
    <cfRule type="cellIs" dxfId="1951" priority="40021" operator="equal">
      <formula>5</formula>
    </cfRule>
    <cfRule type="cellIs" dxfId="1950" priority="40022" operator="equal">
      <formula>4</formula>
    </cfRule>
    <cfRule type="cellIs" dxfId="1949" priority="40023" operator="equal">
      <formula>1</formula>
    </cfRule>
    <cfRule type="cellIs" dxfId="1948" priority="40024" operator="equal">
      <formula>3</formula>
    </cfRule>
    <cfRule type="cellIs" dxfId="1947" priority="40025" operator="equal">
      <formula>2</formula>
    </cfRule>
    <cfRule type="colorScale" priority="40026">
      <colorScale>
        <cfvo type="min" val="0"/>
        <cfvo type="percentile" val="50"/>
        <cfvo type="max" val="0"/>
        <color rgb="FFF8696B"/>
        <color rgb="FFFFEB84"/>
        <color rgb="FF63BE7B"/>
      </colorScale>
    </cfRule>
    <cfRule type="colorScale" priority="40027">
      <colorScale>
        <cfvo type="num" val="1"/>
        <cfvo type="num" val="2"/>
        <cfvo type="num" val="3"/>
        <color rgb="FFF8696B"/>
        <color rgb="FFFFEB84"/>
        <color rgb="FF63BE7B"/>
      </colorScale>
    </cfRule>
    <cfRule type="colorScale" priority="40028">
      <colorScale>
        <cfvo type="num" val="1"/>
        <cfvo type="num" val="2"/>
        <cfvo type="num" val="3"/>
        <color rgb="FFF8696B"/>
        <color rgb="FFFFEB84"/>
        <color rgb="FF63BE7B"/>
      </colorScale>
    </cfRule>
    <cfRule type="colorScale" priority="40029">
      <colorScale>
        <cfvo type="num" val="1"/>
        <cfvo type="num" val="2"/>
        <cfvo type="num" val="3"/>
        <color rgb="FFF8696B"/>
        <color rgb="FFFFEB84"/>
        <color rgb="FF63BE7B"/>
      </colorScale>
    </cfRule>
    <cfRule type="colorScale" priority="40030">
      <colorScale>
        <cfvo type="num" val="1"/>
        <cfvo type="num" val="2"/>
        <cfvo type="num" val="3"/>
        <color rgb="FFF8696B"/>
        <color rgb="FFFFEB84"/>
        <color rgb="FF63BE7B"/>
      </colorScale>
    </cfRule>
    <cfRule type="colorScale" priority="40031">
      <colorScale>
        <cfvo type="num" val="1"/>
        <cfvo type="num" val="2"/>
        <cfvo type="num" val="3"/>
        <color rgb="FFF8696B"/>
        <color rgb="FFFFEB84"/>
        <color rgb="FF63BE7B"/>
      </colorScale>
    </cfRule>
    <cfRule type="colorScale" priority="40032">
      <colorScale>
        <cfvo type="num" val="1"/>
        <cfvo type="num" val="2"/>
        <cfvo type="num" val="3"/>
        <color rgb="FFF8696B"/>
        <color rgb="FFFFEB84"/>
        <color rgb="FF63BE7B"/>
      </colorScale>
    </cfRule>
  </conditionalFormatting>
  <conditionalFormatting sqref="P11">
    <cfRule type="cellIs" dxfId="1946" priority="40013" operator="equal">
      <formula>5</formula>
    </cfRule>
    <cfRule type="cellIs" dxfId="1945" priority="40014" operator="equal">
      <formula>4</formula>
    </cfRule>
    <cfRule type="cellIs" dxfId="1944" priority="40015" operator="equal">
      <formula>1</formula>
    </cfRule>
    <cfRule type="cellIs" dxfId="1943" priority="40016" operator="equal">
      <formula>3</formula>
    </cfRule>
    <cfRule type="cellIs" dxfId="1942" priority="40017" operator="equal">
      <formula>2</formula>
    </cfRule>
    <cfRule type="colorScale" priority="40018">
      <colorScale>
        <cfvo type="min" val="0"/>
        <cfvo type="percentile" val="50"/>
        <cfvo type="max" val="0"/>
        <color rgb="FFF8696B"/>
        <color rgb="FFFFEB84"/>
        <color rgb="FF63BE7B"/>
      </colorScale>
    </cfRule>
    <cfRule type="colorScale" priority="40019">
      <colorScale>
        <cfvo type="num" val="1"/>
        <cfvo type="num" val="2"/>
        <cfvo type="num" val="3"/>
        <color rgb="FFF8696B"/>
        <color rgb="FFFFEB84"/>
        <color rgb="FF63BE7B"/>
      </colorScale>
    </cfRule>
    <cfRule type="colorScale" priority="40020">
      <colorScale>
        <cfvo type="num" val="1"/>
        <cfvo type="num" val="2"/>
        <cfvo type="num" val="3"/>
        <color rgb="FFF8696B"/>
        <color rgb="FFFFEB84"/>
        <color rgb="FF63BE7B"/>
      </colorScale>
    </cfRule>
  </conditionalFormatting>
  <conditionalFormatting sqref="P38">
    <cfRule type="cellIs" dxfId="1941" priority="36638" operator="equal">
      <formula>5</formula>
    </cfRule>
    <cfRule type="cellIs" dxfId="1940" priority="36639" operator="equal">
      <formula>4</formula>
    </cfRule>
    <cfRule type="cellIs" dxfId="1939" priority="36640" operator="equal">
      <formula>1</formula>
    </cfRule>
    <cfRule type="colorScale" priority="36643">
      <colorScale>
        <cfvo type="min" val="0"/>
        <cfvo type="percentile" val="50"/>
        <cfvo type="max" val="0"/>
        <color rgb="FFF8696B"/>
        <color rgb="FFFFEB84"/>
        <color rgb="FF63BE7B"/>
      </colorScale>
    </cfRule>
    <cfRule type="colorScale" priority="36644">
      <colorScale>
        <cfvo type="num" val="1"/>
        <cfvo type="num" val="2"/>
        <cfvo type="num" val="3"/>
        <color rgb="FFF8696B"/>
        <color rgb="FFFFEB84"/>
        <color rgb="FF63BE7B"/>
      </colorScale>
    </cfRule>
    <cfRule type="colorScale" priority="36645">
      <colorScale>
        <cfvo type="num" val="1"/>
        <cfvo type="num" val="2"/>
        <cfvo type="num" val="3"/>
        <color rgb="FFF8696B"/>
        <color rgb="FFFFEB84"/>
        <color rgb="FF63BE7B"/>
      </colorScale>
    </cfRule>
    <cfRule type="colorScale" priority="36646">
      <colorScale>
        <cfvo type="num" val="1"/>
        <cfvo type="num" val="2"/>
        <cfvo type="num" val="3"/>
        <color rgb="FFF8696B"/>
        <color rgb="FFFFEB84"/>
        <color rgb="FF63BE7B"/>
      </colorScale>
    </cfRule>
    <cfRule type="colorScale" priority="36647">
      <colorScale>
        <cfvo type="num" val="1"/>
        <cfvo type="num" val="2"/>
        <cfvo type="num" val="3"/>
        <color rgb="FFF8696B"/>
        <color rgb="FFFFEB84"/>
        <color rgb="FF63BE7B"/>
      </colorScale>
    </cfRule>
    <cfRule type="colorScale" priority="36648">
      <colorScale>
        <cfvo type="num" val="1"/>
        <cfvo type="num" val="2"/>
        <cfvo type="num" val="3"/>
        <color rgb="FFF8696B"/>
        <color rgb="FFFFEB84"/>
        <color rgb="FF63BE7B"/>
      </colorScale>
    </cfRule>
    <cfRule type="colorScale" priority="36649">
      <colorScale>
        <cfvo type="num" val="1"/>
        <cfvo type="num" val="2"/>
        <cfvo type="num" val="3"/>
        <color rgb="FFF8696B"/>
        <color rgb="FFFFEB84"/>
        <color rgb="FF63BE7B"/>
      </colorScale>
    </cfRule>
  </conditionalFormatting>
  <conditionalFormatting sqref="P40">
    <cfRule type="cellIs" dxfId="1938" priority="36630" operator="equal">
      <formula>5</formula>
    </cfRule>
    <cfRule type="cellIs" dxfId="1937" priority="36631" operator="equal">
      <formula>4</formula>
    </cfRule>
    <cfRule type="cellIs" dxfId="1936" priority="36632" operator="equal">
      <formula>1</formula>
    </cfRule>
    <cfRule type="colorScale" priority="36635">
      <colorScale>
        <cfvo type="min" val="0"/>
        <cfvo type="percentile" val="50"/>
        <cfvo type="max" val="0"/>
        <color rgb="FFF8696B"/>
        <color rgb="FFFFEB84"/>
        <color rgb="FF63BE7B"/>
      </colorScale>
    </cfRule>
    <cfRule type="colorScale" priority="36636">
      <colorScale>
        <cfvo type="num" val="1"/>
        <cfvo type="num" val="2"/>
        <cfvo type="num" val="3"/>
        <color rgb="FFF8696B"/>
        <color rgb="FFFFEB84"/>
        <color rgb="FF63BE7B"/>
      </colorScale>
    </cfRule>
    <cfRule type="colorScale" priority="36637">
      <colorScale>
        <cfvo type="num" val="1"/>
        <cfvo type="num" val="2"/>
        <cfvo type="num" val="3"/>
        <color rgb="FFF8696B"/>
        <color rgb="FFFFEB84"/>
        <color rgb="FF63BE7B"/>
      </colorScale>
    </cfRule>
  </conditionalFormatting>
  <conditionalFormatting sqref="P66">
    <cfRule type="cellIs" dxfId="1935" priority="35565" operator="equal">
      <formula>5</formula>
    </cfRule>
    <cfRule type="cellIs" dxfId="1934" priority="35566" operator="equal">
      <formula>4</formula>
    </cfRule>
    <cfRule type="cellIs" dxfId="1933" priority="35567" operator="equal">
      <formula>1</formula>
    </cfRule>
    <cfRule type="colorScale" priority="35570">
      <colorScale>
        <cfvo type="min" val="0"/>
        <cfvo type="percentile" val="50"/>
        <cfvo type="max" val="0"/>
        <color rgb="FFF8696B"/>
        <color rgb="FFFFEB84"/>
        <color rgb="FF63BE7B"/>
      </colorScale>
    </cfRule>
    <cfRule type="colorScale" priority="35571">
      <colorScale>
        <cfvo type="num" val="1"/>
        <cfvo type="num" val="2"/>
        <cfvo type="num" val="3"/>
        <color rgb="FFF8696B"/>
        <color rgb="FFFFEB84"/>
        <color rgb="FF63BE7B"/>
      </colorScale>
    </cfRule>
    <cfRule type="colorScale" priority="35572">
      <colorScale>
        <cfvo type="num" val="1"/>
        <cfvo type="num" val="2"/>
        <cfvo type="num" val="3"/>
        <color rgb="FFF8696B"/>
        <color rgb="FFFFEB84"/>
        <color rgb="FF63BE7B"/>
      </colorScale>
    </cfRule>
    <cfRule type="colorScale" priority="35573">
      <colorScale>
        <cfvo type="num" val="1"/>
        <cfvo type="num" val="2"/>
        <cfvo type="num" val="3"/>
        <color rgb="FFF8696B"/>
        <color rgb="FFFFEB84"/>
        <color rgb="FF63BE7B"/>
      </colorScale>
    </cfRule>
    <cfRule type="colorScale" priority="35574">
      <colorScale>
        <cfvo type="num" val="1"/>
        <cfvo type="num" val="2"/>
        <cfvo type="num" val="3"/>
        <color rgb="FFF8696B"/>
        <color rgb="FFFFEB84"/>
        <color rgb="FF63BE7B"/>
      </colorScale>
    </cfRule>
    <cfRule type="colorScale" priority="35575">
      <colorScale>
        <cfvo type="num" val="1"/>
        <cfvo type="num" val="2"/>
        <cfvo type="num" val="3"/>
        <color rgb="FFF8696B"/>
        <color rgb="FFFFEB84"/>
        <color rgb="FF63BE7B"/>
      </colorScale>
    </cfRule>
    <cfRule type="colorScale" priority="35576">
      <colorScale>
        <cfvo type="num" val="1"/>
        <cfvo type="num" val="2"/>
        <cfvo type="num" val="3"/>
        <color rgb="FFF8696B"/>
        <color rgb="FFFFEB84"/>
        <color rgb="FF63BE7B"/>
      </colorScale>
    </cfRule>
  </conditionalFormatting>
  <conditionalFormatting sqref="P68">
    <cfRule type="cellIs" dxfId="1932" priority="35557" operator="equal">
      <formula>5</formula>
    </cfRule>
    <cfRule type="cellIs" dxfId="1931" priority="35558" operator="equal">
      <formula>4</formula>
    </cfRule>
    <cfRule type="cellIs" dxfId="1930" priority="35559" operator="equal">
      <formula>1</formula>
    </cfRule>
    <cfRule type="colorScale" priority="35562">
      <colorScale>
        <cfvo type="min" val="0"/>
        <cfvo type="percentile" val="50"/>
        <cfvo type="max" val="0"/>
        <color rgb="FFF8696B"/>
        <color rgb="FFFFEB84"/>
        <color rgb="FF63BE7B"/>
      </colorScale>
    </cfRule>
    <cfRule type="colorScale" priority="35563">
      <colorScale>
        <cfvo type="num" val="1"/>
        <cfvo type="num" val="2"/>
        <cfvo type="num" val="3"/>
        <color rgb="FFF8696B"/>
        <color rgb="FFFFEB84"/>
        <color rgb="FF63BE7B"/>
      </colorScale>
    </cfRule>
    <cfRule type="colorScale" priority="35564">
      <colorScale>
        <cfvo type="num" val="1"/>
        <cfvo type="num" val="2"/>
        <cfvo type="num" val="3"/>
        <color rgb="FFF8696B"/>
        <color rgb="FFFFEB84"/>
        <color rgb="FF63BE7B"/>
      </colorScale>
    </cfRule>
  </conditionalFormatting>
  <conditionalFormatting sqref="U440 U412 U468 U495 U387 U294 Q232 U327 U355 Q268:U268 U367 V389 W391 P97 P130 P163 U5 U91 U122 U155 U194">
    <cfRule type="colorScale" priority="38395">
      <colorScale>
        <cfvo type="num" val="1"/>
        <cfvo type="num" val="2"/>
        <cfvo type="num" val="3"/>
        <color rgb="FFF8696B"/>
        <color rgb="FFFFEB84"/>
        <color rgb="FF63BE7B"/>
      </colorScale>
    </cfRule>
    <cfRule type="colorScale" priority="38396">
      <colorScale>
        <cfvo type="num" val="1"/>
        <cfvo type="num" val="2"/>
        <cfvo type="num" val="3"/>
        <color rgb="FFF8696B"/>
        <color rgb="FFFFEB84"/>
        <color rgb="FF63BE7B"/>
      </colorScale>
    </cfRule>
    <cfRule type="colorScale" priority="38398">
      <colorScale>
        <cfvo type="num" val="1"/>
        <cfvo type="num" val="2"/>
        <cfvo type="num" val="3"/>
        <color rgb="FFF8696B"/>
        <color rgb="FFFFEB84"/>
        <color rgb="FF63BE7B"/>
      </colorScale>
    </cfRule>
    <cfRule type="colorScale" priority="38455">
      <colorScale>
        <cfvo type="num" val="1"/>
        <cfvo type="num" val="2"/>
        <cfvo type="num" val="3"/>
        <color rgb="FFF8696B"/>
        <color rgb="FFFFEB84"/>
        <color rgb="FF63BE7B"/>
      </colorScale>
    </cfRule>
    <cfRule type="colorScale" priority="38482">
      <colorScale>
        <cfvo type="num" val="1"/>
        <cfvo type="num" val="2"/>
        <cfvo type="num" val="3"/>
        <color rgb="FFF8696B"/>
        <color rgb="FFFFEB84"/>
        <color rgb="FF63BE7B"/>
      </colorScale>
    </cfRule>
    <cfRule type="colorScale" priority="38507">
      <colorScale>
        <cfvo type="num" val="1"/>
        <cfvo type="num" val="2"/>
        <cfvo type="num" val="3"/>
        <color rgb="FFF8696B"/>
        <color rgb="FFFFEB84"/>
        <color rgb="FF63BE7B"/>
      </colorScale>
    </cfRule>
    <cfRule type="colorScale" priority="38508">
      <colorScale>
        <cfvo type="num" val="1"/>
        <cfvo type="num" val="2"/>
        <cfvo type="num" val="3"/>
        <color rgb="FFF8696B"/>
        <color rgb="FFFFEB84"/>
        <color rgb="FF63BE7B"/>
      </colorScale>
    </cfRule>
    <cfRule type="colorScale" priority="38509">
      <colorScale>
        <cfvo type="num" val="1"/>
        <cfvo type="num" val="2"/>
        <cfvo type="num" val="3"/>
        <color rgb="FFF8696B"/>
        <color rgb="FFFFEB84"/>
        <color rgb="FF63BE7B"/>
      </colorScale>
    </cfRule>
    <cfRule type="colorScale" priority="38510">
      <colorScale>
        <cfvo type="num" val="1"/>
        <cfvo type="num" val="2"/>
        <cfvo type="num" val="3"/>
        <color rgb="FFF8696B"/>
        <color rgb="FFFFEB84"/>
        <color rgb="FF63BE7B"/>
      </colorScale>
    </cfRule>
    <cfRule type="colorScale" priority="38511">
      <colorScale>
        <cfvo type="num" val="1"/>
        <cfvo type="num" val="2"/>
        <cfvo type="num" val="3"/>
        <color rgb="FFF8696B"/>
        <color rgb="FFFFEB84"/>
        <color rgb="FF63BE7B"/>
      </colorScale>
    </cfRule>
    <cfRule type="colorScale" priority="38551">
      <colorScale>
        <cfvo type="num" val="1"/>
        <cfvo type="num" val="2"/>
        <cfvo type="num" val="3"/>
        <color rgb="FFF8696B"/>
        <color rgb="FFFFEB84"/>
        <color rgb="FF63BE7B"/>
      </colorScale>
    </cfRule>
    <cfRule type="colorScale" priority="38573">
      <colorScale>
        <cfvo type="num" val="1"/>
        <cfvo type="num" val="2"/>
        <cfvo type="num" val="3"/>
        <color rgb="FFF8696B"/>
        <color rgb="FFFFEB84"/>
        <color rgb="FF63BE7B"/>
      </colorScale>
    </cfRule>
    <cfRule type="colorScale" priority="38599">
      <colorScale>
        <cfvo type="num" val="1"/>
        <cfvo type="num" val="2"/>
        <cfvo type="num" val="3"/>
        <color rgb="FFF8696B"/>
        <color rgb="FFFFEB84"/>
        <color rgb="FF63BE7B"/>
      </colorScale>
    </cfRule>
    <cfRule type="colorScale" priority="38618">
      <colorScale>
        <cfvo type="num" val="1"/>
        <cfvo type="num" val="2"/>
        <cfvo type="num" val="3"/>
        <color rgb="FFF8696B"/>
        <color rgb="FFFFEB84"/>
        <color rgb="FF63BE7B"/>
      </colorScale>
    </cfRule>
    <cfRule type="colorScale" priority="38620">
      <colorScale>
        <cfvo type="num" val="1"/>
        <cfvo type="num" val="2"/>
        <cfvo type="num" val="3"/>
        <color rgb="FFF8696B"/>
        <color rgb="FFFFEB84"/>
        <color rgb="FF63BE7B"/>
      </colorScale>
    </cfRule>
  </conditionalFormatting>
  <conditionalFormatting sqref="P99">
    <cfRule type="cellIs" dxfId="1929" priority="37575" operator="equal">
      <formula>5</formula>
    </cfRule>
    <cfRule type="cellIs" dxfId="1928" priority="37576" operator="equal">
      <formula>4</formula>
    </cfRule>
    <cfRule type="cellIs" dxfId="1927" priority="37577" operator="equal">
      <formula>1</formula>
    </cfRule>
    <cfRule type="cellIs" dxfId="1926" priority="37578" operator="equal">
      <formula>3</formula>
    </cfRule>
    <cfRule type="cellIs" dxfId="1925" priority="37579" operator="equal">
      <formula>2</formula>
    </cfRule>
    <cfRule type="colorScale" priority="37580">
      <colorScale>
        <cfvo type="min" val="0"/>
        <cfvo type="percentile" val="50"/>
        <cfvo type="max" val="0"/>
        <color rgb="FFF8696B"/>
        <color rgb="FFFFEB84"/>
        <color rgb="FF63BE7B"/>
      </colorScale>
    </cfRule>
    <cfRule type="colorScale" priority="37581">
      <colorScale>
        <cfvo type="num" val="1"/>
        <cfvo type="num" val="2"/>
        <cfvo type="num" val="3"/>
        <color rgb="FFF8696B"/>
        <color rgb="FFFFEB84"/>
        <color rgb="FF63BE7B"/>
      </colorScale>
    </cfRule>
    <cfRule type="colorScale" priority="37582">
      <colorScale>
        <cfvo type="num" val="1"/>
        <cfvo type="num" val="2"/>
        <cfvo type="num" val="3"/>
        <color rgb="FFF8696B"/>
        <color rgb="FFFFEB84"/>
        <color rgb="FF63BE7B"/>
      </colorScale>
    </cfRule>
    <cfRule type="colorScale" priority="37583">
      <colorScale>
        <cfvo type="num" val="1"/>
        <cfvo type="num" val="2"/>
        <cfvo type="num" val="3"/>
        <color rgb="FFF8696B"/>
        <color rgb="FFFFEB84"/>
        <color rgb="FF63BE7B"/>
      </colorScale>
    </cfRule>
    <cfRule type="colorScale" priority="37584">
      <colorScale>
        <cfvo type="num" val="1"/>
        <cfvo type="num" val="2"/>
        <cfvo type="num" val="3"/>
        <color rgb="FFF8696B"/>
        <color rgb="FFFFEB84"/>
        <color rgb="FF63BE7B"/>
      </colorScale>
    </cfRule>
    <cfRule type="colorScale" priority="37585">
      <colorScale>
        <cfvo type="num" val="1"/>
        <cfvo type="num" val="2"/>
        <cfvo type="num" val="3"/>
        <color rgb="FFF8696B"/>
        <color rgb="FFFFEB84"/>
        <color rgb="FF63BE7B"/>
      </colorScale>
    </cfRule>
    <cfRule type="colorScale" priority="37586">
      <colorScale>
        <cfvo type="num" val="1"/>
        <cfvo type="num" val="2"/>
        <cfvo type="num" val="3"/>
        <color rgb="FFF8696B"/>
        <color rgb="FFFFEB84"/>
        <color rgb="FF63BE7B"/>
      </colorScale>
    </cfRule>
  </conditionalFormatting>
  <conditionalFormatting sqref="P132">
    <cfRule type="cellIs" dxfId="1924" priority="26233" operator="equal">
      <formula>5</formula>
    </cfRule>
    <cfRule type="cellIs" dxfId="1923" priority="26234" operator="equal">
      <formula>4</formula>
    </cfRule>
    <cfRule type="cellIs" dxfId="1922" priority="26235" operator="equal">
      <formula>1</formula>
    </cfRule>
    <cfRule type="cellIs" dxfId="1921" priority="26236" operator="equal">
      <formula>3</formula>
    </cfRule>
    <cfRule type="cellIs" dxfId="1920" priority="26237" operator="equal">
      <formula>2</formula>
    </cfRule>
    <cfRule type="colorScale" priority="26238">
      <colorScale>
        <cfvo type="min" val="0"/>
        <cfvo type="percentile" val="50"/>
        <cfvo type="max" val="0"/>
        <color rgb="FFF8696B"/>
        <color rgb="FFFFEB84"/>
        <color rgb="FF63BE7B"/>
      </colorScale>
    </cfRule>
    <cfRule type="colorScale" priority="26239">
      <colorScale>
        <cfvo type="num" val="1"/>
        <cfvo type="num" val="2"/>
        <cfvo type="num" val="3"/>
        <color rgb="FFF8696B"/>
        <color rgb="FFFFEB84"/>
        <color rgb="FF63BE7B"/>
      </colorScale>
    </cfRule>
    <cfRule type="colorScale" priority="26240">
      <colorScale>
        <cfvo type="num" val="1"/>
        <cfvo type="num" val="2"/>
        <cfvo type="num" val="3"/>
        <color rgb="FFF8696B"/>
        <color rgb="FFFFEB84"/>
        <color rgb="FF63BE7B"/>
      </colorScale>
    </cfRule>
    <cfRule type="colorScale" priority="26241">
      <colorScale>
        <cfvo type="num" val="1"/>
        <cfvo type="num" val="2"/>
        <cfvo type="num" val="3"/>
        <color rgb="FFF8696B"/>
        <color rgb="FFFFEB84"/>
        <color rgb="FF63BE7B"/>
      </colorScale>
    </cfRule>
    <cfRule type="colorScale" priority="26242">
      <colorScale>
        <cfvo type="num" val="1"/>
        <cfvo type="num" val="2"/>
        <cfvo type="num" val="3"/>
        <color rgb="FFF8696B"/>
        <color rgb="FFFFEB84"/>
        <color rgb="FF63BE7B"/>
      </colorScale>
    </cfRule>
    <cfRule type="colorScale" priority="26243">
      <colorScale>
        <cfvo type="num" val="1"/>
        <cfvo type="num" val="2"/>
        <cfvo type="num" val="3"/>
        <color rgb="FFF8696B"/>
        <color rgb="FFFFEB84"/>
        <color rgb="FF63BE7B"/>
      </colorScale>
    </cfRule>
    <cfRule type="colorScale" priority="26244">
      <colorScale>
        <cfvo type="num" val="1"/>
        <cfvo type="num" val="2"/>
        <cfvo type="num" val="3"/>
        <color rgb="FFF8696B"/>
        <color rgb="FFFFEB84"/>
        <color rgb="FF63BE7B"/>
      </colorScale>
    </cfRule>
  </conditionalFormatting>
  <conditionalFormatting sqref="P228">
    <cfRule type="cellIs" dxfId="1919" priority="16215" operator="equal">
      <formula>5</formula>
    </cfRule>
    <cfRule type="cellIs" dxfId="1918" priority="16216" operator="equal">
      <formula>4</formula>
    </cfRule>
    <cfRule type="cellIs" dxfId="1917" priority="16217" operator="equal">
      <formula>1</formula>
    </cfRule>
    <cfRule type="cellIs" dxfId="1916" priority="16218" operator="equal">
      <formula>3</formula>
    </cfRule>
    <cfRule type="cellIs" dxfId="1915" priority="16219" operator="equal">
      <formula>2</formula>
    </cfRule>
    <cfRule type="colorScale" priority="16220">
      <colorScale>
        <cfvo type="min" val="0"/>
        <cfvo type="percentile" val="50"/>
        <cfvo type="max" val="0"/>
        <color rgb="FFF8696B"/>
        <color rgb="FFFFEB84"/>
        <color rgb="FF63BE7B"/>
      </colorScale>
    </cfRule>
    <cfRule type="colorScale" priority="16221">
      <colorScale>
        <cfvo type="num" val="1"/>
        <cfvo type="num" val="2"/>
        <cfvo type="num" val="3"/>
        <color rgb="FFF8696B"/>
        <color rgb="FFFFEB84"/>
        <color rgb="FF63BE7B"/>
      </colorScale>
    </cfRule>
    <cfRule type="colorScale" priority="16222">
      <colorScale>
        <cfvo type="num" val="1"/>
        <cfvo type="num" val="2"/>
        <cfvo type="num" val="3"/>
        <color rgb="FFF8696B"/>
        <color rgb="FFFFEB84"/>
        <color rgb="FF63BE7B"/>
      </colorScale>
    </cfRule>
  </conditionalFormatting>
  <conditionalFormatting sqref="P304">
    <cfRule type="cellIs" dxfId="1914" priority="20197" operator="equal">
      <formula>5</formula>
    </cfRule>
    <cfRule type="cellIs" dxfId="1913" priority="20198" operator="equal">
      <formula>4</formula>
    </cfRule>
    <cfRule type="cellIs" dxfId="1912" priority="20199" operator="equal">
      <formula>1</formula>
    </cfRule>
    <cfRule type="cellIs" dxfId="1911" priority="20200" operator="equal">
      <formula>3</formula>
    </cfRule>
    <cfRule type="cellIs" dxfId="1910" priority="20201" operator="equal">
      <formula>2</formula>
    </cfRule>
    <cfRule type="colorScale" priority="20202">
      <colorScale>
        <cfvo type="min" val="0"/>
        <cfvo type="percentile" val="50"/>
        <cfvo type="max" val="0"/>
        <color rgb="FFF8696B"/>
        <color rgb="FFFFEB84"/>
        <color rgb="FF63BE7B"/>
      </colorScale>
    </cfRule>
    <cfRule type="colorScale" priority="20203">
      <colorScale>
        <cfvo type="num" val="1"/>
        <cfvo type="num" val="2"/>
        <cfvo type="num" val="3"/>
        <color rgb="FFF8696B"/>
        <color rgb="FFFFEB84"/>
        <color rgb="FF63BE7B"/>
      </colorScale>
    </cfRule>
    <cfRule type="colorScale" priority="20204">
      <colorScale>
        <cfvo type="num" val="1"/>
        <cfvo type="num" val="2"/>
        <cfvo type="num" val="3"/>
        <color rgb="FFF8696B"/>
        <color rgb="FFFFEB84"/>
        <color rgb="FF63BE7B"/>
      </colorScale>
    </cfRule>
    <cfRule type="colorScale" priority="20205">
      <colorScale>
        <cfvo type="num" val="1"/>
        <cfvo type="num" val="2"/>
        <cfvo type="num" val="3"/>
        <color rgb="FFF8696B"/>
        <color rgb="FFFFEB84"/>
        <color rgb="FF63BE7B"/>
      </colorScale>
    </cfRule>
    <cfRule type="colorScale" priority="20206">
      <colorScale>
        <cfvo type="num" val="1"/>
        <cfvo type="num" val="2"/>
        <cfvo type="num" val="3"/>
        <color rgb="FFF8696B"/>
        <color rgb="FFFFEB84"/>
        <color rgb="FF63BE7B"/>
      </colorScale>
    </cfRule>
    <cfRule type="colorScale" priority="20207">
      <colorScale>
        <cfvo type="num" val="1"/>
        <cfvo type="num" val="2"/>
        <cfvo type="num" val="3"/>
        <color rgb="FFF8696B"/>
        <color rgb="FFFFEB84"/>
        <color rgb="FF63BE7B"/>
      </colorScale>
    </cfRule>
    <cfRule type="colorScale" priority="20208">
      <colorScale>
        <cfvo type="num" val="1"/>
        <cfvo type="num" val="2"/>
        <cfvo type="num" val="3"/>
        <color rgb="FFF8696B"/>
        <color rgb="FFFFEB84"/>
        <color rgb="FF63BE7B"/>
      </colorScale>
    </cfRule>
  </conditionalFormatting>
  <conditionalFormatting sqref="P306">
    <cfRule type="cellIs" dxfId="1909" priority="20189" operator="equal">
      <formula>5</formula>
    </cfRule>
    <cfRule type="cellIs" dxfId="1908" priority="20190" operator="equal">
      <formula>4</formula>
    </cfRule>
    <cfRule type="cellIs" dxfId="1907" priority="20191" operator="equal">
      <formula>1</formula>
    </cfRule>
    <cfRule type="cellIs" dxfId="1906" priority="20192" operator="equal">
      <formula>3</formula>
    </cfRule>
    <cfRule type="cellIs" dxfId="1905" priority="20193" operator="equal">
      <formula>2</formula>
    </cfRule>
    <cfRule type="colorScale" priority="20194">
      <colorScale>
        <cfvo type="min" val="0"/>
        <cfvo type="percentile" val="50"/>
        <cfvo type="max" val="0"/>
        <color rgb="FFF8696B"/>
        <color rgb="FFFFEB84"/>
        <color rgb="FF63BE7B"/>
      </colorScale>
    </cfRule>
    <cfRule type="colorScale" priority="20195">
      <colorScale>
        <cfvo type="num" val="1"/>
        <cfvo type="num" val="2"/>
        <cfvo type="num" val="3"/>
        <color rgb="FFF8696B"/>
        <color rgb="FFFFEB84"/>
        <color rgb="FF63BE7B"/>
      </colorScale>
    </cfRule>
    <cfRule type="colorScale" priority="20196">
      <colorScale>
        <cfvo type="num" val="1"/>
        <cfvo type="num" val="2"/>
        <cfvo type="num" val="3"/>
        <color rgb="FFF8696B"/>
        <color rgb="FFFFEB84"/>
        <color rgb="FF63BE7B"/>
      </colorScale>
    </cfRule>
  </conditionalFormatting>
  <conditionalFormatting sqref="P331">
    <cfRule type="cellIs" dxfId="1904" priority="21364" operator="equal">
      <formula>5</formula>
    </cfRule>
    <cfRule type="cellIs" dxfId="1903" priority="21365" operator="equal">
      <formula>4</formula>
    </cfRule>
    <cfRule type="cellIs" dxfId="1902" priority="21366" operator="equal">
      <formula>1</formula>
    </cfRule>
    <cfRule type="cellIs" dxfId="1901" priority="21367" operator="equal">
      <formula>3</formula>
    </cfRule>
    <cfRule type="cellIs" dxfId="1900" priority="21368" operator="equal">
      <formula>2</formula>
    </cfRule>
    <cfRule type="colorScale" priority="21369">
      <colorScale>
        <cfvo type="min" val="0"/>
        <cfvo type="percentile" val="50"/>
        <cfvo type="max" val="0"/>
        <color rgb="FFF8696B"/>
        <color rgb="FFFFEB84"/>
        <color rgb="FF63BE7B"/>
      </colorScale>
    </cfRule>
    <cfRule type="colorScale" priority="21370">
      <colorScale>
        <cfvo type="num" val="1"/>
        <cfvo type="num" val="2"/>
        <cfvo type="num" val="3"/>
        <color rgb="FFF8696B"/>
        <color rgb="FFFFEB84"/>
        <color rgb="FF63BE7B"/>
      </colorScale>
    </cfRule>
    <cfRule type="colorScale" priority="21371">
      <colorScale>
        <cfvo type="num" val="1"/>
        <cfvo type="num" val="2"/>
        <cfvo type="num" val="3"/>
        <color rgb="FFF8696B"/>
        <color rgb="FFFFEB84"/>
        <color rgb="FF63BE7B"/>
      </colorScale>
    </cfRule>
    <cfRule type="colorScale" priority="21372">
      <colorScale>
        <cfvo type="num" val="1"/>
        <cfvo type="num" val="2"/>
        <cfvo type="num" val="3"/>
        <color rgb="FFF8696B"/>
        <color rgb="FFFFEB84"/>
        <color rgb="FF63BE7B"/>
      </colorScale>
    </cfRule>
    <cfRule type="colorScale" priority="21373">
      <colorScale>
        <cfvo type="num" val="1"/>
        <cfvo type="num" val="2"/>
        <cfvo type="num" val="3"/>
        <color rgb="FFF8696B"/>
        <color rgb="FFFFEB84"/>
        <color rgb="FF63BE7B"/>
      </colorScale>
    </cfRule>
    <cfRule type="colorScale" priority="21374">
      <colorScale>
        <cfvo type="num" val="1"/>
        <cfvo type="num" val="2"/>
        <cfvo type="num" val="3"/>
        <color rgb="FFF8696B"/>
        <color rgb="FFFFEB84"/>
        <color rgb="FF63BE7B"/>
      </colorScale>
    </cfRule>
    <cfRule type="colorScale" priority="21375">
      <colorScale>
        <cfvo type="num" val="1"/>
        <cfvo type="num" val="2"/>
        <cfvo type="num" val="3"/>
        <color rgb="FFF8696B"/>
        <color rgb="FFFFEB84"/>
        <color rgb="FF63BE7B"/>
      </colorScale>
    </cfRule>
  </conditionalFormatting>
  <conditionalFormatting sqref="P333">
    <cfRule type="cellIs" dxfId="1899" priority="21356" operator="equal">
      <formula>5</formula>
    </cfRule>
    <cfRule type="cellIs" dxfId="1898" priority="21357" operator="equal">
      <formula>4</formula>
    </cfRule>
    <cfRule type="cellIs" dxfId="1897" priority="21358" operator="equal">
      <formula>1</formula>
    </cfRule>
    <cfRule type="cellIs" dxfId="1896" priority="21359" operator="equal">
      <formula>3</formula>
    </cfRule>
    <cfRule type="cellIs" dxfId="1895" priority="21360" operator="equal">
      <formula>2</formula>
    </cfRule>
    <cfRule type="colorScale" priority="21361">
      <colorScale>
        <cfvo type="min" val="0"/>
        <cfvo type="percentile" val="50"/>
        <cfvo type="max" val="0"/>
        <color rgb="FFF8696B"/>
        <color rgb="FFFFEB84"/>
        <color rgb="FF63BE7B"/>
      </colorScale>
    </cfRule>
    <cfRule type="colorScale" priority="21362">
      <colorScale>
        <cfvo type="num" val="1"/>
        <cfvo type="num" val="2"/>
        <cfvo type="num" val="3"/>
        <color rgb="FFF8696B"/>
        <color rgb="FFFFEB84"/>
        <color rgb="FF63BE7B"/>
      </colorScale>
    </cfRule>
    <cfRule type="colorScale" priority="21363">
      <colorScale>
        <cfvo type="num" val="1"/>
        <cfvo type="num" val="2"/>
        <cfvo type="num" val="3"/>
        <color rgb="FFF8696B"/>
        <color rgb="FFFFEB84"/>
        <color rgb="FF63BE7B"/>
      </colorScale>
    </cfRule>
  </conditionalFormatting>
  <conditionalFormatting sqref="P359">
    <cfRule type="cellIs" dxfId="1894" priority="18311" operator="equal">
      <formula>5</formula>
    </cfRule>
    <cfRule type="cellIs" dxfId="1893" priority="18312" operator="equal">
      <formula>4</formula>
    </cfRule>
    <cfRule type="cellIs" dxfId="1892" priority="18313" operator="equal">
      <formula>1</formula>
    </cfRule>
    <cfRule type="cellIs" dxfId="1891" priority="18314" operator="equal">
      <formula>3</formula>
    </cfRule>
    <cfRule type="cellIs" dxfId="1890" priority="18315" operator="equal">
      <formula>2</formula>
    </cfRule>
    <cfRule type="colorScale" priority="18316">
      <colorScale>
        <cfvo type="min" val="0"/>
        <cfvo type="percentile" val="50"/>
        <cfvo type="max" val="0"/>
        <color rgb="FFF8696B"/>
        <color rgb="FFFFEB84"/>
        <color rgb="FF63BE7B"/>
      </colorScale>
    </cfRule>
    <cfRule type="colorScale" priority="18317">
      <colorScale>
        <cfvo type="num" val="1"/>
        <cfvo type="num" val="2"/>
        <cfvo type="num" val="3"/>
        <color rgb="FFF8696B"/>
        <color rgb="FFFFEB84"/>
        <color rgb="FF63BE7B"/>
      </colorScale>
    </cfRule>
    <cfRule type="colorScale" priority="18318">
      <colorScale>
        <cfvo type="num" val="1"/>
        <cfvo type="num" val="2"/>
        <cfvo type="num" val="3"/>
        <color rgb="FFF8696B"/>
        <color rgb="FFFFEB84"/>
        <color rgb="FF63BE7B"/>
      </colorScale>
    </cfRule>
    <cfRule type="colorScale" priority="18319">
      <colorScale>
        <cfvo type="num" val="1"/>
        <cfvo type="num" val="2"/>
        <cfvo type="num" val="3"/>
        <color rgb="FFF8696B"/>
        <color rgb="FFFFEB84"/>
        <color rgb="FF63BE7B"/>
      </colorScale>
    </cfRule>
    <cfRule type="colorScale" priority="18320">
      <colorScale>
        <cfvo type="num" val="1"/>
        <cfvo type="num" val="2"/>
        <cfvo type="num" val="3"/>
        <color rgb="FFF8696B"/>
        <color rgb="FFFFEB84"/>
        <color rgb="FF63BE7B"/>
      </colorScale>
    </cfRule>
    <cfRule type="colorScale" priority="18321">
      <colorScale>
        <cfvo type="num" val="1"/>
        <cfvo type="num" val="2"/>
        <cfvo type="num" val="3"/>
        <color rgb="FFF8696B"/>
        <color rgb="FFFFEB84"/>
        <color rgb="FF63BE7B"/>
      </colorScale>
    </cfRule>
    <cfRule type="colorScale" priority="18322">
      <colorScale>
        <cfvo type="num" val="1"/>
        <cfvo type="num" val="2"/>
        <cfvo type="num" val="3"/>
        <color rgb="FFF8696B"/>
        <color rgb="FFFFEB84"/>
        <color rgb="FF63BE7B"/>
      </colorScale>
    </cfRule>
  </conditionalFormatting>
  <conditionalFormatting sqref="P361">
    <cfRule type="cellIs" dxfId="1889" priority="18303" operator="equal">
      <formula>5</formula>
    </cfRule>
    <cfRule type="cellIs" dxfId="1888" priority="18304" operator="equal">
      <formula>4</formula>
    </cfRule>
    <cfRule type="cellIs" dxfId="1887" priority="18305" operator="equal">
      <formula>1</formula>
    </cfRule>
    <cfRule type="cellIs" dxfId="1886" priority="18306" operator="equal">
      <formula>3</formula>
    </cfRule>
    <cfRule type="cellIs" dxfId="1885" priority="18307" operator="equal">
      <formula>2</formula>
    </cfRule>
    <cfRule type="colorScale" priority="18308">
      <colorScale>
        <cfvo type="min" val="0"/>
        <cfvo type="percentile" val="50"/>
        <cfvo type="max" val="0"/>
        <color rgb="FFF8696B"/>
        <color rgb="FFFFEB84"/>
        <color rgb="FF63BE7B"/>
      </colorScale>
    </cfRule>
    <cfRule type="colorScale" priority="18309">
      <colorScale>
        <cfvo type="num" val="1"/>
        <cfvo type="num" val="2"/>
        <cfvo type="num" val="3"/>
        <color rgb="FFF8696B"/>
        <color rgb="FFFFEB84"/>
        <color rgb="FF63BE7B"/>
      </colorScale>
    </cfRule>
    <cfRule type="colorScale" priority="18310">
      <colorScale>
        <cfvo type="num" val="1"/>
        <cfvo type="num" val="2"/>
        <cfvo type="num" val="3"/>
        <color rgb="FFF8696B"/>
        <color rgb="FFFFEB84"/>
        <color rgb="FF63BE7B"/>
      </colorScale>
    </cfRule>
  </conditionalFormatting>
  <conditionalFormatting sqref="P391">
    <cfRule type="cellIs" dxfId="1884" priority="11690" operator="equal">
      <formula>5</formula>
    </cfRule>
    <cfRule type="cellIs" dxfId="1883" priority="11691" operator="equal">
      <formula>4</formula>
    </cfRule>
    <cfRule type="cellIs" dxfId="1882" priority="11692" operator="equal">
      <formula>1</formula>
    </cfRule>
    <cfRule type="cellIs" dxfId="1881" priority="11693" operator="equal">
      <formula>3</formula>
    </cfRule>
    <cfRule type="cellIs" dxfId="1880" priority="11694" operator="equal">
      <formula>2</formula>
    </cfRule>
    <cfRule type="colorScale" priority="11695">
      <colorScale>
        <cfvo type="min" val="0"/>
        <cfvo type="percentile" val="50"/>
        <cfvo type="max" val="0"/>
        <color rgb="FFF8696B"/>
        <color rgb="FFFFEB84"/>
        <color rgb="FF63BE7B"/>
      </colorScale>
    </cfRule>
    <cfRule type="colorScale" priority="11696">
      <colorScale>
        <cfvo type="num" val="1"/>
        <cfvo type="num" val="2"/>
        <cfvo type="num" val="3"/>
        <color rgb="FFF8696B"/>
        <color rgb="FFFFEB84"/>
        <color rgb="FF63BE7B"/>
      </colorScale>
    </cfRule>
    <cfRule type="colorScale" priority="11697">
      <colorScale>
        <cfvo type="num" val="1"/>
        <cfvo type="num" val="2"/>
        <cfvo type="num" val="3"/>
        <color rgb="FFF8696B"/>
        <color rgb="FFFFEB84"/>
        <color rgb="FF63BE7B"/>
      </colorScale>
    </cfRule>
    <cfRule type="colorScale" priority="11698">
      <colorScale>
        <cfvo type="num" val="1"/>
        <cfvo type="num" val="2"/>
        <cfvo type="num" val="3"/>
        <color rgb="FFF8696B"/>
        <color rgb="FFFFEB84"/>
        <color rgb="FF63BE7B"/>
      </colorScale>
    </cfRule>
    <cfRule type="colorScale" priority="11699">
      <colorScale>
        <cfvo type="num" val="1"/>
        <cfvo type="num" val="2"/>
        <cfvo type="num" val="3"/>
        <color rgb="FFF8696B"/>
        <color rgb="FFFFEB84"/>
        <color rgb="FF63BE7B"/>
      </colorScale>
    </cfRule>
    <cfRule type="colorScale" priority="11700">
      <colorScale>
        <cfvo type="num" val="1"/>
        <cfvo type="num" val="2"/>
        <cfvo type="num" val="3"/>
        <color rgb="FFF8696B"/>
        <color rgb="FFFFEB84"/>
        <color rgb="FF63BE7B"/>
      </colorScale>
    </cfRule>
    <cfRule type="colorScale" priority="11701">
      <colorScale>
        <cfvo type="num" val="1"/>
        <cfvo type="num" val="2"/>
        <cfvo type="num" val="3"/>
        <color rgb="FFF8696B"/>
        <color rgb="FFFFEB84"/>
        <color rgb="FF63BE7B"/>
      </colorScale>
    </cfRule>
  </conditionalFormatting>
  <conditionalFormatting sqref="P393">
    <cfRule type="cellIs" dxfId="1879" priority="11682" operator="equal">
      <formula>5</formula>
    </cfRule>
    <cfRule type="cellIs" dxfId="1878" priority="11683" operator="equal">
      <formula>4</formula>
    </cfRule>
    <cfRule type="cellIs" dxfId="1877" priority="11684" operator="equal">
      <formula>1</formula>
    </cfRule>
    <cfRule type="cellIs" dxfId="1876" priority="11685" operator="equal">
      <formula>3</formula>
    </cfRule>
    <cfRule type="cellIs" dxfId="1875" priority="11686" operator="equal">
      <formula>2</formula>
    </cfRule>
    <cfRule type="colorScale" priority="11687">
      <colorScale>
        <cfvo type="min" val="0"/>
        <cfvo type="percentile" val="50"/>
        <cfvo type="max" val="0"/>
        <color rgb="FFF8696B"/>
        <color rgb="FFFFEB84"/>
        <color rgb="FF63BE7B"/>
      </colorScale>
    </cfRule>
    <cfRule type="colorScale" priority="11688">
      <colorScale>
        <cfvo type="num" val="1"/>
        <cfvo type="num" val="2"/>
        <cfvo type="num" val="3"/>
        <color rgb="FFF8696B"/>
        <color rgb="FFFFEB84"/>
        <color rgb="FF63BE7B"/>
      </colorScale>
    </cfRule>
    <cfRule type="colorScale" priority="11689">
      <colorScale>
        <cfvo type="num" val="1"/>
        <cfvo type="num" val="2"/>
        <cfvo type="num" val="3"/>
        <color rgb="FFF8696B"/>
        <color rgb="FFFFEB84"/>
        <color rgb="FF63BE7B"/>
      </colorScale>
    </cfRule>
  </conditionalFormatting>
  <conditionalFormatting sqref="P416">
    <cfRule type="cellIs" dxfId="1874" priority="10541" operator="equal">
      <formula>5</formula>
    </cfRule>
    <cfRule type="cellIs" dxfId="1873" priority="10542" operator="equal">
      <formula>4</formula>
    </cfRule>
    <cfRule type="cellIs" dxfId="1872" priority="10543" operator="equal">
      <formula>1</formula>
    </cfRule>
    <cfRule type="cellIs" dxfId="1871" priority="10544" operator="equal">
      <formula>3</formula>
    </cfRule>
    <cfRule type="cellIs" dxfId="1870" priority="10545" operator="equal">
      <formula>2</formula>
    </cfRule>
    <cfRule type="colorScale" priority="10546">
      <colorScale>
        <cfvo type="min" val="0"/>
        <cfvo type="percentile" val="50"/>
        <cfvo type="max" val="0"/>
        <color rgb="FFF8696B"/>
        <color rgb="FFFFEB84"/>
        <color rgb="FF63BE7B"/>
      </colorScale>
    </cfRule>
    <cfRule type="colorScale" priority="10547">
      <colorScale>
        <cfvo type="num" val="1"/>
        <cfvo type="num" val="2"/>
        <cfvo type="num" val="3"/>
        <color rgb="FFF8696B"/>
        <color rgb="FFFFEB84"/>
        <color rgb="FF63BE7B"/>
      </colorScale>
    </cfRule>
    <cfRule type="colorScale" priority="10548">
      <colorScale>
        <cfvo type="num" val="1"/>
        <cfvo type="num" val="2"/>
        <cfvo type="num" val="3"/>
        <color rgb="FFF8696B"/>
        <color rgb="FFFFEB84"/>
        <color rgb="FF63BE7B"/>
      </colorScale>
    </cfRule>
    <cfRule type="colorScale" priority="10549">
      <colorScale>
        <cfvo type="num" val="1"/>
        <cfvo type="num" val="2"/>
        <cfvo type="num" val="3"/>
        <color rgb="FFF8696B"/>
        <color rgb="FFFFEB84"/>
        <color rgb="FF63BE7B"/>
      </colorScale>
    </cfRule>
    <cfRule type="colorScale" priority="10550">
      <colorScale>
        <cfvo type="num" val="1"/>
        <cfvo type="num" val="2"/>
        <cfvo type="num" val="3"/>
        <color rgb="FFF8696B"/>
        <color rgb="FFFFEB84"/>
        <color rgb="FF63BE7B"/>
      </colorScale>
    </cfRule>
    <cfRule type="colorScale" priority="10551">
      <colorScale>
        <cfvo type="num" val="1"/>
        <cfvo type="num" val="2"/>
        <cfvo type="num" val="3"/>
        <color rgb="FFF8696B"/>
        <color rgb="FFFFEB84"/>
        <color rgb="FF63BE7B"/>
      </colorScale>
    </cfRule>
    <cfRule type="colorScale" priority="10552">
      <colorScale>
        <cfvo type="num" val="1"/>
        <cfvo type="num" val="2"/>
        <cfvo type="num" val="3"/>
        <color rgb="FFF8696B"/>
        <color rgb="FFFFEB84"/>
        <color rgb="FF63BE7B"/>
      </colorScale>
    </cfRule>
  </conditionalFormatting>
  <conditionalFormatting sqref="P418">
    <cfRule type="cellIs" dxfId="1869" priority="10533" operator="equal">
      <formula>5</formula>
    </cfRule>
    <cfRule type="cellIs" dxfId="1868" priority="10534" operator="equal">
      <formula>4</formula>
    </cfRule>
    <cfRule type="cellIs" dxfId="1867" priority="10535" operator="equal">
      <formula>1</formula>
    </cfRule>
    <cfRule type="cellIs" dxfId="1866" priority="10536" operator="equal">
      <formula>3</formula>
    </cfRule>
    <cfRule type="cellIs" dxfId="1865" priority="10537" operator="equal">
      <formula>2</formula>
    </cfRule>
    <cfRule type="colorScale" priority="10538">
      <colorScale>
        <cfvo type="min" val="0"/>
        <cfvo type="percentile" val="50"/>
        <cfvo type="max" val="0"/>
        <color rgb="FFF8696B"/>
        <color rgb="FFFFEB84"/>
        <color rgb="FF63BE7B"/>
      </colorScale>
    </cfRule>
    <cfRule type="colorScale" priority="10539">
      <colorScale>
        <cfvo type="num" val="1"/>
        <cfvo type="num" val="2"/>
        <cfvo type="num" val="3"/>
        <color rgb="FFF8696B"/>
        <color rgb="FFFFEB84"/>
        <color rgb="FF63BE7B"/>
      </colorScale>
    </cfRule>
    <cfRule type="colorScale" priority="10540">
      <colorScale>
        <cfvo type="num" val="1"/>
        <cfvo type="num" val="2"/>
        <cfvo type="num" val="3"/>
        <color rgb="FFF8696B"/>
        <color rgb="FFFFEB84"/>
        <color rgb="FF63BE7B"/>
      </colorScale>
    </cfRule>
  </conditionalFormatting>
  <conditionalFormatting sqref="P444">
    <cfRule type="cellIs" dxfId="1864" priority="9427" operator="equal">
      <formula>5</formula>
    </cfRule>
    <cfRule type="cellIs" dxfId="1863" priority="9428" operator="equal">
      <formula>4</formula>
    </cfRule>
    <cfRule type="cellIs" dxfId="1862" priority="9429" operator="equal">
      <formula>1</formula>
    </cfRule>
    <cfRule type="cellIs" dxfId="1861" priority="9430" operator="equal">
      <formula>3</formula>
    </cfRule>
    <cfRule type="cellIs" dxfId="1860" priority="9431" operator="equal">
      <formula>2</formula>
    </cfRule>
    <cfRule type="colorScale" priority="9432">
      <colorScale>
        <cfvo type="min" val="0"/>
        <cfvo type="percentile" val="50"/>
        <cfvo type="max" val="0"/>
        <color rgb="FFF8696B"/>
        <color rgb="FFFFEB84"/>
        <color rgb="FF63BE7B"/>
      </colorScale>
    </cfRule>
    <cfRule type="colorScale" priority="9433">
      <colorScale>
        <cfvo type="num" val="1"/>
        <cfvo type="num" val="2"/>
        <cfvo type="num" val="3"/>
        <color rgb="FFF8696B"/>
        <color rgb="FFFFEB84"/>
        <color rgb="FF63BE7B"/>
      </colorScale>
    </cfRule>
    <cfRule type="colorScale" priority="9434">
      <colorScale>
        <cfvo type="num" val="1"/>
        <cfvo type="num" val="2"/>
        <cfvo type="num" val="3"/>
        <color rgb="FFF8696B"/>
        <color rgb="FFFFEB84"/>
        <color rgb="FF63BE7B"/>
      </colorScale>
    </cfRule>
    <cfRule type="colorScale" priority="9435">
      <colorScale>
        <cfvo type="num" val="1"/>
        <cfvo type="num" val="2"/>
        <cfvo type="num" val="3"/>
        <color rgb="FFF8696B"/>
        <color rgb="FFFFEB84"/>
        <color rgb="FF63BE7B"/>
      </colorScale>
    </cfRule>
    <cfRule type="colorScale" priority="9436">
      <colorScale>
        <cfvo type="num" val="1"/>
        <cfvo type="num" val="2"/>
        <cfvo type="num" val="3"/>
        <color rgb="FFF8696B"/>
        <color rgb="FFFFEB84"/>
        <color rgb="FF63BE7B"/>
      </colorScale>
    </cfRule>
    <cfRule type="colorScale" priority="9437">
      <colorScale>
        <cfvo type="num" val="1"/>
        <cfvo type="num" val="2"/>
        <cfvo type="num" val="3"/>
        <color rgb="FFF8696B"/>
        <color rgb="FFFFEB84"/>
        <color rgb="FF63BE7B"/>
      </colorScale>
    </cfRule>
    <cfRule type="colorScale" priority="9438">
      <colorScale>
        <cfvo type="num" val="1"/>
        <cfvo type="num" val="2"/>
        <cfvo type="num" val="3"/>
        <color rgb="FFF8696B"/>
        <color rgb="FFFFEB84"/>
        <color rgb="FF63BE7B"/>
      </colorScale>
    </cfRule>
  </conditionalFormatting>
  <conditionalFormatting sqref="P446">
    <cfRule type="cellIs" dxfId="1859" priority="9419" operator="equal">
      <formula>5</formula>
    </cfRule>
    <cfRule type="cellIs" dxfId="1858" priority="9420" operator="equal">
      <formula>4</formula>
    </cfRule>
    <cfRule type="cellIs" dxfId="1857" priority="9421" operator="equal">
      <formula>1</formula>
    </cfRule>
    <cfRule type="cellIs" dxfId="1856" priority="9422" operator="equal">
      <formula>3</formula>
    </cfRule>
    <cfRule type="cellIs" dxfId="1855" priority="9423" operator="equal">
      <formula>2</formula>
    </cfRule>
    <cfRule type="colorScale" priority="9424">
      <colorScale>
        <cfvo type="min" val="0"/>
        <cfvo type="percentile" val="50"/>
        <cfvo type="max" val="0"/>
        <color rgb="FFF8696B"/>
        <color rgb="FFFFEB84"/>
        <color rgb="FF63BE7B"/>
      </colorScale>
    </cfRule>
    <cfRule type="colorScale" priority="9425">
      <colorScale>
        <cfvo type="num" val="1"/>
        <cfvo type="num" val="2"/>
        <cfvo type="num" val="3"/>
        <color rgb="FFF8696B"/>
        <color rgb="FFFFEB84"/>
        <color rgb="FF63BE7B"/>
      </colorScale>
    </cfRule>
    <cfRule type="colorScale" priority="9426">
      <colorScale>
        <cfvo type="num" val="1"/>
        <cfvo type="num" val="2"/>
        <cfvo type="num" val="3"/>
        <color rgb="FFF8696B"/>
        <color rgb="FFFFEB84"/>
        <color rgb="FF63BE7B"/>
      </colorScale>
    </cfRule>
  </conditionalFormatting>
  <conditionalFormatting sqref="P472">
    <cfRule type="cellIs" dxfId="1854" priority="8278" operator="equal">
      <formula>5</formula>
    </cfRule>
    <cfRule type="cellIs" dxfId="1853" priority="8279" operator="equal">
      <formula>4</formula>
    </cfRule>
    <cfRule type="cellIs" dxfId="1852" priority="8280" operator="equal">
      <formula>1</formula>
    </cfRule>
    <cfRule type="cellIs" dxfId="1851" priority="8281" operator="equal">
      <formula>3</formula>
    </cfRule>
    <cfRule type="cellIs" dxfId="1850" priority="8282" operator="equal">
      <formula>2</formula>
    </cfRule>
    <cfRule type="colorScale" priority="8283">
      <colorScale>
        <cfvo type="min" val="0"/>
        <cfvo type="percentile" val="50"/>
        <cfvo type="max" val="0"/>
        <color rgb="FFF8696B"/>
        <color rgb="FFFFEB84"/>
        <color rgb="FF63BE7B"/>
      </colorScale>
    </cfRule>
    <cfRule type="colorScale" priority="8284">
      <colorScale>
        <cfvo type="num" val="1"/>
        <cfvo type="num" val="2"/>
        <cfvo type="num" val="3"/>
        <color rgb="FFF8696B"/>
        <color rgb="FFFFEB84"/>
        <color rgb="FF63BE7B"/>
      </colorScale>
    </cfRule>
    <cfRule type="colorScale" priority="8285">
      <colorScale>
        <cfvo type="num" val="1"/>
        <cfvo type="num" val="2"/>
        <cfvo type="num" val="3"/>
        <color rgb="FFF8696B"/>
        <color rgb="FFFFEB84"/>
        <color rgb="FF63BE7B"/>
      </colorScale>
    </cfRule>
    <cfRule type="colorScale" priority="8286">
      <colorScale>
        <cfvo type="num" val="1"/>
        <cfvo type="num" val="2"/>
        <cfvo type="num" val="3"/>
        <color rgb="FFF8696B"/>
        <color rgb="FFFFEB84"/>
        <color rgb="FF63BE7B"/>
      </colorScale>
    </cfRule>
    <cfRule type="colorScale" priority="8287">
      <colorScale>
        <cfvo type="num" val="1"/>
        <cfvo type="num" val="2"/>
        <cfvo type="num" val="3"/>
        <color rgb="FFF8696B"/>
        <color rgb="FFFFEB84"/>
        <color rgb="FF63BE7B"/>
      </colorScale>
    </cfRule>
    <cfRule type="colorScale" priority="8288">
      <colorScale>
        <cfvo type="num" val="1"/>
        <cfvo type="num" val="2"/>
        <cfvo type="num" val="3"/>
        <color rgb="FFF8696B"/>
        <color rgb="FFFFEB84"/>
        <color rgb="FF63BE7B"/>
      </colorScale>
    </cfRule>
    <cfRule type="colorScale" priority="8289">
      <colorScale>
        <cfvo type="num" val="1"/>
        <cfvo type="num" val="2"/>
        <cfvo type="num" val="3"/>
        <color rgb="FFF8696B"/>
        <color rgb="FFFFEB84"/>
        <color rgb="FF63BE7B"/>
      </colorScale>
    </cfRule>
  </conditionalFormatting>
  <conditionalFormatting sqref="P474">
    <cfRule type="cellIs" dxfId="1849" priority="8270" operator="equal">
      <formula>5</formula>
    </cfRule>
    <cfRule type="cellIs" dxfId="1848" priority="8271" operator="equal">
      <formula>4</formula>
    </cfRule>
    <cfRule type="cellIs" dxfId="1847" priority="8272" operator="equal">
      <formula>1</formula>
    </cfRule>
    <cfRule type="cellIs" dxfId="1846" priority="8273" operator="equal">
      <formula>3</formula>
    </cfRule>
    <cfRule type="cellIs" dxfId="1845" priority="8274" operator="equal">
      <formula>2</formula>
    </cfRule>
    <cfRule type="colorScale" priority="8275">
      <colorScale>
        <cfvo type="min" val="0"/>
        <cfvo type="percentile" val="50"/>
        <cfvo type="max" val="0"/>
        <color rgb="FFF8696B"/>
        <color rgb="FFFFEB84"/>
        <color rgb="FF63BE7B"/>
      </colorScale>
    </cfRule>
    <cfRule type="colorScale" priority="8276">
      <colorScale>
        <cfvo type="num" val="1"/>
        <cfvo type="num" val="2"/>
        <cfvo type="num" val="3"/>
        <color rgb="FFF8696B"/>
        <color rgb="FFFFEB84"/>
        <color rgb="FF63BE7B"/>
      </colorScale>
    </cfRule>
    <cfRule type="colorScale" priority="8277">
      <colorScale>
        <cfvo type="num" val="1"/>
        <cfvo type="num" val="2"/>
        <cfvo type="num" val="3"/>
        <color rgb="FFF8696B"/>
        <color rgb="FFFFEB84"/>
        <color rgb="FF63BE7B"/>
      </colorScale>
    </cfRule>
  </conditionalFormatting>
  <conditionalFormatting sqref="P499">
    <cfRule type="cellIs" dxfId="1844" priority="7163" operator="equal">
      <formula>5</formula>
    </cfRule>
    <cfRule type="cellIs" dxfId="1843" priority="7164" operator="equal">
      <formula>4</formula>
    </cfRule>
    <cfRule type="cellIs" dxfId="1842" priority="7165" operator="equal">
      <formula>1</formula>
    </cfRule>
    <cfRule type="cellIs" dxfId="1841" priority="7166" operator="equal">
      <formula>3</formula>
    </cfRule>
    <cfRule type="cellIs" dxfId="1840" priority="7167" operator="equal">
      <formula>2</formula>
    </cfRule>
    <cfRule type="colorScale" priority="7168">
      <colorScale>
        <cfvo type="min" val="0"/>
        <cfvo type="percentile" val="50"/>
        <cfvo type="max" val="0"/>
        <color rgb="FFF8696B"/>
        <color rgb="FFFFEB84"/>
        <color rgb="FF63BE7B"/>
      </colorScale>
    </cfRule>
    <cfRule type="colorScale" priority="7169">
      <colorScale>
        <cfvo type="num" val="1"/>
        <cfvo type="num" val="2"/>
        <cfvo type="num" val="3"/>
        <color rgb="FFF8696B"/>
        <color rgb="FFFFEB84"/>
        <color rgb="FF63BE7B"/>
      </colorScale>
    </cfRule>
    <cfRule type="colorScale" priority="7170">
      <colorScale>
        <cfvo type="num" val="1"/>
        <cfvo type="num" val="2"/>
        <cfvo type="num" val="3"/>
        <color rgb="FFF8696B"/>
        <color rgb="FFFFEB84"/>
        <color rgb="FF63BE7B"/>
      </colorScale>
    </cfRule>
    <cfRule type="colorScale" priority="7171">
      <colorScale>
        <cfvo type="num" val="1"/>
        <cfvo type="num" val="2"/>
        <cfvo type="num" val="3"/>
        <color rgb="FFF8696B"/>
        <color rgb="FFFFEB84"/>
        <color rgb="FF63BE7B"/>
      </colorScale>
    </cfRule>
    <cfRule type="colorScale" priority="7172">
      <colorScale>
        <cfvo type="num" val="1"/>
        <cfvo type="num" val="2"/>
        <cfvo type="num" val="3"/>
        <color rgb="FFF8696B"/>
        <color rgb="FFFFEB84"/>
        <color rgb="FF63BE7B"/>
      </colorScale>
    </cfRule>
    <cfRule type="colorScale" priority="7173">
      <colorScale>
        <cfvo type="num" val="1"/>
        <cfvo type="num" val="2"/>
        <cfvo type="num" val="3"/>
        <color rgb="FFF8696B"/>
        <color rgb="FFFFEB84"/>
        <color rgb="FF63BE7B"/>
      </colorScale>
    </cfRule>
    <cfRule type="colorScale" priority="7174">
      <colorScale>
        <cfvo type="num" val="1"/>
        <cfvo type="num" val="2"/>
        <cfvo type="num" val="3"/>
        <color rgb="FFF8696B"/>
        <color rgb="FFFFEB84"/>
        <color rgb="FF63BE7B"/>
      </colorScale>
    </cfRule>
  </conditionalFormatting>
  <conditionalFormatting sqref="P501">
    <cfRule type="cellIs" dxfId="1839" priority="7155" operator="equal">
      <formula>5</formula>
    </cfRule>
    <cfRule type="cellIs" dxfId="1838" priority="7156" operator="equal">
      <formula>4</formula>
    </cfRule>
    <cfRule type="cellIs" dxfId="1837" priority="7157" operator="equal">
      <formula>1</formula>
    </cfRule>
    <cfRule type="cellIs" dxfId="1836" priority="7158" operator="equal">
      <formula>3</formula>
    </cfRule>
    <cfRule type="cellIs" dxfId="1835" priority="7159" operator="equal">
      <formula>2</formula>
    </cfRule>
    <cfRule type="colorScale" priority="7160">
      <colorScale>
        <cfvo type="min" val="0"/>
        <cfvo type="percentile" val="50"/>
        <cfvo type="max" val="0"/>
        <color rgb="FFF8696B"/>
        <color rgb="FFFFEB84"/>
        <color rgb="FF63BE7B"/>
      </colorScale>
    </cfRule>
    <cfRule type="colorScale" priority="7161">
      <colorScale>
        <cfvo type="num" val="1"/>
        <cfvo type="num" val="2"/>
        <cfvo type="num" val="3"/>
        <color rgb="FFF8696B"/>
        <color rgb="FFFFEB84"/>
        <color rgb="FF63BE7B"/>
      </colorScale>
    </cfRule>
    <cfRule type="colorScale" priority="7162">
      <colorScale>
        <cfvo type="num" val="1"/>
        <cfvo type="num" val="2"/>
        <cfvo type="num" val="3"/>
        <color rgb="FFF8696B"/>
        <color rgb="FFFFEB84"/>
        <color rgb="FF63BE7B"/>
      </colorScale>
    </cfRule>
  </conditionalFormatting>
  <conditionalFormatting sqref="S450 S310 S337 P44:Q44 P72:Q72 S15 S105 S138 S165 S196">
    <cfRule type="colorScale" priority="36828">
      <colorScale>
        <cfvo type="num" val="1"/>
        <cfvo type="num" val="2"/>
        <cfvo type="num" val="3"/>
        <color rgb="FFF8696B"/>
        <color rgb="FFFFEB84"/>
        <color rgb="FF63BE7B"/>
      </colorScale>
    </cfRule>
    <cfRule type="colorScale" priority="36831">
      <colorScale>
        <cfvo type="num" val="1"/>
        <cfvo type="num" val="2"/>
        <cfvo type="num" val="3"/>
        <color rgb="FFF8696B"/>
        <color rgb="FFFFEB84"/>
        <color rgb="FF63BE7B"/>
      </colorScale>
    </cfRule>
    <cfRule type="colorScale" priority="36861">
      <colorScale>
        <cfvo type="num" val="1"/>
        <cfvo type="num" val="2"/>
        <cfvo type="num" val="3"/>
        <color rgb="FFF8696B"/>
        <color rgb="FFFFEB84"/>
        <color rgb="FF63BE7B"/>
      </colorScale>
    </cfRule>
    <cfRule type="colorScale" priority="36871">
      <colorScale>
        <cfvo type="num" val="1"/>
        <cfvo type="num" val="2"/>
        <cfvo type="num" val="3"/>
        <color rgb="FFF8696B"/>
        <color rgb="FFFFEB84"/>
        <color rgb="FF63BE7B"/>
      </colorScale>
    </cfRule>
    <cfRule type="colorScale" priority="36880">
      <colorScale>
        <cfvo type="num" val="1"/>
        <cfvo type="num" val="2"/>
        <cfvo type="num" val="3"/>
        <color rgb="FFF8696B"/>
        <color rgb="FFFFEB84"/>
        <color rgb="FF63BE7B"/>
      </colorScale>
    </cfRule>
    <cfRule type="colorScale" priority="36881">
      <colorScale>
        <cfvo type="num" val="1"/>
        <cfvo type="num" val="2"/>
        <cfvo type="num" val="3"/>
        <color rgb="FFF8696B"/>
        <color rgb="FFFFEB84"/>
        <color rgb="FF63BE7B"/>
      </colorScale>
    </cfRule>
    <cfRule type="colorScale" priority="36882">
      <colorScale>
        <cfvo type="num" val="1"/>
        <cfvo type="num" val="2"/>
        <cfvo type="num" val="3"/>
        <color rgb="FFF8696B"/>
        <color rgb="FFFFEB84"/>
        <color rgb="FF63BE7B"/>
      </colorScale>
    </cfRule>
    <cfRule type="colorScale" priority="36883">
      <colorScale>
        <cfvo type="num" val="1"/>
        <cfvo type="num" val="2"/>
        <cfvo type="num" val="3"/>
        <color rgb="FFF8696B"/>
        <color rgb="FFFFEB84"/>
        <color rgb="FF63BE7B"/>
      </colorScale>
    </cfRule>
    <cfRule type="colorScale" priority="36884">
      <colorScale>
        <cfvo type="num" val="1"/>
        <cfvo type="num" val="2"/>
        <cfvo type="num" val="3"/>
        <color rgb="FFF8696B"/>
        <color rgb="FFFFEB84"/>
        <color rgb="FF63BE7B"/>
      </colorScale>
    </cfRule>
    <cfRule type="colorScale" priority="36889">
      <colorScale>
        <cfvo type="num" val="1"/>
        <cfvo type="num" val="2"/>
        <cfvo type="num" val="3"/>
        <color rgb="FFF8696B"/>
        <color rgb="FFFFEB84"/>
        <color rgb="FF63BE7B"/>
      </colorScale>
    </cfRule>
    <cfRule type="colorScale" priority="36893">
      <colorScale>
        <cfvo type="num" val="1"/>
        <cfvo type="num" val="2"/>
        <cfvo type="num" val="3"/>
        <color rgb="FFF8696B"/>
        <color rgb="FFFFEB84"/>
        <color rgb="FF63BE7B"/>
      </colorScale>
    </cfRule>
    <cfRule type="colorScale" priority="36894">
      <colorScale>
        <cfvo type="num" val="1"/>
        <cfvo type="num" val="2"/>
        <cfvo type="num" val="3"/>
        <color rgb="FFF8696B"/>
        <color rgb="FFFFEB84"/>
        <color rgb="FF63BE7B"/>
      </colorScale>
    </cfRule>
    <cfRule type="colorScale" priority="36895">
      <colorScale>
        <cfvo type="num" val="1"/>
        <cfvo type="num" val="2"/>
        <cfvo type="num" val="3"/>
        <color rgb="FFF8696B"/>
        <color rgb="FFFFEB84"/>
        <color rgb="FF63BE7B"/>
      </colorScale>
    </cfRule>
    <cfRule type="colorScale" priority="36896">
      <colorScale>
        <cfvo type="num" val="1"/>
        <cfvo type="num" val="2"/>
        <cfvo type="num" val="3"/>
        <color rgb="FFF8696B"/>
        <color rgb="FFFFEB84"/>
        <color rgb="FF63BE7B"/>
      </colorScale>
    </cfRule>
    <cfRule type="colorScale" priority="36899">
      <colorScale>
        <cfvo type="num" val="1"/>
        <cfvo type="num" val="2"/>
        <cfvo type="num" val="3"/>
        <color rgb="FFF8696B"/>
        <color rgb="FFFFEB84"/>
        <color rgb="FF63BE7B"/>
      </colorScale>
    </cfRule>
    <cfRule type="colorScale" priority="36900">
      <colorScale>
        <cfvo type="num" val="1"/>
        <cfvo type="num" val="2"/>
        <cfvo type="num" val="3"/>
        <color rgb="FFF8696B"/>
        <color rgb="FFFFEB84"/>
        <color rgb="FF63BE7B"/>
      </colorScale>
    </cfRule>
    <cfRule type="colorScale" priority="36901">
      <colorScale>
        <cfvo type="num" val="1"/>
        <cfvo type="num" val="2"/>
        <cfvo type="num" val="3"/>
        <color rgb="FFF8696B"/>
        <color rgb="FFFFEB84"/>
        <color rgb="FF63BE7B"/>
      </colorScale>
    </cfRule>
    <cfRule type="colorScale" priority="36903">
      <colorScale>
        <cfvo type="num" val="1"/>
        <cfvo type="num" val="2"/>
        <cfvo type="num" val="3"/>
        <color rgb="FFF8696B"/>
        <color rgb="FFFFEB84"/>
        <color rgb="FF63BE7B"/>
      </colorScale>
    </cfRule>
    <cfRule type="colorScale" priority="36906">
      <colorScale>
        <cfvo type="num" val="1"/>
        <cfvo type="num" val="2"/>
        <cfvo type="num" val="3"/>
        <color rgb="FFF8696B"/>
        <color rgb="FFFFEB84"/>
        <color rgb="FF63BE7B"/>
      </colorScale>
    </cfRule>
    <cfRule type="colorScale" priority="36907">
      <colorScale>
        <cfvo type="num" val="1"/>
        <cfvo type="num" val="2"/>
        <cfvo type="num" val="3"/>
        <color rgb="FFF8696B"/>
        <color rgb="FFFFEB84"/>
        <color rgb="FF63BE7B"/>
      </colorScale>
    </cfRule>
    <cfRule type="colorScale" priority="36908">
      <colorScale>
        <cfvo type="num" val="1"/>
        <cfvo type="num" val="2"/>
        <cfvo type="num" val="3"/>
        <color rgb="FFF8696B"/>
        <color rgb="FFFFEB84"/>
        <color rgb="FF63BE7B"/>
      </colorScale>
    </cfRule>
    <cfRule type="colorScale" priority="36910">
      <colorScale>
        <cfvo type="num" val="1"/>
        <cfvo type="num" val="2"/>
        <cfvo type="num" val="3"/>
        <color rgb="FFF8696B"/>
        <color rgb="FFFFEB84"/>
        <color rgb="FF63BE7B"/>
      </colorScale>
    </cfRule>
  </conditionalFormatting>
  <conditionalFormatting sqref="Q64">
    <cfRule type="cellIs" dxfId="1834" priority="35164" operator="equal">
      <formula>5</formula>
    </cfRule>
    <cfRule type="cellIs" dxfId="1833" priority="35165" operator="equal">
      <formula>4</formula>
    </cfRule>
    <cfRule type="cellIs" dxfId="1832" priority="35166" operator="equal">
      <formula>1</formula>
    </cfRule>
    <cfRule type="colorScale" priority="35169">
      <colorScale>
        <cfvo type="num" val="1"/>
        <cfvo type="num" val="2"/>
        <cfvo type="num" val="3"/>
        <color rgb="FFF8696B"/>
        <color rgb="FFFFEB84"/>
        <color rgb="FF63BE7B"/>
      </colorScale>
    </cfRule>
    <cfRule type="colorScale" priority="35170">
      <colorScale>
        <cfvo type="num" val="1"/>
        <cfvo type="num" val="2"/>
        <cfvo type="num" val="3"/>
        <color rgb="FFF8696B"/>
        <color rgb="FFFFEB84"/>
        <color rgb="FF63BE7B"/>
      </colorScale>
    </cfRule>
    <cfRule type="colorScale" priority="35171">
      <colorScale>
        <cfvo type="min" val="0"/>
        <cfvo type="percentile" val="50"/>
        <cfvo type="max" val="0"/>
        <color rgb="FFF8696B"/>
        <color rgb="FFFFEB84"/>
        <color rgb="FF63BE7B"/>
      </colorScale>
    </cfRule>
  </conditionalFormatting>
  <conditionalFormatting sqref="Q66">
    <cfRule type="cellIs" dxfId="1831" priority="35156" operator="equal">
      <formula>5</formula>
    </cfRule>
    <cfRule type="cellIs" dxfId="1830" priority="35157" operator="equal">
      <formula>4</formula>
    </cfRule>
    <cfRule type="cellIs" dxfId="1829" priority="35158" operator="equal">
      <formula>1</formula>
    </cfRule>
    <cfRule type="colorScale" priority="35161">
      <colorScale>
        <cfvo type="num" val="1"/>
        <cfvo type="num" val="2"/>
        <cfvo type="num" val="3"/>
        <color rgb="FFF8696B"/>
        <color rgb="FFFFEB84"/>
        <color rgb="FF63BE7B"/>
      </colorScale>
    </cfRule>
    <cfRule type="colorScale" priority="35162">
      <colorScale>
        <cfvo type="num" val="1"/>
        <cfvo type="num" val="2"/>
        <cfvo type="num" val="3"/>
        <color rgb="FFF8696B"/>
        <color rgb="FFFFEB84"/>
        <color rgb="FF63BE7B"/>
      </colorScale>
    </cfRule>
    <cfRule type="colorScale" priority="35163">
      <colorScale>
        <cfvo type="min" val="0"/>
        <cfvo type="percentile" val="50"/>
        <cfvo type="max" val="0"/>
        <color rgb="FFF8696B"/>
        <color rgb="FFFFEB84"/>
        <color rgb="FF63BE7B"/>
      </colorScale>
    </cfRule>
  </conditionalFormatting>
  <conditionalFormatting sqref="Q165">
    <cfRule type="cellIs" dxfId="1828" priority="24791" operator="equal">
      <formula>5</formula>
    </cfRule>
    <cfRule type="cellIs" dxfId="1827" priority="24792" operator="equal">
      <formula>4</formula>
    </cfRule>
    <cfRule type="cellIs" dxfId="1826" priority="24793" operator="equal">
      <formula>1</formula>
    </cfRule>
    <cfRule type="cellIs" dxfId="1825" priority="24794" operator="equal">
      <formula>3</formula>
    </cfRule>
    <cfRule type="cellIs" dxfId="1824" priority="24795" operator="equal">
      <formula>2</formula>
    </cfRule>
    <cfRule type="colorScale" priority="24796">
      <colorScale>
        <cfvo type="num" val="1"/>
        <cfvo type="num" val="2"/>
        <cfvo type="num" val="3"/>
        <color rgb="FFF8696B"/>
        <color rgb="FFFFEB84"/>
        <color rgb="FF63BE7B"/>
      </colorScale>
    </cfRule>
    <cfRule type="colorScale" priority="24797">
      <colorScale>
        <cfvo type="num" val="1"/>
        <cfvo type="num" val="2"/>
        <cfvo type="num" val="3"/>
        <color rgb="FFF8696B"/>
        <color rgb="FFFFEB84"/>
        <color rgb="FF63BE7B"/>
      </colorScale>
    </cfRule>
    <cfRule type="colorScale" priority="24798">
      <colorScale>
        <cfvo type="min" val="0"/>
        <cfvo type="percentile" val="50"/>
        <cfvo type="max" val="0"/>
        <color rgb="FFF8696B"/>
        <color rgb="FFFFEB84"/>
        <color rgb="FF63BE7B"/>
      </colorScale>
    </cfRule>
  </conditionalFormatting>
  <conditionalFormatting sqref="Q167">
    <cfRule type="cellIs" dxfId="1823" priority="24783" operator="equal">
      <formula>5</formula>
    </cfRule>
    <cfRule type="cellIs" dxfId="1822" priority="24784" operator="equal">
      <formula>4</formula>
    </cfRule>
    <cfRule type="cellIs" dxfId="1821" priority="24785" operator="equal">
      <formula>1</formula>
    </cfRule>
    <cfRule type="cellIs" dxfId="1820" priority="24786" operator="equal">
      <formula>3</formula>
    </cfRule>
    <cfRule type="cellIs" dxfId="1819" priority="24787" operator="equal">
      <formula>2</formula>
    </cfRule>
    <cfRule type="colorScale" priority="24788">
      <colorScale>
        <cfvo type="num" val="1"/>
        <cfvo type="num" val="2"/>
        <cfvo type="num" val="3"/>
        <color rgb="FFF8696B"/>
        <color rgb="FFFFEB84"/>
        <color rgb="FF63BE7B"/>
      </colorScale>
    </cfRule>
    <cfRule type="colorScale" priority="24789">
      <colorScale>
        <cfvo type="num" val="1"/>
        <cfvo type="num" val="2"/>
        <cfvo type="num" val="3"/>
        <color rgb="FFF8696B"/>
        <color rgb="FFFFEB84"/>
        <color rgb="FF63BE7B"/>
      </colorScale>
    </cfRule>
    <cfRule type="colorScale" priority="24790">
      <colorScale>
        <cfvo type="min" val="0"/>
        <cfvo type="percentile" val="50"/>
        <cfvo type="max" val="0"/>
        <color rgb="FFF8696B"/>
        <color rgb="FFFFEB84"/>
        <color rgb="FF63BE7B"/>
      </colorScale>
    </cfRule>
  </conditionalFormatting>
  <conditionalFormatting sqref="R38">
    <cfRule type="cellIs" dxfId="1818" priority="36265" operator="equal">
      <formula>5</formula>
    </cfRule>
    <cfRule type="cellIs" dxfId="1817" priority="36266" operator="equal">
      <formula>4</formula>
    </cfRule>
    <cfRule type="cellIs" dxfId="1816" priority="36267" operator="equal">
      <formula>1</formula>
    </cfRule>
    <cfRule type="cellIs" dxfId="1815" priority="36268" operator="equal">
      <formula>3</formula>
    </cfRule>
    <cfRule type="cellIs" dxfId="1814" priority="36269" operator="equal">
      <formula>2</formula>
    </cfRule>
    <cfRule type="colorScale" priority="36270">
      <colorScale>
        <cfvo type="num" val="1"/>
        <cfvo type="num" val="2"/>
        <cfvo type="num" val="3"/>
        <color rgb="FFF8696B"/>
        <color rgb="FFFFEB84"/>
        <color rgb="FF63BE7B"/>
      </colorScale>
    </cfRule>
    <cfRule type="colorScale" priority="36271">
      <colorScale>
        <cfvo type="num" val="1"/>
        <cfvo type="num" val="2"/>
        <cfvo type="num" val="3"/>
        <color rgb="FFF8696B"/>
        <color rgb="FFFFEB84"/>
        <color rgb="FF63BE7B"/>
      </colorScale>
    </cfRule>
    <cfRule type="colorScale" priority="36272">
      <colorScale>
        <cfvo type="min" val="0"/>
        <cfvo type="percentile" val="50"/>
        <cfvo type="max" val="0"/>
        <color rgb="FFF8696B"/>
        <color rgb="FFFFEB84"/>
        <color rgb="FF63BE7B"/>
      </colorScale>
    </cfRule>
  </conditionalFormatting>
  <conditionalFormatting sqref="R42">
    <cfRule type="cellIs" dxfId="1813" priority="36273" operator="equal">
      <formula>5</formula>
    </cfRule>
    <cfRule type="cellIs" dxfId="1812" priority="36274" operator="equal">
      <formula>4</formula>
    </cfRule>
    <cfRule type="cellIs" dxfId="1811" priority="36275" operator="equal">
      <formula>1</formula>
    </cfRule>
    <cfRule type="cellIs" dxfId="1810" priority="36276" operator="equal">
      <formula>3</formula>
    </cfRule>
    <cfRule type="cellIs" dxfId="1809" priority="36277" operator="equal">
      <formula>2</formula>
    </cfRule>
    <cfRule type="colorScale" priority="36278">
      <colorScale>
        <cfvo type="num" val="1"/>
        <cfvo type="num" val="2"/>
        <cfvo type="num" val="3"/>
        <color rgb="FFF8696B"/>
        <color rgb="FFFFEB84"/>
        <color rgb="FF63BE7B"/>
      </colorScale>
    </cfRule>
    <cfRule type="colorScale" priority="36279">
      <colorScale>
        <cfvo type="num" val="1"/>
        <cfvo type="num" val="2"/>
        <cfvo type="num" val="3"/>
        <color rgb="FFF8696B"/>
        <color rgb="FFFFEB84"/>
        <color rgb="FF63BE7B"/>
      </colorScale>
    </cfRule>
    <cfRule type="colorScale" priority="36280">
      <colorScale>
        <cfvo type="min" val="0"/>
        <cfvo type="percentile" val="50"/>
        <cfvo type="max" val="0"/>
        <color rgb="FFF8696B"/>
        <color rgb="FFFFEB84"/>
        <color rgb="FF63BE7B"/>
      </colorScale>
    </cfRule>
  </conditionalFormatting>
  <conditionalFormatting sqref="R64">
    <cfRule type="cellIs" dxfId="1808" priority="35140" operator="equal">
      <formula>5</formula>
    </cfRule>
    <cfRule type="cellIs" dxfId="1807" priority="35141" operator="equal">
      <formula>4</formula>
    </cfRule>
    <cfRule type="cellIs" dxfId="1806" priority="35142" operator="equal">
      <formula>1</formula>
    </cfRule>
    <cfRule type="colorScale" priority="35145">
      <colorScale>
        <cfvo type="num" val="1"/>
        <cfvo type="num" val="2"/>
        <cfvo type="num" val="3"/>
        <color rgb="FFF8696B"/>
        <color rgb="FFFFEB84"/>
        <color rgb="FF63BE7B"/>
      </colorScale>
    </cfRule>
    <cfRule type="colorScale" priority="35146">
      <colorScale>
        <cfvo type="num" val="1"/>
        <cfvo type="num" val="2"/>
        <cfvo type="num" val="3"/>
        <color rgb="FFF8696B"/>
        <color rgb="FFFFEB84"/>
        <color rgb="FF63BE7B"/>
      </colorScale>
    </cfRule>
    <cfRule type="colorScale" priority="35147">
      <colorScale>
        <cfvo type="min" val="0"/>
        <cfvo type="percentile" val="50"/>
        <cfvo type="max" val="0"/>
        <color rgb="FFF8696B"/>
        <color rgb="FFFFEB84"/>
        <color rgb="FF63BE7B"/>
      </colorScale>
    </cfRule>
  </conditionalFormatting>
  <conditionalFormatting sqref="R66">
    <cfRule type="cellIs" dxfId="1805" priority="35260" operator="equal">
      <formula>5</formula>
    </cfRule>
    <cfRule type="cellIs" dxfId="1804" priority="35261" operator="equal">
      <formula>4</formula>
    </cfRule>
    <cfRule type="cellIs" dxfId="1803" priority="35262" operator="equal">
      <formula>1</formula>
    </cfRule>
    <cfRule type="colorScale" priority="35265">
      <colorScale>
        <cfvo type="num" val="1"/>
        <cfvo type="num" val="2"/>
        <cfvo type="num" val="3"/>
        <color rgb="FFF8696B"/>
        <color rgb="FFFFEB84"/>
        <color rgb="FF63BE7B"/>
      </colorScale>
    </cfRule>
    <cfRule type="colorScale" priority="35266">
      <colorScale>
        <cfvo type="num" val="1"/>
        <cfvo type="num" val="2"/>
        <cfvo type="num" val="3"/>
        <color rgb="FFF8696B"/>
        <color rgb="FFFFEB84"/>
        <color rgb="FF63BE7B"/>
      </colorScale>
    </cfRule>
    <cfRule type="colorScale" priority="35267">
      <colorScale>
        <cfvo type="min" val="0"/>
        <cfvo type="percentile" val="50"/>
        <cfvo type="max" val="0"/>
        <color rgb="FFF8696B"/>
        <color rgb="FFFFEB84"/>
        <color rgb="FF63BE7B"/>
      </colorScale>
    </cfRule>
  </conditionalFormatting>
  <conditionalFormatting sqref="R68">
    <cfRule type="cellIs" dxfId="1802" priority="35148" operator="equal">
      <formula>5</formula>
    </cfRule>
    <cfRule type="cellIs" dxfId="1801" priority="35149" operator="equal">
      <formula>4</formula>
    </cfRule>
    <cfRule type="cellIs" dxfId="1800" priority="35150" operator="equal">
      <formula>1</formula>
    </cfRule>
    <cfRule type="cellIs" dxfId="1799" priority="35151" operator="equal">
      <formula>3</formula>
    </cfRule>
    <cfRule type="cellIs" dxfId="1798" priority="35152" operator="equal">
      <formula>2</formula>
    </cfRule>
    <cfRule type="colorScale" priority="35153">
      <colorScale>
        <cfvo type="num" val="1"/>
        <cfvo type="num" val="2"/>
        <cfvo type="num" val="3"/>
        <color rgb="FFF8696B"/>
        <color rgb="FFFFEB84"/>
        <color rgb="FF63BE7B"/>
      </colorScale>
    </cfRule>
    <cfRule type="colorScale" priority="35154">
      <colorScale>
        <cfvo type="num" val="1"/>
        <cfvo type="num" val="2"/>
        <cfvo type="num" val="3"/>
        <color rgb="FFF8696B"/>
        <color rgb="FFFFEB84"/>
        <color rgb="FF63BE7B"/>
      </colorScale>
    </cfRule>
    <cfRule type="colorScale" priority="35155">
      <colorScale>
        <cfvo type="min" val="0"/>
        <cfvo type="percentile" val="50"/>
        <cfvo type="max" val="0"/>
        <color rgb="FFF8696B"/>
        <color rgb="FFFFEB84"/>
        <color rgb="FF63BE7B"/>
      </colorScale>
    </cfRule>
  </conditionalFormatting>
  <conditionalFormatting sqref="R224">
    <cfRule type="cellIs" dxfId="1797" priority="6957" operator="equal">
      <formula>5</formula>
    </cfRule>
    <cfRule type="cellIs" dxfId="1796" priority="6958" operator="equal">
      <formula>4</formula>
    </cfRule>
    <cfRule type="cellIs" dxfId="1795" priority="6959" operator="equal">
      <formula>1</formula>
    </cfRule>
    <cfRule type="cellIs" dxfId="1794" priority="6960" operator="equal">
      <formula>3</formula>
    </cfRule>
    <cfRule type="cellIs" dxfId="1793" priority="6961" operator="equal">
      <formula>2</formula>
    </cfRule>
    <cfRule type="colorScale" priority="6962">
      <colorScale>
        <cfvo type="min" val="0"/>
        <cfvo type="percentile" val="50"/>
        <cfvo type="max" val="0"/>
        <color rgb="FFF8696B"/>
        <color rgb="FFFFEB84"/>
        <color rgb="FF63BE7B"/>
      </colorScale>
    </cfRule>
    <cfRule type="colorScale" priority="6963">
      <colorScale>
        <cfvo type="num" val="1"/>
        <cfvo type="num" val="2"/>
        <cfvo type="num" val="3"/>
        <color rgb="FFF8696B"/>
        <color rgb="FFFFEB84"/>
        <color rgb="FF63BE7B"/>
      </colorScale>
    </cfRule>
    <cfRule type="colorScale" priority="6964">
      <colorScale>
        <cfvo type="num" val="1"/>
        <cfvo type="num" val="2"/>
        <cfvo type="num" val="3"/>
        <color rgb="FFF8696B"/>
        <color rgb="FFFFEB84"/>
        <color rgb="FF63BE7B"/>
      </colorScale>
    </cfRule>
  </conditionalFormatting>
  <conditionalFormatting sqref="T36">
    <cfRule type="cellIs" dxfId="1792" priority="36257" operator="equal">
      <formula>5</formula>
    </cfRule>
    <cfRule type="cellIs" dxfId="1791" priority="36258" operator="equal">
      <formula>4</formula>
    </cfRule>
    <cfRule type="cellIs" dxfId="1790" priority="36259" operator="equal">
      <formula>1</formula>
    </cfRule>
    <cfRule type="colorScale" priority="36262">
      <colorScale>
        <cfvo type="num" val="1"/>
        <cfvo type="num" val="2"/>
        <cfvo type="num" val="3"/>
        <color rgb="FFF8696B"/>
        <color rgb="FFFFEB84"/>
        <color rgb="FF63BE7B"/>
      </colorScale>
    </cfRule>
    <cfRule type="colorScale" priority="36263">
      <colorScale>
        <cfvo type="num" val="1"/>
        <cfvo type="num" val="2"/>
        <cfvo type="num" val="3"/>
        <color rgb="FFF8696B"/>
        <color rgb="FFFFEB84"/>
        <color rgb="FF63BE7B"/>
      </colorScale>
    </cfRule>
    <cfRule type="colorScale" priority="36264">
      <colorScale>
        <cfvo type="min" val="0"/>
        <cfvo type="percentile" val="50"/>
        <cfvo type="max" val="0"/>
        <color rgb="FFF8696B"/>
        <color rgb="FFFFEB84"/>
        <color rgb="FF63BE7B"/>
      </colorScale>
    </cfRule>
  </conditionalFormatting>
  <conditionalFormatting sqref="T40">
    <cfRule type="cellIs" dxfId="1789" priority="36249" operator="equal">
      <formula>5</formula>
    </cfRule>
    <cfRule type="cellIs" dxfId="1788" priority="36250" operator="equal">
      <formula>4</formula>
    </cfRule>
    <cfRule type="cellIs" dxfId="1787" priority="36251" operator="equal">
      <formula>1</formula>
    </cfRule>
    <cfRule type="colorScale" priority="36254">
      <colorScale>
        <cfvo type="num" val="1"/>
        <cfvo type="num" val="2"/>
        <cfvo type="num" val="3"/>
        <color rgb="FFF8696B"/>
        <color rgb="FFFFEB84"/>
        <color rgb="FF63BE7B"/>
      </colorScale>
    </cfRule>
    <cfRule type="colorScale" priority="36255">
      <colorScale>
        <cfvo type="num" val="1"/>
        <cfvo type="num" val="2"/>
        <cfvo type="num" val="3"/>
        <color rgb="FFF8696B"/>
        <color rgb="FFFFEB84"/>
        <color rgb="FF63BE7B"/>
      </colorScale>
    </cfRule>
    <cfRule type="colorScale" priority="36256">
      <colorScale>
        <cfvo type="min" val="0"/>
        <cfvo type="percentile" val="50"/>
        <cfvo type="max" val="0"/>
        <color rgb="FFF8696B"/>
        <color rgb="FFFFEB84"/>
        <color rgb="FF63BE7B"/>
      </colorScale>
    </cfRule>
  </conditionalFormatting>
  <conditionalFormatting sqref="T64">
    <cfRule type="cellIs" dxfId="1786" priority="35252" operator="equal">
      <formula>5</formula>
    </cfRule>
    <cfRule type="cellIs" dxfId="1785" priority="35253" operator="equal">
      <formula>4</formula>
    </cfRule>
    <cfRule type="cellIs" dxfId="1784" priority="35254" operator="equal">
      <formula>1</formula>
    </cfRule>
    <cfRule type="colorScale" priority="35257">
      <colorScale>
        <cfvo type="num" val="1"/>
        <cfvo type="num" val="2"/>
        <cfvo type="num" val="3"/>
        <color rgb="FFF8696B"/>
        <color rgb="FFFFEB84"/>
        <color rgb="FF63BE7B"/>
      </colorScale>
    </cfRule>
    <cfRule type="colorScale" priority="35258">
      <colorScale>
        <cfvo type="num" val="1"/>
        <cfvo type="num" val="2"/>
        <cfvo type="num" val="3"/>
        <color rgb="FFF8696B"/>
        <color rgb="FFFFEB84"/>
        <color rgb="FF63BE7B"/>
      </colorScale>
    </cfRule>
    <cfRule type="colorScale" priority="35259">
      <colorScale>
        <cfvo type="min" val="0"/>
        <cfvo type="percentile" val="50"/>
        <cfvo type="max" val="0"/>
        <color rgb="FFF8696B"/>
        <color rgb="FFFFEB84"/>
        <color rgb="FF63BE7B"/>
      </colorScale>
    </cfRule>
  </conditionalFormatting>
  <conditionalFormatting sqref="T66">
    <cfRule type="cellIs" dxfId="1783" priority="35132" operator="equal">
      <formula>5</formula>
    </cfRule>
    <cfRule type="cellIs" dxfId="1782" priority="35133" operator="equal">
      <formula>4</formula>
    </cfRule>
    <cfRule type="cellIs" dxfId="1781" priority="35134" operator="equal">
      <formula>1</formula>
    </cfRule>
    <cfRule type="colorScale" priority="35137">
      <colorScale>
        <cfvo type="num" val="1"/>
        <cfvo type="num" val="2"/>
        <cfvo type="num" val="3"/>
        <color rgb="FFF8696B"/>
        <color rgb="FFFFEB84"/>
        <color rgb="FF63BE7B"/>
      </colorScale>
    </cfRule>
    <cfRule type="colorScale" priority="35138">
      <colorScale>
        <cfvo type="num" val="1"/>
        <cfvo type="num" val="2"/>
        <cfvo type="num" val="3"/>
        <color rgb="FFF8696B"/>
        <color rgb="FFFFEB84"/>
        <color rgb="FF63BE7B"/>
      </colorScale>
    </cfRule>
    <cfRule type="colorScale" priority="35139">
      <colorScale>
        <cfvo type="min" val="0"/>
        <cfvo type="percentile" val="50"/>
        <cfvo type="max" val="0"/>
        <color rgb="FFF8696B"/>
        <color rgb="FFFFEB84"/>
        <color rgb="FF63BE7B"/>
      </colorScale>
    </cfRule>
  </conditionalFormatting>
  <conditionalFormatting sqref="T68">
    <cfRule type="cellIs" dxfId="1780" priority="35244" operator="equal">
      <formula>5</formula>
    </cfRule>
    <cfRule type="cellIs" dxfId="1779" priority="35245" operator="equal">
      <formula>4</formula>
    </cfRule>
    <cfRule type="cellIs" dxfId="1778" priority="35246" operator="equal">
      <formula>1</formula>
    </cfRule>
    <cfRule type="colorScale" priority="35249">
      <colorScale>
        <cfvo type="num" val="1"/>
        <cfvo type="num" val="2"/>
        <cfvo type="num" val="3"/>
        <color rgb="FFF8696B"/>
        <color rgb="FFFFEB84"/>
        <color rgb="FF63BE7B"/>
      </colorScale>
    </cfRule>
    <cfRule type="colorScale" priority="35250">
      <colorScale>
        <cfvo type="num" val="1"/>
        <cfvo type="num" val="2"/>
        <cfvo type="num" val="3"/>
        <color rgb="FFF8696B"/>
        <color rgb="FFFFEB84"/>
        <color rgb="FF63BE7B"/>
      </colorScale>
    </cfRule>
    <cfRule type="colorScale" priority="35251">
      <colorScale>
        <cfvo type="min" val="0"/>
        <cfvo type="percentile" val="50"/>
        <cfvo type="max" val="0"/>
        <color rgb="FFF8696B"/>
        <color rgb="FFFFEB84"/>
        <color rgb="FF63BE7B"/>
      </colorScale>
    </cfRule>
  </conditionalFormatting>
  <conditionalFormatting sqref="T72">
    <cfRule type="cellIs" dxfId="1777" priority="35124" operator="equal">
      <formula>5</formula>
    </cfRule>
    <cfRule type="cellIs" dxfId="1776" priority="35125" operator="equal">
      <formula>4</formula>
    </cfRule>
    <cfRule type="cellIs" dxfId="1775" priority="35126" operator="equal">
      <formula>1</formula>
    </cfRule>
    <cfRule type="colorScale" priority="35129">
      <colorScale>
        <cfvo type="num" val="1"/>
        <cfvo type="num" val="2"/>
        <cfvo type="num" val="3"/>
        <color rgb="FFF8696B"/>
        <color rgb="FFFFEB84"/>
        <color rgb="FF63BE7B"/>
      </colorScale>
    </cfRule>
    <cfRule type="colorScale" priority="35130">
      <colorScale>
        <cfvo type="num" val="1"/>
        <cfvo type="num" val="2"/>
        <cfvo type="num" val="3"/>
        <color rgb="FFF8696B"/>
        <color rgb="FFFFEB84"/>
        <color rgb="FF63BE7B"/>
      </colorScale>
    </cfRule>
    <cfRule type="colorScale" priority="35131">
      <colorScale>
        <cfvo type="min" val="0"/>
        <cfvo type="percentile" val="50"/>
        <cfvo type="max" val="0"/>
        <color rgb="FFF8696B"/>
        <color rgb="FFFFEB84"/>
        <color rgb="FF63BE7B"/>
      </colorScale>
    </cfRule>
  </conditionalFormatting>
  <conditionalFormatting sqref="U9">
    <cfRule type="cellIs" dxfId="1774" priority="39993" operator="equal">
      <formula>5</formula>
    </cfRule>
    <cfRule type="cellIs" dxfId="1773" priority="39994" operator="equal">
      <formula>4</formula>
    </cfRule>
    <cfRule type="cellIs" dxfId="1772" priority="39995" operator="equal">
      <formula>1</formula>
    </cfRule>
    <cfRule type="cellIs" dxfId="1771" priority="39996" operator="equal">
      <formula>3</formula>
    </cfRule>
    <cfRule type="cellIs" dxfId="1770" priority="39997" operator="equal">
      <formula>2</formula>
    </cfRule>
    <cfRule type="colorScale" priority="39998">
      <colorScale>
        <cfvo type="min" val="0"/>
        <cfvo type="percentile" val="50"/>
        <cfvo type="max" val="0"/>
        <color rgb="FFF8696B"/>
        <color rgb="FFFFEB84"/>
        <color rgb="FF63BE7B"/>
      </colorScale>
    </cfRule>
    <cfRule type="colorScale" priority="39999">
      <colorScale>
        <cfvo type="num" val="1"/>
        <cfvo type="num" val="2"/>
        <cfvo type="num" val="3"/>
        <color rgb="FFF8696B"/>
        <color rgb="FFFFEB84"/>
        <color rgb="FF63BE7B"/>
      </colorScale>
    </cfRule>
    <cfRule type="colorScale" priority="40000">
      <colorScale>
        <cfvo type="num" val="1"/>
        <cfvo type="num" val="2"/>
        <cfvo type="num" val="3"/>
        <color rgb="FFF8696B"/>
        <color rgb="FFFFEB84"/>
        <color rgb="FF63BE7B"/>
      </colorScale>
    </cfRule>
  </conditionalFormatting>
  <conditionalFormatting sqref="U15">
    <cfRule type="cellIs" dxfId="1769" priority="40001" operator="equal">
      <formula>5</formula>
    </cfRule>
    <cfRule type="cellIs" dxfId="1768" priority="40002" operator="equal">
      <formula>4</formula>
    </cfRule>
    <cfRule type="cellIs" dxfId="1767" priority="40003" operator="equal">
      <formula>1</formula>
    </cfRule>
    <cfRule type="cellIs" dxfId="1766" priority="40004" operator="equal">
      <formula>3</formula>
    </cfRule>
    <cfRule type="cellIs" dxfId="1765" priority="40005" operator="equal">
      <formula>2</formula>
    </cfRule>
    <cfRule type="colorScale" priority="40006">
      <colorScale>
        <cfvo type="min" val="0"/>
        <cfvo type="percentile" val="50"/>
        <cfvo type="max" val="0"/>
        <color rgb="FFF8696B"/>
        <color rgb="FFFFEB84"/>
        <color rgb="FF63BE7B"/>
      </colorScale>
    </cfRule>
    <cfRule type="colorScale" priority="40007">
      <colorScale>
        <cfvo type="num" val="1"/>
        <cfvo type="num" val="2"/>
        <cfvo type="num" val="3"/>
        <color rgb="FFF8696B"/>
        <color rgb="FFFFEB84"/>
        <color rgb="FF63BE7B"/>
      </colorScale>
    </cfRule>
    <cfRule type="colorScale" priority="40008">
      <colorScale>
        <cfvo type="num" val="1"/>
        <cfvo type="num" val="2"/>
        <cfvo type="num" val="3"/>
        <color rgb="FFF8696B"/>
        <color rgb="FFFFEB84"/>
        <color rgb="FF63BE7B"/>
      </colorScale>
    </cfRule>
    <cfRule type="colorScale" priority="40009">
      <colorScale>
        <cfvo type="num" val="1"/>
        <cfvo type="num" val="2"/>
        <cfvo type="num" val="3"/>
        <color rgb="FFF8696B"/>
        <color rgb="FFFFEB84"/>
        <color rgb="FF63BE7B"/>
      </colorScale>
    </cfRule>
    <cfRule type="colorScale" priority="40010">
      <colorScale>
        <cfvo type="num" val="1"/>
        <cfvo type="num" val="2"/>
        <cfvo type="num" val="3"/>
        <color rgb="FFF8696B"/>
        <color rgb="FFFFEB84"/>
        <color rgb="FF63BE7B"/>
      </colorScale>
    </cfRule>
    <cfRule type="colorScale" priority="40011">
      <colorScale>
        <cfvo type="num" val="1"/>
        <cfvo type="num" val="2"/>
        <cfvo type="num" val="3"/>
        <color rgb="FFF8696B"/>
        <color rgb="FFFFEB84"/>
        <color rgb="FF63BE7B"/>
      </colorScale>
    </cfRule>
    <cfRule type="colorScale" priority="40012">
      <colorScale>
        <cfvo type="num" val="1"/>
        <cfvo type="num" val="2"/>
        <cfvo type="num" val="3"/>
        <color rgb="FFF8696B"/>
        <color rgb="FFFFEB84"/>
        <color rgb="FF63BE7B"/>
      </colorScale>
    </cfRule>
  </conditionalFormatting>
  <conditionalFormatting sqref="U36">
    <cfRule type="cellIs" dxfId="1764" priority="36241" operator="equal">
      <formula>5</formula>
    </cfRule>
    <cfRule type="cellIs" dxfId="1763" priority="36242" operator="equal">
      <formula>4</formula>
    </cfRule>
    <cfRule type="cellIs" dxfId="1762" priority="36243" operator="equal">
      <formula>1</formula>
    </cfRule>
    <cfRule type="colorScale" priority="36246">
      <colorScale>
        <cfvo type="num" val="1"/>
        <cfvo type="num" val="2"/>
        <cfvo type="num" val="3"/>
        <color rgb="FFF8696B"/>
        <color rgb="FFFFEB84"/>
        <color rgb="FF63BE7B"/>
      </colorScale>
    </cfRule>
    <cfRule type="colorScale" priority="36247">
      <colorScale>
        <cfvo type="num" val="1"/>
        <cfvo type="num" val="2"/>
        <cfvo type="num" val="3"/>
        <color rgb="FFF8696B"/>
        <color rgb="FFFFEB84"/>
        <color rgb="FF63BE7B"/>
      </colorScale>
    </cfRule>
    <cfRule type="colorScale" priority="36248">
      <colorScale>
        <cfvo type="min" val="0"/>
        <cfvo type="percentile" val="50"/>
        <cfvo type="max" val="0"/>
        <color rgb="FFF8696B"/>
        <color rgb="FFFFEB84"/>
        <color rgb="FF63BE7B"/>
      </colorScale>
    </cfRule>
  </conditionalFormatting>
  <conditionalFormatting sqref="U38">
    <cfRule type="cellIs" dxfId="1761" priority="36387" operator="equal">
      <formula>5</formula>
    </cfRule>
    <cfRule type="cellIs" dxfId="1760" priority="36388" operator="equal">
      <formula>4</formula>
    </cfRule>
    <cfRule type="cellIs" dxfId="1759" priority="36389" operator="equal">
      <formula>1</formula>
    </cfRule>
    <cfRule type="cellIs" dxfId="1758" priority="36390" operator="equal">
      <formula>3</formula>
    </cfRule>
    <cfRule type="cellIs" dxfId="1757" priority="36391" operator="equal">
      <formula>2</formula>
    </cfRule>
    <cfRule type="colorScale" priority="36392">
      <colorScale>
        <cfvo type="min" val="0"/>
        <cfvo type="percentile" val="50"/>
        <cfvo type="max" val="0"/>
        <color rgb="FFF8696B"/>
        <color rgb="FFFFEB84"/>
        <color rgb="FF63BE7B"/>
      </colorScale>
    </cfRule>
    <cfRule type="colorScale" priority="36393">
      <colorScale>
        <cfvo type="num" val="1"/>
        <cfvo type="num" val="2"/>
        <cfvo type="num" val="3"/>
        <color rgb="FFF8696B"/>
        <color rgb="FFFFEB84"/>
        <color rgb="FF63BE7B"/>
      </colorScale>
    </cfRule>
    <cfRule type="colorScale" priority="36394">
      <colorScale>
        <cfvo type="num" val="1"/>
        <cfvo type="num" val="2"/>
        <cfvo type="num" val="3"/>
        <color rgb="FFF8696B"/>
        <color rgb="FFFFEB84"/>
        <color rgb="FF63BE7B"/>
      </colorScale>
    </cfRule>
  </conditionalFormatting>
  <conditionalFormatting sqref="U40">
    <cfRule type="cellIs" dxfId="1756" priority="36407" operator="equal">
      <formula>5</formula>
    </cfRule>
    <cfRule type="cellIs" dxfId="1755" priority="36408" operator="equal">
      <formula>4</formula>
    </cfRule>
    <cfRule type="cellIs" dxfId="1754" priority="36409" operator="equal">
      <formula>1</formula>
    </cfRule>
    <cfRule type="colorScale" priority="36412">
      <colorScale>
        <cfvo type="min" val="0"/>
        <cfvo type="percentile" val="50"/>
        <cfvo type="max" val="0"/>
        <color rgb="FFF8696B"/>
        <color rgb="FFFFEB84"/>
        <color rgb="FF63BE7B"/>
      </colorScale>
    </cfRule>
    <cfRule type="colorScale" priority="36413">
      <colorScale>
        <cfvo type="num" val="1"/>
        <cfvo type="num" val="2"/>
        <cfvo type="num" val="3"/>
        <color rgb="FFF8696B"/>
        <color rgb="FFFFEB84"/>
        <color rgb="FF63BE7B"/>
      </colorScale>
    </cfRule>
    <cfRule type="colorScale" priority="36414">
      <colorScale>
        <cfvo type="num" val="1"/>
        <cfvo type="num" val="2"/>
        <cfvo type="num" val="3"/>
        <color rgb="FFF8696B"/>
        <color rgb="FFFFEB84"/>
        <color rgb="FF63BE7B"/>
      </colorScale>
    </cfRule>
  </conditionalFormatting>
  <conditionalFormatting sqref="U44">
    <cfRule type="cellIs" dxfId="1753" priority="36233" operator="equal">
      <formula>5</formula>
    </cfRule>
    <cfRule type="cellIs" dxfId="1752" priority="36234" operator="equal">
      <formula>4</formula>
    </cfRule>
    <cfRule type="cellIs" dxfId="1751" priority="36235" operator="equal">
      <formula>1</formula>
    </cfRule>
    <cfRule type="cellIs" dxfId="1750" priority="36236" operator="equal">
      <formula>3</formula>
    </cfRule>
    <cfRule type="cellIs" dxfId="1749" priority="36237" operator="equal">
      <formula>2</formula>
    </cfRule>
    <cfRule type="colorScale" priority="36238">
      <colorScale>
        <cfvo type="num" val="1"/>
        <cfvo type="num" val="2"/>
        <cfvo type="num" val="3"/>
        <color rgb="FFF8696B"/>
        <color rgb="FFFFEB84"/>
        <color rgb="FF63BE7B"/>
      </colorScale>
    </cfRule>
    <cfRule type="colorScale" priority="36239">
      <colorScale>
        <cfvo type="num" val="1"/>
        <cfvo type="num" val="2"/>
        <cfvo type="num" val="3"/>
        <color rgb="FFF8696B"/>
        <color rgb="FFFFEB84"/>
        <color rgb="FF63BE7B"/>
      </colorScale>
    </cfRule>
    <cfRule type="colorScale" priority="36240">
      <colorScale>
        <cfvo type="min" val="0"/>
        <cfvo type="percentile" val="50"/>
        <cfvo type="max" val="0"/>
        <color rgb="FFF8696B"/>
        <color rgb="FFFFEB84"/>
        <color rgb="FF63BE7B"/>
      </colorScale>
    </cfRule>
  </conditionalFormatting>
  <conditionalFormatting sqref="U64">
    <cfRule type="cellIs" dxfId="1748" priority="35116" operator="equal">
      <formula>5</formula>
    </cfRule>
    <cfRule type="cellIs" dxfId="1747" priority="35117" operator="equal">
      <formula>4</formula>
    </cfRule>
    <cfRule type="cellIs" dxfId="1746" priority="35118" operator="equal">
      <formula>1</formula>
    </cfRule>
    <cfRule type="colorScale" priority="35121">
      <colorScale>
        <cfvo type="num" val="1"/>
        <cfvo type="num" val="2"/>
        <cfvo type="num" val="3"/>
        <color rgb="FFF8696B"/>
        <color rgb="FFFFEB84"/>
        <color rgb="FF63BE7B"/>
      </colorScale>
    </cfRule>
    <cfRule type="colorScale" priority="35122">
      <colorScale>
        <cfvo type="num" val="1"/>
        <cfvo type="num" val="2"/>
        <cfvo type="num" val="3"/>
        <color rgb="FFF8696B"/>
        <color rgb="FFFFEB84"/>
        <color rgb="FF63BE7B"/>
      </colorScale>
    </cfRule>
    <cfRule type="colorScale" priority="35123">
      <colorScale>
        <cfvo type="min" val="0"/>
        <cfvo type="percentile" val="50"/>
        <cfvo type="max" val="0"/>
        <color rgb="FFF8696B"/>
        <color rgb="FFFFEB84"/>
        <color rgb="FF63BE7B"/>
      </colorScale>
    </cfRule>
  </conditionalFormatting>
  <conditionalFormatting sqref="U66">
    <cfRule type="cellIs" dxfId="1745" priority="35108" operator="equal">
      <formula>5</formula>
    </cfRule>
    <cfRule type="cellIs" dxfId="1744" priority="35109" operator="equal">
      <formula>4</formula>
    </cfRule>
    <cfRule type="cellIs" dxfId="1743" priority="35110" operator="equal">
      <formula>1</formula>
    </cfRule>
    <cfRule type="colorScale" priority="35113">
      <colorScale>
        <cfvo type="num" val="1"/>
        <cfvo type="num" val="2"/>
        <cfvo type="num" val="3"/>
        <color rgb="FFF8696B"/>
        <color rgb="FFFFEB84"/>
        <color rgb="FF63BE7B"/>
      </colorScale>
    </cfRule>
    <cfRule type="colorScale" priority="35114">
      <colorScale>
        <cfvo type="num" val="1"/>
        <cfvo type="num" val="2"/>
        <cfvo type="num" val="3"/>
        <color rgb="FFF8696B"/>
        <color rgb="FFFFEB84"/>
        <color rgb="FF63BE7B"/>
      </colorScale>
    </cfRule>
    <cfRule type="colorScale" priority="35115">
      <colorScale>
        <cfvo type="min" val="0"/>
        <cfvo type="percentile" val="50"/>
        <cfvo type="max" val="0"/>
        <color rgb="FFF8696B"/>
        <color rgb="FFFFEB84"/>
        <color rgb="FF63BE7B"/>
      </colorScale>
    </cfRule>
  </conditionalFormatting>
  <conditionalFormatting sqref="U68">
    <cfRule type="cellIs" dxfId="1742" priority="35386" operator="equal">
      <formula>5</formula>
    </cfRule>
    <cfRule type="cellIs" dxfId="1741" priority="35387" operator="equal">
      <formula>4</formula>
    </cfRule>
    <cfRule type="cellIs" dxfId="1740" priority="35388" operator="equal">
      <formula>1</formula>
    </cfRule>
    <cfRule type="colorScale" priority="35391">
      <colorScale>
        <cfvo type="min" val="0"/>
        <cfvo type="percentile" val="50"/>
        <cfvo type="max" val="0"/>
        <color rgb="FFF8696B"/>
        <color rgb="FFFFEB84"/>
        <color rgb="FF63BE7B"/>
      </colorScale>
    </cfRule>
    <cfRule type="colorScale" priority="35392">
      <colorScale>
        <cfvo type="num" val="1"/>
        <cfvo type="num" val="2"/>
        <cfvo type="num" val="3"/>
        <color rgb="FFF8696B"/>
        <color rgb="FFFFEB84"/>
        <color rgb="FF63BE7B"/>
      </colorScale>
    </cfRule>
    <cfRule type="colorScale" priority="35393">
      <colorScale>
        <cfvo type="num" val="1"/>
        <cfvo type="num" val="2"/>
        <cfvo type="num" val="3"/>
        <color rgb="FFF8696B"/>
        <color rgb="FFFFEB84"/>
        <color rgb="FF63BE7B"/>
      </colorScale>
    </cfRule>
  </conditionalFormatting>
  <conditionalFormatting sqref="U72">
    <cfRule type="cellIs" dxfId="1739" priority="35228" operator="equal">
      <formula>5</formula>
    </cfRule>
    <cfRule type="cellIs" dxfId="1738" priority="35229" operator="equal">
      <formula>4</formula>
    </cfRule>
    <cfRule type="cellIs" dxfId="1737" priority="35230" operator="equal">
      <formula>1</formula>
    </cfRule>
    <cfRule type="colorScale" priority="35233">
      <colorScale>
        <cfvo type="num" val="1"/>
        <cfvo type="num" val="2"/>
        <cfvo type="num" val="3"/>
        <color rgb="FFF8696B"/>
        <color rgb="FFFFEB84"/>
        <color rgb="FF63BE7B"/>
      </colorScale>
    </cfRule>
    <cfRule type="colorScale" priority="35234">
      <colorScale>
        <cfvo type="num" val="1"/>
        <cfvo type="num" val="2"/>
        <cfvo type="num" val="3"/>
        <color rgb="FFF8696B"/>
        <color rgb="FFFFEB84"/>
        <color rgb="FF63BE7B"/>
      </colorScale>
    </cfRule>
    <cfRule type="colorScale" priority="35235">
      <colorScale>
        <cfvo type="min" val="0"/>
        <cfvo type="percentile" val="50"/>
        <cfvo type="max" val="0"/>
        <color rgb="FFF8696B"/>
        <color rgb="FFFFEB84"/>
        <color rgb="FF63BE7B"/>
      </colorScale>
    </cfRule>
  </conditionalFormatting>
  <conditionalFormatting sqref="U99">
    <cfRule type="cellIs" dxfId="1736" priority="37547" operator="equal">
      <formula>5</formula>
    </cfRule>
    <cfRule type="cellIs" dxfId="1735" priority="37548" operator="equal">
      <formula>4</formula>
    </cfRule>
    <cfRule type="cellIs" dxfId="1734" priority="37549" operator="equal">
      <formula>1</formula>
    </cfRule>
    <cfRule type="cellIs" dxfId="1733" priority="37550" operator="equal">
      <formula>3</formula>
    </cfRule>
    <cfRule type="cellIs" dxfId="1732" priority="37551" operator="equal">
      <formula>2</formula>
    </cfRule>
    <cfRule type="colorScale" priority="37552">
      <colorScale>
        <cfvo type="min" val="0"/>
        <cfvo type="percentile" val="50"/>
        <cfvo type="max" val="0"/>
        <color rgb="FFF8696B"/>
        <color rgb="FFFFEB84"/>
        <color rgb="FF63BE7B"/>
      </colorScale>
    </cfRule>
    <cfRule type="colorScale" priority="37553">
      <colorScale>
        <cfvo type="num" val="1"/>
        <cfvo type="num" val="2"/>
        <cfvo type="num" val="3"/>
        <color rgb="FFF8696B"/>
        <color rgb="FFFFEB84"/>
        <color rgb="FF63BE7B"/>
      </colorScale>
    </cfRule>
    <cfRule type="colorScale" priority="37554">
      <colorScale>
        <cfvo type="num" val="1"/>
        <cfvo type="num" val="2"/>
        <cfvo type="num" val="3"/>
        <color rgb="FFF8696B"/>
        <color rgb="FFFFEB84"/>
        <color rgb="FF63BE7B"/>
      </colorScale>
    </cfRule>
  </conditionalFormatting>
  <conditionalFormatting sqref="U132">
    <cfRule type="cellIs" dxfId="1731" priority="26225" operator="equal">
      <formula>5</formula>
    </cfRule>
    <cfRule type="cellIs" dxfId="1730" priority="26226" operator="equal">
      <formula>4</formula>
    </cfRule>
    <cfRule type="cellIs" dxfId="1729" priority="26227" operator="equal">
      <formula>1</formula>
    </cfRule>
    <cfRule type="cellIs" dxfId="1728" priority="26228" operator="equal">
      <formula>3</formula>
    </cfRule>
    <cfRule type="cellIs" dxfId="1727" priority="26229" operator="equal">
      <formula>2</formula>
    </cfRule>
    <cfRule type="colorScale" priority="26230">
      <colorScale>
        <cfvo type="min" val="0"/>
        <cfvo type="percentile" val="50"/>
        <cfvo type="max" val="0"/>
        <color rgb="FFF8696B"/>
        <color rgb="FFFFEB84"/>
        <color rgb="FF63BE7B"/>
      </colorScale>
    </cfRule>
    <cfRule type="colorScale" priority="26231">
      <colorScale>
        <cfvo type="num" val="1"/>
        <cfvo type="num" val="2"/>
        <cfvo type="num" val="3"/>
        <color rgb="FFF8696B"/>
        <color rgb="FFFFEB84"/>
        <color rgb="FF63BE7B"/>
      </colorScale>
    </cfRule>
    <cfRule type="colorScale" priority="26232">
      <colorScale>
        <cfvo type="num" val="1"/>
        <cfvo type="num" val="2"/>
        <cfvo type="num" val="3"/>
        <color rgb="FFF8696B"/>
        <color rgb="FFFFEB84"/>
        <color rgb="FF63BE7B"/>
      </colorScale>
    </cfRule>
  </conditionalFormatting>
  <conditionalFormatting sqref="U167">
    <cfRule type="cellIs" dxfId="1726" priority="25144" operator="equal">
      <formula>5</formula>
    </cfRule>
    <cfRule type="cellIs" dxfId="1725" priority="25145" operator="equal">
      <formula>4</formula>
    </cfRule>
    <cfRule type="cellIs" dxfId="1724" priority="25146" operator="equal">
      <formula>1</formula>
    </cfRule>
    <cfRule type="cellIs" dxfId="1723" priority="25147" operator="equal">
      <formula>3</formula>
    </cfRule>
    <cfRule type="cellIs" dxfId="1722" priority="25148" operator="equal">
      <formula>2</formula>
    </cfRule>
    <cfRule type="colorScale" priority="25149">
      <colorScale>
        <cfvo type="min" val="0"/>
        <cfvo type="percentile" val="50"/>
        <cfvo type="max" val="0"/>
        <color rgb="FFF8696B"/>
        <color rgb="FFFFEB84"/>
        <color rgb="FF63BE7B"/>
      </colorScale>
    </cfRule>
    <cfRule type="colorScale" priority="25150">
      <colorScale>
        <cfvo type="num" val="1"/>
        <cfvo type="num" val="2"/>
        <cfvo type="num" val="3"/>
        <color rgb="FFF8696B"/>
        <color rgb="FFFFEB84"/>
        <color rgb="FF63BE7B"/>
      </colorScale>
    </cfRule>
    <cfRule type="colorScale" priority="25151">
      <colorScale>
        <cfvo type="num" val="1"/>
        <cfvo type="num" val="2"/>
        <cfvo type="num" val="3"/>
        <color rgb="FFF8696B"/>
        <color rgb="FFFFEB84"/>
        <color rgb="FF63BE7B"/>
      </colorScale>
    </cfRule>
  </conditionalFormatting>
  <conditionalFormatting sqref="V440 V412 V468 V495 AC412 AC440 AC468 AC495 V387 AC387 U232 V294 V327 V355 AC232 AC294 AC327 AC355 H298 O298 V298 AC298 U268 AC268:AE268 V367 AC367 H369 O369 V369 AC369 W389 AD389 X391 AE391 V5 V91 V122 V155 V194 AC5 AC91 AC122 AC155 AC194">
    <cfRule type="colorScale" priority="14765">
      <colorScale>
        <cfvo type="num" val="1"/>
        <cfvo type="num" val="2"/>
        <cfvo type="num" val="3"/>
        <color rgb="FFF8696B"/>
        <color rgb="FFFFEB84"/>
        <color rgb="FF63BE7B"/>
      </colorScale>
    </cfRule>
    <cfRule type="colorScale" priority="14773">
      <colorScale>
        <cfvo type="num" val="1"/>
        <cfvo type="num" val="2"/>
        <cfvo type="num" val="3"/>
        <color rgb="FFF8696B"/>
        <color rgb="FFFFEB84"/>
        <color rgb="FF63BE7B"/>
      </colorScale>
    </cfRule>
    <cfRule type="colorScale" priority="14775">
      <colorScale>
        <cfvo type="num" val="1"/>
        <cfvo type="num" val="2"/>
        <cfvo type="num" val="3"/>
        <color rgb="FFF8696B"/>
        <color rgb="FFFFEB84"/>
        <color rgb="FF63BE7B"/>
      </colorScale>
    </cfRule>
    <cfRule type="colorScale" priority="14779">
      <colorScale>
        <cfvo type="num" val="1"/>
        <cfvo type="num" val="2"/>
        <cfvo type="num" val="3"/>
        <color rgb="FFF8696B"/>
        <color rgb="FFFFEB84"/>
        <color rgb="FF63BE7B"/>
      </colorScale>
    </cfRule>
    <cfRule type="colorScale" priority="14780">
      <colorScale>
        <cfvo type="num" val="1"/>
        <cfvo type="num" val="2"/>
        <cfvo type="num" val="3"/>
        <color rgb="FFF8696B"/>
        <color rgb="FFFFEB84"/>
        <color rgb="FF63BE7B"/>
      </colorScale>
    </cfRule>
    <cfRule type="colorScale" priority="14784">
      <colorScale>
        <cfvo type="num" val="1"/>
        <cfvo type="num" val="2"/>
        <cfvo type="num" val="3"/>
        <color rgb="FFF8696B"/>
        <color rgb="FFFFEB84"/>
        <color rgb="FF63BE7B"/>
      </colorScale>
    </cfRule>
    <cfRule type="colorScale" priority="14792">
      <colorScale>
        <cfvo type="num" val="1"/>
        <cfvo type="num" val="2"/>
        <cfvo type="num" val="3"/>
        <color rgb="FFF8696B"/>
        <color rgb="FFFFEB84"/>
        <color rgb="FF63BE7B"/>
      </colorScale>
    </cfRule>
    <cfRule type="colorScale" priority="14794">
      <colorScale>
        <cfvo type="num" val="1"/>
        <cfvo type="num" val="2"/>
        <cfvo type="num" val="3"/>
        <color rgb="FFF8696B"/>
        <color rgb="FFFFEB84"/>
        <color rgb="FF63BE7B"/>
      </colorScale>
    </cfRule>
    <cfRule type="colorScale" priority="14796">
      <colorScale>
        <cfvo type="num" val="1"/>
        <cfvo type="num" val="2"/>
        <cfvo type="num" val="3"/>
        <color rgb="FFF8696B"/>
        <color rgb="FFFFEB84"/>
        <color rgb="FF63BE7B"/>
      </colorScale>
    </cfRule>
    <cfRule type="colorScale" priority="14797">
      <colorScale>
        <cfvo type="num" val="1"/>
        <cfvo type="num" val="2"/>
        <cfvo type="num" val="3"/>
        <color rgb="FFF8696B"/>
        <color rgb="FFFFEB84"/>
        <color rgb="FF63BE7B"/>
      </colorScale>
    </cfRule>
    <cfRule type="colorScale" priority="14809">
      <colorScale>
        <cfvo type="num" val="1"/>
        <cfvo type="num" val="2"/>
        <cfvo type="num" val="3"/>
        <color rgb="FFF8696B"/>
        <color rgb="FFFFEB84"/>
        <color rgb="FF63BE7B"/>
      </colorScale>
    </cfRule>
    <cfRule type="colorScale" priority="14821">
      <colorScale>
        <cfvo type="num" val="1"/>
        <cfvo type="num" val="2"/>
        <cfvo type="num" val="3"/>
        <color rgb="FFF8696B"/>
        <color rgb="FFFFEB84"/>
        <color rgb="FF63BE7B"/>
      </colorScale>
    </cfRule>
    <cfRule type="colorScale" priority="14914">
      <colorScale>
        <cfvo type="num" val="1"/>
        <cfvo type="num" val="2"/>
        <cfvo type="num" val="3"/>
        <color rgb="FFF8696B"/>
        <color rgb="FFFFEB84"/>
        <color rgb="FF63BE7B"/>
      </colorScale>
    </cfRule>
    <cfRule type="colorScale" priority="14922">
      <colorScale>
        <cfvo type="num" val="1"/>
        <cfvo type="num" val="2"/>
        <cfvo type="num" val="3"/>
        <color rgb="FFF8696B"/>
        <color rgb="FFFFEB84"/>
        <color rgb="FF63BE7B"/>
      </colorScale>
    </cfRule>
    <cfRule type="colorScale" priority="14924">
      <colorScale>
        <cfvo type="num" val="1"/>
        <cfvo type="num" val="2"/>
        <cfvo type="num" val="3"/>
        <color rgb="FFF8696B"/>
        <color rgb="FFFFEB84"/>
        <color rgb="FF63BE7B"/>
      </colorScale>
    </cfRule>
    <cfRule type="colorScale" priority="14928">
      <colorScale>
        <cfvo type="num" val="1"/>
        <cfvo type="num" val="2"/>
        <cfvo type="num" val="3"/>
        <color rgb="FFF8696B"/>
        <color rgb="FFFFEB84"/>
        <color rgb="FF63BE7B"/>
      </colorScale>
    </cfRule>
    <cfRule type="colorScale" priority="14929">
      <colorScale>
        <cfvo type="num" val="1"/>
        <cfvo type="num" val="2"/>
        <cfvo type="num" val="3"/>
        <color rgb="FFF8696B"/>
        <color rgb="FFFFEB84"/>
        <color rgb="FF63BE7B"/>
      </colorScale>
    </cfRule>
    <cfRule type="colorScale" priority="14969">
      <colorScale>
        <cfvo type="num" val="1"/>
        <cfvo type="num" val="2"/>
        <cfvo type="num" val="3"/>
        <color rgb="FFF8696B"/>
        <color rgb="FFFFEB84"/>
        <color rgb="FF63BE7B"/>
      </colorScale>
    </cfRule>
    <cfRule type="colorScale" priority="14977">
      <colorScale>
        <cfvo type="num" val="1"/>
        <cfvo type="num" val="2"/>
        <cfvo type="num" val="3"/>
        <color rgb="FFF8696B"/>
        <color rgb="FFFFEB84"/>
        <color rgb="FF63BE7B"/>
      </colorScale>
    </cfRule>
    <cfRule type="colorScale" priority="14979">
      <colorScale>
        <cfvo type="num" val="1"/>
        <cfvo type="num" val="2"/>
        <cfvo type="num" val="3"/>
        <color rgb="FFF8696B"/>
        <color rgb="FFFFEB84"/>
        <color rgb="FF63BE7B"/>
      </colorScale>
    </cfRule>
    <cfRule type="colorScale" priority="14981">
      <colorScale>
        <cfvo type="num" val="1"/>
        <cfvo type="num" val="2"/>
        <cfvo type="num" val="3"/>
        <color rgb="FFF8696B"/>
        <color rgb="FFFFEB84"/>
        <color rgb="FF63BE7B"/>
      </colorScale>
    </cfRule>
    <cfRule type="colorScale" priority="14982">
      <colorScale>
        <cfvo type="num" val="1"/>
        <cfvo type="num" val="2"/>
        <cfvo type="num" val="3"/>
        <color rgb="FFF8696B"/>
        <color rgb="FFFFEB84"/>
        <color rgb="FF63BE7B"/>
      </colorScale>
    </cfRule>
    <cfRule type="colorScale" priority="15011">
      <colorScale>
        <cfvo type="num" val="1"/>
        <cfvo type="num" val="2"/>
        <cfvo type="num" val="3"/>
        <color rgb="FFF8696B"/>
        <color rgb="FFFFEB84"/>
        <color rgb="FF63BE7B"/>
      </colorScale>
    </cfRule>
    <cfRule type="colorScale" priority="15025">
      <colorScale>
        <cfvo type="num" val="1"/>
        <cfvo type="num" val="2"/>
        <cfvo type="num" val="3"/>
        <color rgb="FFF8696B"/>
        <color rgb="FFFFEB84"/>
        <color rgb="FF63BE7B"/>
      </colorScale>
    </cfRule>
    <cfRule type="colorScale" priority="15052">
      <colorScale>
        <cfvo type="num" val="1"/>
        <cfvo type="num" val="2"/>
        <cfvo type="num" val="3"/>
        <color rgb="FFF8696B"/>
        <color rgb="FFFFEB84"/>
        <color rgb="FF63BE7B"/>
      </colorScale>
    </cfRule>
    <cfRule type="colorScale" priority="15098">
      <colorScale>
        <cfvo type="num" val="1"/>
        <cfvo type="num" val="2"/>
        <cfvo type="num" val="3"/>
        <color rgb="FFF8696B"/>
        <color rgb="FFFFEB84"/>
        <color rgb="FF63BE7B"/>
      </colorScale>
    </cfRule>
    <cfRule type="colorScale" priority="15110">
      <colorScale>
        <cfvo type="num" val="1"/>
        <cfvo type="num" val="2"/>
        <cfvo type="num" val="3"/>
        <color rgb="FFF8696B"/>
        <color rgb="FFFFEB84"/>
        <color rgb="FF63BE7B"/>
      </colorScale>
    </cfRule>
  </conditionalFormatting>
  <conditionalFormatting sqref="U224">
    <cfRule type="cellIs" dxfId="1721" priority="16001" operator="equal">
      <formula>5</formula>
    </cfRule>
    <cfRule type="cellIs" dxfId="1720" priority="16002" operator="equal">
      <formula>4</formula>
    </cfRule>
    <cfRule type="cellIs" dxfId="1719" priority="16003" operator="equal">
      <formula>1</formula>
    </cfRule>
    <cfRule type="cellIs" dxfId="1718" priority="16004" operator="equal">
      <formula>3</formula>
    </cfRule>
    <cfRule type="cellIs" dxfId="1717" priority="16005" operator="equal">
      <formula>2</formula>
    </cfRule>
    <cfRule type="colorScale" priority="16006">
      <colorScale>
        <cfvo type="min" val="0"/>
        <cfvo type="percentile" val="50"/>
        <cfvo type="max" val="0"/>
        <color rgb="FFF8696B"/>
        <color rgb="FFFFEB84"/>
        <color rgb="FF63BE7B"/>
      </colorScale>
    </cfRule>
    <cfRule type="colorScale" priority="16007">
      <colorScale>
        <cfvo type="num" val="1"/>
        <cfvo type="num" val="2"/>
        <cfvo type="num" val="3"/>
        <color rgb="FFF8696B"/>
        <color rgb="FFFFEB84"/>
        <color rgb="FF63BE7B"/>
      </colorScale>
    </cfRule>
    <cfRule type="colorScale" priority="16008">
      <colorScale>
        <cfvo type="num" val="1"/>
        <cfvo type="num" val="2"/>
        <cfvo type="num" val="3"/>
        <color rgb="FFF8696B"/>
        <color rgb="FFFFEB84"/>
        <color rgb="FF63BE7B"/>
      </colorScale>
    </cfRule>
    <cfRule type="colorScale" priority="16009">
      <colorScale>
        <cfvo type="num" val="1"/>
        <cfvo type="num" val="2"/>
        <cfvo type="num" val="3"/>
        <color rgb="FFF8696B"/>
        <color rgb="FFFFEB84"/>
        <color rgb="FF63BE7B"/>
      </colorScale>
    </cfRule>
    <cfRule type="colorScale" priority="16010">
      <colorScale>
        <cfvo type="num" val="1"/>
        <cfvo type="num" val="2"/>
        <cfvo type="num" val="3"/>
        <color rgb="FFF8696B"/>
        <color rgb="FFFFEB84"/>
        <color rgb="FF63BE7B"/>
      </colorScale>
    </cfRule>
    <cfRule type="colorScale" priority="16011">
      <colorScale>
        <cfvo type="num" val="1"/>
        <cfvo type="num" val="2"/>
        <cfvo type="num" val="3"/>
        <color rgb="FFF8696B"/>
        <color rgb="FFFFEB84"/>
        <color rgb="FF63BE7B"/>
      </colorScale>
    </cfRule>
    <cfRule type="colorScale" priority="16012">
      <colorScale>
        <cfvo type="num" val="1"/>
        <cfvo type="num" val="2"/>
        <cfvo type="num" val="3"/>
        <color rgb="FFF8696B"/>
        <color rgb="FFFFEB84"/>
        <color rgb="FF63BE7B"/>
      </colorScale>
    </cfRule>
  </conditionalFormatting>
  <conditionalFormatting sqref="U226">
    <cfRule type="cellIs" dxfId="1716" priority="16207" operator="equal">
      <formula>5</formula>
    </cfRule>
    <cfRule type="cellIs" dxfId="1715" priority="16208" operator="equal">
      <formula>4</formula>
    </cfRule>
    <cfRule type="cellIs" dxfId="1714" priority="16209" operator="equal">
      <formula>1</formula>
    </cfRule>
    <cfRule type="cellIs" dxfId="1713" priority="16210" operator="equal">
      <formula>3</formula>
    </cfRule>
    <cfRule type="cellIs" dxfId="1712" priority="16211" operator="equal">
      <formula>2</formula>
    </cfRule>
    <cfRule type="colorScale" priority="16212">
      <colorScale>
        <cfvo type="min" val="0"/>
        <cfvo type="percentile" val="50"/>
        <cfvo type="max" val="0"/>
        <color rgb="FFF8696B"/>
        <color rgb="FFFFEB84"/>
        <color rgb="FF63BE7B"/>
      </colorScale>
    </cfRule>
    <cfRule type="colorScale" priority="16213">
      <colorScale>
        <cfvo type="num" val="1"/>
        <cfvo type="num" val="2"/>
        <cfvo type="num" val="3"/>
        <color rgb="FFF8696B"/>
        <color rgb="FFFFEB84"/>
        <color rgb="FF63BE7B"/>
      </colorScale>
    </cfRule>
    <cfRule type="colorScale" priority="16214">
      <colorScale>
        <cfvo type="num" val="1"/>
        <cfvo type="num" val="2"/>
        <cfvo type="num" val="3"/>
        <color rgb="FFF8696B"/>
        <color rgb="FFFFEB84"/>
        <color rgb="FF63BE7B"/>
      </colorScale>
    </cfRule>
  </conditionalFormatting>
  <conditionalFormatting sqref="U304">
    <cfRule type="cellIs" dxfId="1711" priority="20169" operator="equal">
      <formula>5</formula>
    </cfRule>
    <cfRule type="cellIs" dxfId="1710" priority="20170" operator="equal">
      <formula>4</formula>
    </cfRule>
    <cfRule type="cellIs" dxfId="1709" priority="20171" operator="equal">
      <formula>1</formula>
    </cfRule>
    <cfRule type="cellIs" dxfId="1708" priority="20172" operator="equal">
      <formula>3</formula>
    </cfRule>
    <cfRule type="cellIs" dxfId="1707" priority="20173" operator="equal">
      <formula>2</formula>
    </cfRule>
    <cfRule type="colorScale" priority="20174">
      <colorScale>
        <cfvo type="min" val="0"/>
        <cfvo type="percentile" val="50"/>
        <cfvo type="max" val="0"/>
        <color rgb="FFF8696B"/>
        <color rgb="FFFFEB84"/>
        <color rgb="FF63BE7B"/>
      </colorScale>
    </cfRule>
    <cfRule type="colorScale" priority="20175">
      <colorScale>
        <cfvo type="num" val="1"/>
        <cfvo type="num" val="2"/>
        <cfvo type="num" val="3"/>
        <color rgb="FFF8696B"/>
        <color rgb="FFFFEB84"/>
        <color rgb="FF63BE7B"/>
      </colorScale>
    </cfRule>
    <cfRule type="colorScale" priority="20176">
      <colorScale>
        <cfvo type="num" val="1"/>
        <cfvo type="num" val="2"/>
        <cfvo type="num" val="3"/>
        <color rgb="FFF8696B"/>
        <color rgb="FFFFEB84"/>
        <color rgb="FF63BE7B"/>
      </colorScale>
    </cfRule>
  </conditionalFormatting>
  <conditionalFormatting sqref="U310">
    <cfRule type="cellIs" dxfId="1706" priority="20177" operator="equal">
      <formula>5</formula>
    </cfRule>
    <cfRule type="cellIs" dxfId="1705" priority="20178" operator="equal">
      <formula>4</formula>
    </cfRule>
    <cfRule type="cellIs" dxfId="1704" priority="20179" operator="equal">
      <formula>1</formula>
    </cfRule>
    <cfRule type="cellIs" dxfId="1703" priority="20180" operator="equal">
      <formula>3</formula>
    </cfRule>
    <cfRule type="cellIs" dxfId="1702" priority="20181" operator="equal">
      <formula>2</formula>
    </cfRule>
    <cfRule type="colorScale" priority="20182">
      <colorScale>
        <cfvo type="min" val="0"/>
        <cfvo type="percentile" val="50"/>
        <cfvo type="max" val="0"/>
        <color rgb="FFF8696B"/>
        <color rgb="FFFFEB84"/>
        <color rgb="FF63BE7B"/>
      </colorScale>
    </cfRule>
    <cfRule type="colorScale" priority="20183">
      <colorScale>
        <cfvo type="num" val="1"/>
        <cfvo type="num" val="2"/>
        <cfvo type="num" val="3"/>
        <color rgb="FFF8696B"/>
        <color rgb="FFFFEB84"/>
        <color rgb="FF63BE7B"/>
      </colorScale>
    </cfRule>
    <cfRule type="colorScale" priority="20184">
      <colorScale>
        <cfvo type="num" val="1"/>
        <cfvo type="num" val="2"/>
        <cfvo type="num" val="3"/>
        <color rgb="FFF8696B"/>
        <color rgb="FFFFEB84"/>
        <color rgb="FF63BE7B"/>
      </colorScale>
    </cfRule>
    <cfRule type="colorScale" priority="20185">
      <colorScale>
        <cfvo type="num" val="1"/>
        <cfvo type="num" val="2"/>
        <cfvo type="num" val="3"/>
        <color rgb="FFF8696B"/>
        <color rgb="FFFFEB84"/>
        <color rgb="FF63BE7B"/>
      </colorScale>
    </cfRule>
    <cfRule type="colorScale" priority="20186">
      <colorScale>
        <cfvo type="num" val="1"/>
        <cfvo type="num" val="2"/>
        <cfvo type="num" val="3"/>
        <color rgb="FFF8696B"/>
        <color rgb="FFFFEB84"/>
        <color rgb="FF63BE7B"/>
      </colorScale>
    </cfRule>
    <cfRule type="colorScale" priority="20187">
      <colorScale>
        <cfvo type="num" val="1"/>
        <cfvo type="num" val="2"/>
        <cfvo type="num" val="3"/>
        <color rgb="FFF8696B"/>
        <color rgb="FFFFEB84"/>
        <color rgb="FF63BE7B"/>
      </colorScale>
    </cfRule>
    <cfRule type="colorScale" priority="20188">
      <colorScale>
        <cfvo type="num" val="1"/>
        <cfvo type="num" val="2"/>
        <cfvo type="num" val="3"/>
        <color rgb="FFF8696B"/>
        <color rgb="FFFFEB84"/>
        <color rgb="FF63BE7B"/>
      </colorScale>
    </cfRule>
  </conditionalFormatting>
  <conditionalFormatting sqref="U331">
    <cfRule type="cellIs" dxfId="1701" priority="21336" operator="equal">
      <formula>5</formula>
    </cfRule>
    <cfRule type="cellIs" dxfId="1700" priority="21337" operator="equal">
      <formula>4</formula>
    </cfRule>
    <cfRule type="cellIs" dxfId="1699" priority="21338" operator="equal">
      <formula>1</formula>
    </cfRule>
    <cfRule type="cellIs" dxfId="1698" priority="21339" operator="equal">
      <formula>3</formula>
    </cfRule>
    <cfRule type="cellIs" dxfId="1697" priority="21340" operator="equal">
      <formula>2</formula>
    </cfRule>
    <cfRule type="colorScale" priority="21341">
      <colorScale>
        <cfvo type="min" val="0"/>
        <cfvo type="percentile" val="50"/>
        <cfvo type="max" val="0"/>
        <color rgb="FFF8696B"/>
        <color rgb="FFFFEB84"/>
        <color rgb="FF63BE7B"/>
      </colorScale>
    </cfRule>
    <cfRule type="colorScale" priority="21342">
      <colorScale>
        <cfvo type="num" val="1"/>
        <cfvo type="num" val="2"/>
        <cfvo type="num" val="3"/>
        <color rgb="FFF8696B"/>
        <color rgb="FFFFEB84"/>
        <color rgb="FF63BE7B"/>
      </colorScale>
    </cfRule>
    <cfRule type="colorScale" priority="21343">
      <colorScale>
        <cfvo type="num" val="1"/>
        <cfvo type="num" val="2"/>
        <cfvo type="num" val="3"/>
        <color rgb="FFF8696B"/>
        <color rgb="FFFFEB84"/>
        <color rgb="FF63BE7B"/>
      </colorScale>
    </cfRule>
  </conditionalFormatting>
  <conditionalFormatting sqref="U337">
    <cfRule type="cellIs" dxfId="1696" priority="21344" operator="equal">
      <formula>5</formula>
    </cfRule>
    <cfRule type="cellIs" dxfId="1695" priority="21345" operator="equal">
      <formula>4</formula>
    </cfRule>
    <cfRule type="cellIs" dxfId="1694" priority="21346" operator="equal">
      <formula>1</formula>
    </cfRule>
    <cfRule type="cellIs" dxfId="1693" priority="21347" operator="equal">
      <formula>3</formula>
    </cfRule>
    <cfRule type="cellIs" dxfId="1692" priority="21348" operator="equal">
      <formula>2</formula>
    </cfRule>
    <cfRule type="colorScale" priority="21349">
      <colorScale>
        <cfvo type="min" val="0"/>
        <cfvo type="percentile" val="50"/>
        <cfvo type="max" val="0"/>
        <color rgb="FFF8696B"/>
        <color rgb="FFFFEB84"/>
        <color rgb="FF63BE7B"/>
      </colorScale>
    </cfRule>
    <cfRule type="colorScale" priority="21350">
      <colorScale>
        <cfvo type="num" val="1"/>
        <cfvo type="num" val="2"/>
        <cfvo type="num" val="3"/>
        <color rgb="FFF8696B"/>
        <color rgb="FFFFEB84"/>
        <color rgb="FF63BE7B"/>
      </colorScale>
    </cfRule>
    <cfRule type="colorScale" priority="21351">
      <colorScale>
        <cfvo type="num" val="1"/>
        <cfvo type="num" val="2"/>
        <cfvo type="num" val="3"/>
        <color rgb="FFF8696B"/>
        <color rgb="FFFFEB84"/>
        <color rgb="FF63BE7B"/>
      </colorScale>
    </cfRule>
    <cfRule type="colorScale" priority="21352">
      <colorScale>
        <cfvo type="num" val="1"/>
        <cfvo type="num" val="2"/>
        <cfvo type="num" val="3"/>
        <color rgb="FFF8696B"/>
        <color rgb="FFFFEB84"/>
        <color rgb="FF63BE7B"/>
      </colorScale>
    </cfRule>
    <cfRule type="colorScale" priority="21353">
      <colorScale>
        <cfvo type="num" val="1"/>
        <cfvo type="num" val="2"/>
        <cfvo type="num" val="3"/>
        <color rgb="FFF8696B"/>
        <color rgb="FFFFEB84"/>
        <color rgb="FF63BE7B"/>
      </colorScale>
    </cfRule>
    <cfRule type="colorScale" priority="21354">
      <colorScale>
        <cfvo type="num" val="1"/>
        <cfvo type="num" val="2"/>
        <cfvo type="num" val="3"/>
        <color rgb="FFF8696B"/>
        <color rgb="FFFFEB84"/>
        <color rgb="FF63BE7B"/>
      </colorScale>
    </cfRule>
    <cfRule type="colorScale" priority="21355">
      <colorScale>
        <cfvo type="num" val="1"/>
        <cfvo type="num" val="2"/>
        <cfvo type="num" val="3"/>
        <color rgb="FFF8696B"/>
        <color rgb="FFFFEB84"/>
        <color rgb="FF63BE7B"/>
      </colorScale>
    </cfRule>
  </conditionalFormatting>
  <conditionalFormatting sqref="U359">
    <cfRule type="cellIs" dxfId="1691" priority="18283" operator="equal">
      <formula>5</formula>
    </cfRule>
    <cfRule type="cellIs" dxfId="1690" priority="18284" operator="equal">
      <formula>4</formula>
    </cfRule>
    <cfRule type="cellIs" dxfId="1689" priority="18285" operator="equal">
      <formula>1</formula>
    </cfRule>
    <cfRule type="cellIs" dxfId="1688" priority="18286" operator="equal">
      <formula>3</formula>
    </cfRule>
    <cfRule type="cellIs" dxfId="1687" priority="18287" operator="equal">
      <formula>2</formula>
    </cfRule>
    <cfRule type="colorScale" priority="18288">
      <colorScale>
        <cfvo type="min" val="0"/>
        <cfvo type="percentile" val="50"/>
        <cfvo type="max" val="0"/>
        <color rgb="FFF8696B"/>
        <color rgb="FFFFEB84"/>
        <color rgb="FF63BE7B"/>
      </colorScale>
    </cfRule>
    <cfRule type="colorScale" priority="18289">
      <colorScale>
        <cfvo type="num" val="1"/>
        <cfvo type="num" val="2"/>
        <cfvo type="num" val="3"/>
        <color rgb="FFF8696B"/>
        <color rgb="FFFFEB84"/>
        <color rgb="FF63BE7B"/>
      </colorScale>
    </cfRule>
    <cfRule type="colorScale" priority="18290">
      <colorScale>
        <cfvo type="num" val="1"/>
        <cfvo type="num" val="2"/>
        <cfvo type="num" val="3"/>
        <color rgb="FFF8696B"/>
        <color rgb="FFFFEB84"/>
        <color rgb="FF63BE7B"/>
      </colorScale>
    </cfRule>
  </conditionalFormatting>
  <conditionalFormatting sqref="U391">
    <cfRule type="cellIs" dxfId="1686" priority="11662" operator="equal">
      <formula>5</formula>
    </cfRule>
    <cfRule type="cellIs" dxfId="1685" priority="11663" operator="equal">
      <formula>4</formula>
    </cfRule>
    <cfRule type="cellIs" dxfId="1684" priority="11664" operator="equal">
      <formula>1</formula>
    </cfRule>
    <cfRule type="cellIs" dxfId="1683" priority="11665" operator="equal">
      <formula>3</formula>
    </cfRule>
    <cfRule type="cellIs" dxfId="1682" priority="11666" operator="equal">
      <formula>2</formula>
    </cfRule>
    <cfRule type="colorScale" priority="11667">
      <colorScale>
        <cfvo type="min" val="0"/>
        <cfvo type="percentile" val="50"/>
        <cfvo type="max" val="0"/>
        <color rgb="FFF8696B"/>
        <color rgb="FFFFEB84"/>
        <color rgb="FF63BE7B"/>
      </colorScale>
    </cfRule>
    <cfRule type="colorScale" priority="11668">
      <colorScale>
        <cfvo type="num" val="1"/>
        <cfvo type="num" val="2"/>
        <cfvo type="num" val="3"/>
        <color rgb="FFF8696B"/>
        <color rgb="FFFFEB84"/>
        <color rgb="FF63BE7B"/>
      </colorScale>
    </cfRule>
    <cfRule type="colorScale" priority="11669">
      <colorScale>
        <cfvo type="num" val="1"/>
        <cfvo type="num" val="2"/>
        <cfvo type="num" val="3"/>
        <color rgb="FFF8696B"/>
        <color rgb="FFFFEB84"/>
        <color rgb="FF63BE7B"/>
      </colorScale>
    </cfRule>
  </conditionalFormatting>
  <conditionalFormatting sqref="U416">
    <cfRule type="cellIs" dxfId="1681" priority="10525" operator="equal">
      <formula>5</formula>
    </cfRule>
    <cfRule type="cellIs" dxfId="1680" priority="10526" operator="equal">
      <formula>4</formula>
    </cfRule>
    <cfRule type="cellIs" dxfId="1679" priority="10527" operator="equal">
      <formula>1</formula>
    </cfRule>
    <cfRule type="cellIs" dxfId="1678" priority="10528" operator="equal">
      <formula>3</formula>
    </cfRule>
    <cfRule type="cellIs" dxfId="1677" priority="10529" operator="equal">
      <formula>2</formula>
    </cfRule>
    <cfRule type="colorScale" priority="10530">
      <colorScale>
        <cfvo type="min" val="0"/>
        <cfvo type="percentile" val="50"/>
        <cfvo type="max" val="0"/>
        <color rgb="FFF8696B"/>
        <color rgb="FFFFEB84"/>
        <color rgb="FF63BE7B"/>
      </colorScale>
    </cfRule>
    <cfRule type="colorScale" priority="10531">
      <colorScale>
        <cfvo type="num" val="1"/>
        <cfvo type="num" val="2"/>
        <cfvo type="num" val="3"/>
        <color rgb="FFF8696B"/>
        <color rgb="FFFFEB84"/>
        <color rgb="FF63BE7B"/>
      </colorScale>
    </cfRule>
    <cfRule type="colorScale" priority="10532">
      <colorScale>
        <cfvo type="num" val="1"/>
        <cfvo type="num" val="2"/>
        <cfvo type="num" val="3"/>
        <color rgb="FFF8696B"/>
        <color rgb="FFFFEB84"/>
        <color rgb="FF63BE7B"/>
      </colorScale>
    </cfRule>
  </conditionalFormatting>
  <conditionalFormatting sqref="U444">
    <cfRule type="cellIs" dxfId="1676" priority="9399" operator="equal">
      <formula>5</formula>
    </cfRule>
    <cfRule type="cellIs" dxfId="1675" priority="9400" operator="equal">
      <formula>4</formula>
    </cfRule>
    <cfRule type="cellIs" dxfId="1674" priority="9401" operator="equal">
      <formula>1</formula>
    </cfRule>
    <cfRule type="cellIs" dxfId="1673" priority="9402" operator="equal">
      <formula>3</formula>
    </cfRule>
    <cfRule type="cellIs" dxfId="1672" priority="9403" operator="equal">
      <formula>2</formula>
    </cfRule>
    <cfRule type="colorScale" priority="9404">
      <colorScale>
        <cfvo type="min" val="0"/>
        <cfvo type="percentile" val="50"/>
        <cfvo type="max" val="0"/>
        <color rgb="FFF8696B"/>
        <color rgb="FFFFEB84"/>
        <color rgb="FF63BE7B"/>
      </colorScale>
    </cfRule>
    <cfRule type="colorScale" priority="9405">
      <colorScale>
        <cfvo type="num" val="1"/>
        <cfvo type="num" val="2"/>
        <cfvo type="num" val="3"/>
        <color rgb="FFF8696B"/>
        <color rgb="FFFFEB84"/>
        <color rgb="FF63BE7B"/>
      </colorScale>
    </cfRule>
    <cfRule type="colorScale" priority="9406">
      <colorScale>
        <cfvo type="num" val="1"/>
        <cfvo type="num" val="2"/>
        <cfvo type="num" val="3"/>
        <color rgb="FFF8696B"/>
        <color rgb="FFFFEB84"/>
        <color rgb="FF63BE7B"/>
      </colorScale>
    </cfRule>
  </conditionalFormatting>
  <conditionalFormatting sqref="U450">
    <cfRule type="cellIs" dxfId="1671" priority="9407" operator="equal">
      <formula>5</formula>
    </cfRule>
    <cfRule type="cellIs" dxfId="1670" priority="9408" operator="equal">
      <formula>4</formula>
    </cfRule>
    <cfRule type="cellIs" dxfId="1669" priority="9409" operator="equal">
      <formula>1</formula>
    </cfRule>
    <cfRule type="cellIs" dxfId="1668" priority="9410" operator="equal">
      <formula>3</formula>
    </cfRule>
    <cfRule type="cellIs" dxfId="1667" priority="9411" operator="equal">
      <formula>2</formula>
    </cfRule>
    <cfRule type="colorScale" priority="9412">
      <colorScale>
        <cfvo type="min" val="0"/>
        <cfvo type="percentile" val="50"/>
        <cfvo type="max" val="0"/>
        <color rgb="FFF8696B"/>
        <color rgb="FFFFEB84"/>
        <color rgb="FF63BE7B"/>
      </colorScale>
    </cfRule>
    <cfRule type="colorScale" priority="9413">
      <colorScale>
        <cfvo type="num" val="1"/>
        <cfvo type="num" val="2"/>
        <cfvo type="num" val="3"/>
        <color rgb="FFF8696B"/>
        <color rgb="FFFFEB84"/>
        <color rgb="FF63BE7B"/>
      </colorScale>
    </cfRule>
    <cfRule type="colorScale" priority="9414">
      <colorScale>
        <cfvo type="num" val="1"/>
        <cfvo type="num" val="2"/>
        <cfvo type="num" val="3"/>
        <color rgb="FFF8696B"/>
        <color rgb="FFFFEB84"/>
        <color rgb="FF63BE7B"/>
      </colorScale>
    </cfRule>
    <cfRule type="colorScale" priority="9415">
      <colorScale>
        <cfvo type="num" val="1"/>
        <cfvo type="num" val="2"/>
        <cfvo type="num" val="3"/>
        <color rgb="FFF8696B"/>
        <color rgb="FFFFEB84"/>
        <color rgb="FF63BE7B"/>
      </colorScale>
    </cfRule>
    <cfRule type="colorScale" priority="9416">
      <colorScale>
        <cfvo type="num" val="1"/>
        <cfvo type="num" val="2"/>
        <cfvo type="num" val="3"/>
        <color rgb="FFF8696B"/>
        <color rgb="FFFFEB84"/>
        <color rgb="FF63BE7B"/>
      </colorScale>
    </cfRule>
    <cfRule type="colorScale" priority="9417">
      <colorScale>
        <cfvo type="num" val="1"/>
        <cfvo type="num" val="2"/>
        <cfvo type="num" val="3"/>
        <color rgb="FFF8696B"/>
        <color rgb="FFFFEB84"/>
        <color rgb="FF63BE7B"/>
      </colorScale>
    </cfRule>
    <cfRule type="colorScale" priority="9418">
      <colorScale>
        <cfvo type="num" val="1"/>
        <cfvo type="num" val="2"/>
        <cfvo type="num" val="3"/>
        <color rgb="FFF8696B"/>
        <color rgb="FFFFEB84"/>
        <color rgb="FF63BE7B"/>
      </colorScale>
    </cfRule>
  </conditionalFormatting>
  <conditionalFormatting sqref="U472">
    <cfRule type="cellIs" dxfId="1666" priority="8262" operator="equal">
      <formula>5</formula>
    </cfRule>
    <cfRule type="cellIs" dxfId="1665" priority="8263" operator="equal">
      <formula>4</formula>
    </cfRule>
    <cfRule type="cellIs" dxfId="1664" priority="8264" operator="equal">
      <formula>1</formula>
    </cfRule>
    <cfRule type="cellIs" dxfId="1663" priority="8265" operator="equal">
      <formula>3</formula>
    </cfRule>
    <cfRule type="cellIs" dxfId="1662" priority="8266" operator="equal">
      <formula>2</formula>
    </cfRule>
    <cfRule type="colorScale" priority="8267">
      <colorScale>
        <cfvo type="min" val="0"/>
        <cfvo type="percentile" val="50"/>
        <cfvo type="max" val="0"/>
        <color rgb="FFF8696B"/>
        <color rgb="FFFFEB84"/>
        <color rgb="FF63BE7B"/>
      </colorScale>
    </cfRule>
    <cfRule type="colorScale" priority="8268">
      <colorScale>
        <cfvo type="num" val="1"/>
        <cfvo type="num" val="2"/>
        <cfvo type="num" val="3"/>
        <color rgb="FFF8696B"/>
        <color rgb="FFFFEB84"/>
        <color rgb="FF63BE7B"/>
      </colorScale>
    </cfRule>
    <cfRule type="colorScale" priority="8269">
      <colorScale>
        <cfvo type="num" val="1"/>
        <cfvo type="num" val="2"/>
        <cfvo type="num" val="3"/>
        <color rgb="FFF8696B"/>
        <color rgb="FFFFEB84"/>
        <color rgb="FF63BE7B"/>
      </colorScale>
    </cfRule>
  </conditionalFormatting>
  <conditionalFormatting sqref="U499">
    <cfRule type="cellIs" dxfId="1661" priority="7147" operator="equal">
      <formula>5</formula>
    </cfRule>
    <cfRule type="cellIs" dxfId="1660" priority="7148" operator="equal">
      <formula>4</formula>
    </cfRule>
    <cfRule type="cellIs" dxfId="1659" priority="7149" operator="equal">
      <formula>1</formula>
    </cfRule>
    <cfRule type="cellIs" dxfId="1658" priority="7150" operator="equal">
      <formula>3</formula>
    </cfRule>
    <cfRule type="cellIs" dxfId="1657" priority="7151" operator="equal">
      <formula>2</formula>
    </cfRule>
    <cfRule type="colorScale" priority="7152">
      <colorScale>
        <cfvo type="min" val="0"/>
        <cfvo type="percentile" val="50"/>
        <cfvo type="max" val="0"/>
        <color rgb="FFF8696B"/>
        <color rgb="FFFFEB84"/>
        <color rgb="FF63BE7B"/>
      </colorScale>
    </cfRule>
    <cfRule type="colorScale" priority="7153">
      <colorScale>
        <cfvo type="num" val="1"/>
        <cfvo type="num" val="2"/>
        <cfvo type="num" val="3"/>
        <color rgb="FFF8696B"/>
        <color rgb="FFFFEB84"/>
        <color rgb="FF63BE7B"/>
      </colorScale>
    </cfRule>
    <cfRule type="colorScale" priority="7154">
      <colorScale>
        <cfvo type="num" val="1"/>
        <cfvo type="num" val="2"/>
        <cfvo type="num" val="3"/>
        <color rgb="FFF8696B"/>
        <color rgb="FFFFEB84"/>
        <color rgb="FF63BE7B"/>
      </colorScale>
    </cfRule>
  </conditionalFormatting>
  <conditionalFormatting sqref="V68">
    <cfRule type="cellIs" dxfId="1656" priority="35100" operator="equal">
      <formula>5</formula>
    </cfRule>
    <cfRule type="cellIs" dxfId="1655" priority="35101" operator="equal">
      <formula>4</formula>
    </cfRule>
    <cfRule type="cellIs" dxfId="1654" priority="35102" operator="equal">
      <formula>1</formula>
    </cfRule>
    <cfRule type="colorScale" priority="35105">
      <colorScale>
        <cfvo type="num" val="1"/>
        <cfvo type="num" val="2"/>
        <cfvo type="num" val="3"/>
        <color rgb="FFF8696B"/>
        <color rgb="FFFFEB84"/>
        <color rgb="FF63BE7B"/>
      </colorScale>
    </cfRule>
    <cfRule type="colorScale" priority="35106">
      <colorScale>
        <cfvo type="num" val="1"/>
        <cfvo type="num" val="2"/>
        <cfvo type="num" val="3"/>
        <color rgb="FFF8696B"/>
        <color rgb="FFFFEB84"/>
        <color rgb="FF63BE7B"/>
      </colorScale>
    </cfRule>
    <cfRule type="colorScale" priority="35107">
      <colorScale>
        <cfvo type="min" val="0"/>
        <cfvo type="percentile" val="50"/>
        <cfvo type="max" val="0"/>
        <color rgb="FFF8696B"/>
        <color rgb="FFFFEB84"/>
        <color rgb="FF63BE7B"/>
      </colorScale>
    </cfRule>
  </conditionalFormatting>
  <conditionalFormatting sqref="V72">
    <cfRule type="cellIs" dxfId="1653" priority="35092" operator="equal">
      <formula>5</formula>
    </cfRule>
    <cfRule type="cellIs" dxfId="1652" priority="35093" operator="equal">
      <formula>4</formula>
    </cfRule>
    <cfRule type="cellIs" dxfId="1651" priority="35094" operator="equal">
      <formula>1</formula>
    </cfRule>
    <cfRule type="colorScale" priority="35097">
      <colorScale>
        <cfvo type="num" val="1"/>
        <cfvo type="num" val="2"/>
        <cfvo type="num" val="3"/>
        <color rgb="FFF8696B"/>
        <color rgb="FFFFEB84"/>
        <color rgb="FF63BE7B"/>
      </colorScale>
    </cfRule>
    <cfRule type="colorScale" priority="35098">
      <colorScale>
        <cfvo type="num" val="1"/>
        <cfvo type="num" val="2"/>
        <cfvo type="num" val="3"/>
        <color rgb="FFF8696B"/>
        <color rgb="FFFFEB84"/>
        <color rgb="FF63BE7B"/>
      </colorScale>
    </cfRule>
    <cfRule type="colorScale" priority="35099">
      <colorScale>
        <cfvo type="min" val="0"/>
        <cfvo type="percentile" val="50"/>
        <cfvo type="max" val="0"/>
        <color rgb="FFF8696B"/>
        <color rgb="FFFFEB84"/>
        <color rgb="FF63BE7B"/>
      </colorScale>
    </cfRule>
  </conditionalFormatting>
  <conditionalFormatting sqref="V268:AB268 V232">
    <cfRule type="colorScale" priority="14762">
      <colorScale>
        <cfvo type="num" val="1"/>
        <cfvo type="num" val="2"/>
        <cfvo type="num" val="3"/>
        <color rgb="FFF8696B"/>
        <color rgb="FFFFEB84"/>
        <color rgb="FF63BE7B"/>
      </colorScale>
    </cfRule>
    <cfRule type="colorScale" priority="14763">
      <colorScale>
        <cfvo type="num" val="1"/>
        <cfvo type="num" val="2"/>
        <cfvo type="num" val="3"/>
        <color rgb="FFF8696B"/>
        <color rgb="FFFFEB84"/>
        <color rgb="FF63BE7B"/>
      </colorScale>
    </cfRule>
    <cfRule type="colorScale" priority="14764">
      <colorScale>
        <cfvo type="num" val="1"/>
        <cfvo type="num" val="2"/>
        <cfvo type="num" val="3"/>
        <color rgb="FFF8696B"/>
        <color rgb="FFFFEB84"/>
        <color rgb="FF63BE7B"/>
      </colorScale>
    </cfRule>
    <cfRule type="colorScale" priority="14766">
      <colorScale>
        <cfvo type="num" val="1"/>
        <cfvo type="num" val="2"/>
        <cfvo type="num" val="3"/>
        <color rgb="FFF8696B"/>
        <color rgb="FFFFEB84"/>
        <color rgb="FF63BE7B"/>
      </colorScale>
    </cfRule>
    <cfRule type="colorScale" priority="14767">
      <colorScale>
        <cfvo type="num" val="1"/>
        <cfvo type="num" val="2"/>
        <cfvo type="num" val="3"/>
        <color rgb="FFF8696B"/>
        <color rgb="FFFFEB84"/>
        <color rgb="FF63BE7B"/>
      </colorScale>
    </cfRule>
    <cfRule type="colorScale" priority="14768">
      <colorScale>
        <cfvo type="num" val="1"/>
        <cfvo type="num" val="2"/>
        <cfvo type="num" val="3"/>
        <color rgb="FFF8696B"/>
        <color rgb="FFFFEB84"/>
        <color rgb="FF63BE7B"/>
      </colorScale>
    </cfRule>
    <cfRule type="colorScale" priority="14769">
      <colorScale>
        <cfvo type="num" val="1"/>
        <cfvo type="num" val="2"/>
        <cfvo type="num" val="3"/>
        <color rgb="FFF8696B"/>
        <color rgb="FFFFEB84"/>
        <color rgb="FF63BE7B"/>
      </colorScale>
    </cfRule>
    <cfRule type="colorScale" priority="14770">
      <colorScale>
        <cfvo type="num" val="1"/>
        <cfvo type="num" val="2"/>
        <cfvo type="num" val="3"/>
        <color rgb="FFF8696B"/>
        <color rgb="FFFFEB84"/>
        <color rgb="FF63BE7B"/>
      </colorScale>
    </cfRule>
    <cfRule type="colorScale" priority="14771">
      <colorScale>
        <cfvo type="num" val="1"/>
        <cfvo type="num" val="2"/>
        <cfvo type="num" val="3"/>
        <color rgb="FFF8696B"/>
        <color rgb="FFFFEB84"/>
        <color rgb="FF63BE7B"/>
      </colorScale>
    </cfRule>
    <cfRule type="colorScale" priority="14772">
      <colorScale>
        <cfvo type="num" val="1"/>
        <cfvo type="num" val="2"/>
        <cfvo type="num" val="3"/>
        <color rgb="FFF8696B"/>
        <color rgb="FFFFEB84"/>
        <color rgb="FF63BE7B"/>
      </colorScale>
    </cfRule>
    <cfRule type="colorScale" priority="14774">
      <colorScale>
        <cfvo type="num" val="1"/>
        <cfvo type="num" val="2"/>
        <cfvo type="num" val="3"/>
        <color rgb="FFF8696B"/>
        <color rgb="FFFFEB84"/>
        <color rgb="FF63BE7B"/>
      </colorScale>
    </cfRule>
    <cfRule type="colorScale" priority="14776">
      <colorScale>
        <cfvo type="num" val="1"/>
        <cfvo type="num" val="2"/>
        <cfvo type="num" val="3"/>
        <color rgb="FFF8696B"/>
        <color rgb="FFFFEB84"/>
        <color rgb="FF63BE7B"/>
      </colorScale>
    </cfRule>
    <cfRule type="colorScale" priority="14781">
      <colorScale>
        <cfvo type="num" val="1"/>
        <cfvo type="num" val="2"/>
        <cfvo type="num" val="3"/>
        <color rgb="FFF8696B"/>
        <color rgb="FFFFEB84"/>
        <color rgb="FF63BE7B"/>
      </colorScale>
    </cfRule>
    <cfRule type="colorScale" priority="14782">
      <colorScale>
        <cfvo type="num" val="1"/>
        <cfvo type="num" val="2"/>
        <cfvo type="num" val="3"/>
        <color rgb="FFF8696B"/>
        <color rgb="FFFFEB84"/>
        <color rgb="FF63BE7B"/>
      </colorScale>
    </cfRule>
    <cfRule type="colorScale" priority="14783">
      <colorScale>
        <cfvo type="num" val="1"/>
        <cfvo type="num" val="2"/>
        <cfvo type="num" val="3"/>
        <color rgb="FFF8696B"/>
        <color rgb="FFFFEB84"/>
        <color rgb="FF63BE7B"/>
      </colorScale>
    </cfRule>
    <cfRule type="colorScale" priority="14785">
      <colorScale>
        <cfvo type="num" val="1"/>
        <cfvo type="num" val="2"/>
        <cfvo type="num" val="3"/>
        <color rgb="FFF8696B"/>
        <color rgb="FFFFEB84"/>
        <color rgb="FF63BE7B"/>
      </colorScale>
    </cfRule>
    <cfRule type="colorScale" priority="14786">
      <colorScale>
        <cfvo type="num" val="1"/>
        <cfvo type="num" val="2"/>
        <cfvo type="num" val="3"/>
        <color rgb="FFF8696B"/>
        <color rgb="FFFFEB84"/>
        <color rgb="FF63BE7B"/>
      </colorScale>
    </cfRule>
    <cfRule type="colorScale" priority="14787">
      <colorScale>
        <cfvo type="num" val="1"/>
        <cfvo type="num" val="2"/>
        <cfvo type="num" val="3"/>
        <color rgb="FFF8696B"/>
        <color rgb="FFFFEB84"/>
        <color rgb="FF63BE7B"/>
      </colorScale>
    </cfRule>
    <cfRule type="colorScale" priority="14788">
      <colorScale>
        <cfvo type="num" val="1"/>
        <cfvo type="num" val="2"/>
        <cfvo type="num" val="3"/>
        <color rgb="FFF8696B"/>
        <color rgb="FFFFEB84"/>
        <color rgb="FF63BE7B"/>
      </colorScale>
    </cfRule>
    <cfRule type="colorScale" priority="14789">
      <colorScale>
        <cfvo type="num" val="1"/>
        <cfvo type="num" val="2"/>
        <cfvo type="num" val="3"/>
        <color rgb="FFF8696B"/>
        <color rgb="FFFFEB84"/>
        <color rgb="FF63BE7B"/>
      </colorScale>
    </cfRule>
    <cfRule type="colorScale" priority="14790">
      <colorScale>
        <cfvo type="num" val="1"/>
        <cfvo type="num" val="2"/>
        <cfvo type="num" val="3"/>
        <color rgb="FFF8696B"/>
        <color rgb="FFFFEB84"/>
        <color rgb="FF63BE7B"/>
      </colorScale>
    </cfRule>
    <cfRule type="colorScale" priority="14791">
      <colorScale>
        <cfvo type="num" val="1"/>
        <cfvo type="num" val="2"/>
        <cfvo type="num" val="3"/>
        <color rgb="FFF8696B"/>
        <color rgb="FFFFEB84"/>
        <color rgb="FF63BE7B"/>
      </colorScale>
    </cfRule>
    <cfRule type="colorScale" priority="14793">
      <colorScale>
        <cfvo type="num" val="1"/>
        <cfvo type="num" val="2"/>
        <cfvo type="num" val="3"/>
        <color rgb="FFF8696B"/>
        <color rgb="FFFFEB84"/>
        <color rgb="FF63BE7B"/>
      </colorScale>
    </cfRule>
    <cfRule type="colorScale" priority="14795">
      <colorScale>
        <cfvo type="num" val="1"/>
        <cfvo type="num" val="2"/>
        <cfvo type="num" val="3"/>
        <color rgb="FFF8696B"/>
        <color rgb="FFFFEB84"/>
        <color rgb="FF63BE7B"/>
      </colorScale>
    </cfRule>
    <cfRule type="colorScale" priority="14801">
      <colorScale>
        <cfvo type="num" val="1"/>
        <cfvo type="num" val="2"/>
        <cfvo type="num" val="3"/>
        <color rgb="FFF8696B"/>
        <color rgb="FFFFEB84"/>
        <color rgb="FF63BE7B"/>
      </colorScale>
    </cfRule>
    <cfRule type="colorScale" priority="14803">
      <colorScale>
        <cfvo type="num" val="1"/>
        <cfvo type="num" val="2"/>
        <cfvo type="num" val="3"/>
        <color rgb="FFF8696B"/>
        <color rgb="FFFFEB84"/>
        <color rgb="FF63BE7B"/>
      </colorScale>
    </cfRule>
    <cfRule type="colorScale" priority="14804">
      <colorScale>
        <cfvo type="num" val="1"/>
        <cfvo type="num" val="2"/>
        <cfvo type="num" val="3"/>
        <color rgb="FFF8696B"/>
        <color rgb="FFFFEB84"/>
        <color rgb="FF63BE7B"/>
      </colorScale>
    </cfRule>
    <cfRule type="colorScale" priority="14805">
      <colorScale>
        <cfvo type="num" val="1"/>
        <cfvo type="num" val="2"/>
        <cfvo type="num" val="3"/>
        <color rgb="FFF8696B"/>
        <color rgb="FFFFEB84"/>
        <color rgb="FF63BE7B"/>
      </colorScale>
    </cfRule>
    <cfRule type="colorScale" priority="14806">
      <colorScale>
        <cfvo type="num" val="1"/>
        <cfvo type="num" val="2"/>
        <cfvo type="num" val="3"/>
        <color rgb="FFF8696B"/>
        <color rgb="FFFFEB84"/>
        <color rgb="FF63BE7B"/>
      </colorScale>
    </cfRule>
    <cfRule type="colorScale" priority="14807">
      <colorScale>
        <cfvo type="num" val="1"/>
        <cfvo type="num" val="2"/>
        <cfvo type="num" val="3"/>
        <color rgb="FFF8696B"/>
        <color rgb="FFFFEB84"/>
        <color rgb="FF63BE7B"/>
      </colorScale>
    </cfRule>
    <cfRule type="colorScale" priority="14911">
      <colorScale>
        <cfvo type="num" val="1"/>
        <cfvo type="num" val="2"/>
        <cfvo type="num" val="3"/>
        <color rgb="FFF8696B"/>
        <color rgb="FFFFEB84"/>
        <color rgb="FF63BE7B"/>
      </colorScale>
    </cfRule>
    <cfRule type="colorScale" priority="14912">
      <colorScale>
        <cfvo type="num" val="1"/>
        <cfvo type="num" val="2"/>
        <cfvo type="num" val="3"/>
        <color rgb="FFF8696B"/>
        <color rgb="FFFFEB84"/>
        <color rgb="FF63BE7B"/>
      </colorScale>
    </cfRule>
    <cfRule type="colorScale" priority="14913">
      <colorScale>
        <cfvo type="num" val="1"/>
        <cfvo type="num" val="2"/>
        <cfvo type="num" val="3"/>
        <color rgb="FFF8696B"/>
        <color rgb="FFFFEB84"/>
        <color rgb="FF63BE7B"/>
      </colorScale>
    </cfRule>
    <cfRule type="colorScale" priority="14915">
      <colorScale>
        <cfvo type="num" val="1"/>
        <cfvo type="num" val="2"/>
        <cfvo type="num" val="3"/>
        <color rgb="FFF8696B"/>
        <color rgb="FFFFEB84"/>
        <color rgb="FF63BE7B"/>
      </colorScale>
    </cfRule>
    <cfRule type="colorScale" priority="14916">
      <colorScale>
        <cfvo type="num" val="1"/>
        <cfvo type="num" val="2"/>
        <cfvo type="num" val="3"/>
        <color rgb="FFF8696B"/>
        <color rgb="FFFFEB84"/>
        <color rgb="FF63BE7B"/>
      </colorScale>
    </cfRule>
    <cfRule type="colorScale" priority="14917">
      <colorScale>
        <cfvo type="num" val="1"/>
        <cfvo type="num" val="2"/>
        <cfvo type="num" val="3"/>
        <color rgb="FFF8696B"/>
        <color rgb="FFFFEB84"/>
        <color rgb="FF63BE7B"/>
      </colorScale>
    </cfRule>
    <cfRule type="colorScale" priority="14918">
      <colorScale>
        <cfvo type="num" val="1"/>
        <cfvo type="num" val="2"/>
        <cfvo type="num" val="3"/>
        <color rgb="FFF8696B"/>
        <color rgb="FFFFEB84"/>
        <color rgb="FF63BE7B"/>
      </colorScale>
    </cfRule>
    <cfRule type="colorScale" priority="14919">
      <colorScale>
        <cfvo type="num" val="1"/>
        <cfvo type="num" val="2"/>
        <cfvo type="num" val="3"/>
        <color rgb="FFF8696B"/>
        <color rgb="FFFFEB84"/>
        <color rgb="FF63BE7B"/>
      </colorScale>
    </cfRule>
    <cfRule type="colorScale" priority="14920">
      <colorScale>
        <cfvo type="num" val="1"/>
        <cfvo type="num" val="2"/>
        <cfvo type="num" val="3"/>
        <color rgb="FFF8696B"/>
        <color rgb="FFFFEB84"/>
        <color rgb="FF63BE7B"/>
      </colorScale>
    </cfRule>
    <cfRule type="colorScale" priority="14921">
      <colorScale>
        <cfvo type="num" val="1"/>
        <cfvo type="num" val="2"/>
        <cfvo type="num" val="3"/>
        <color rgb="FFF8696B"/>
        <color rgb="FFFFEB84"/>
        <color rgb="FF63BE7B"/>
      </colorScale>
    </cfRule>
    <cfRule type="colorScale" priority="14923">
      <colorScale>
        <cfvo type="num" val="1"/>
        <cfvo type="num" val="2"/>
        <cfvo type="num" val="3"/>
        <color rgb="FFF8696B"/>
        <color rgb="FFFFEB84"/>
        <color rgb="FF63BE7B"/>
      </colorScale>
    </cfRule>
    <cfRule type="colorScale" priority="14925">
      <colorScale>
        <cfvo type="num" val="1"/>
        <cfvo type="num" val="2"/>
        <cfvo type="num" val="3"/>
        <color rgb="FFF8696B"/>
        <color rgb="FFFFEB84"/>
        <color rgb="FF63BE7B"/>
      </colorScale>
    </cfRule>
    <cfRule type="colorScale" priority="14966">
      <colorScale>
        <cfvo type="num" val="1"/>
        <cfvo type="num" val="2"/>
        <cfvo type="num" val="3"/>
        <color rgb="FFF8696B"/>
        <color rgb="FFFFEB84"/>
        <color rgb="FF63BE7B"/>
      </colorScale>
    </cfRule>
    <cfRule type="colorScale" priority="14967">
      <colorScale>
        <cfvo type="num" val="1"/>
        <cfvo type="num" val="2"/>
        <cfvo type="num" val="3"/>
        <color rgb="FFF8696B"/>
        <color rgb="FFFFEB84"/>
        <color rgb="FF63BE7B"/>
      </colorScale>
    </cfRule>
    <cfRule type="colorScale" priority="14968">
      <colorScale>
        <cfvo type="num" val="1"/>
        <cfvo type="num" val="2"/>
        <cfvo type="num" val="3"/>
        <color rgb="FFF8696B"/>
        <color rgb="FFFFEB84"/>
        <color rgb="FF63BE7B"/>
      </colorScale>
    </cfRule>
    <cfRule type="colorScale" priority="14970">
      <colorScale>
        <cfvo type="num" val="1"/>
        <cfvo type="num" val="2"/>
        <cfvo type="num" val="3"/>
        <color rgb="FFF8696B"/>
        <color rgb="FFFFEB84"/>
        <color rgb="FF63BE7B"/>
      </colorScale>
    </cfRule>
    <cfRule type="colorScale" priority="14971">
      <colorScale>
        <cfvo type="num" val="1"/>
        <cfvo type="num" val="2"/>
        <cfvo type="num" val="3"/>
        <color rgb="FFF8696B"/>
        <color rgb="FFFFEB84"/>
        <color rgb="FF63BE7B"/>
      </colorScale>
    </cfRule>
    <cfRule type="colorScale" priority="14972">
      <colorScale>
        <cfvo type="num" val="1"/>
        <cfvo type="num" val="2"/>
        <cfvo type="num" val="3"/>
        <color rgb="FFF8696B"/>
        <color rgb="FFFFEB84"/>
        <color rgb="FF63BE7B"/>
      </colorScale>
    </cfRule>
    <cfRule type="colorScale" priority="14973">
      <colorScale>
        <cfvo type="num" val="1"/>
        <cfvo type="num" val="2"/>
        <cfvo type="num" val="3"/>
        <color rgb="FFF8696B"/>
        <color rgb="FFFFEB84"/>
        <color rgb="FF63BE7B"/>
      </colorScale>
    </cfRule>
    <cfRule type="colorScale" priority="14974">
      <colorScale>
        <cfvo type="num" val="1"/>
        <cfvo type="num" val="2"/>
        <cfvo type="num" val="3"/>
        <color rgb="FFF8696B"/>
        <color rgb="FFFFEB84"/>
        <color rgb="FF63BE7B"/>
      </colorScale>
    </cfRule>
    <cfRule type="colorScale" priority="14975">
      <colorScale>
        <cfvo type="num" val="1"/>
        <cfvo type="num" val="2"/>
        <cfvo type="num" val="3"/>
        <color rgb="FFF8696B"/>
        <color rgb="FFFFEB84"/>
        <color rgb="FF63BE7B"/>
      </colorScale>
    </cfRule>
    <cfRule type="colorScale" priority="14976">
      <colorScale>
        <cfvo type="num" val="1"/>
        <cfvo type="num" val="2"/>
        <cfvo type="num" val="3"/>
        <color rgb="FFF8696B"/>
        <color rgb="FFFFEB84"/>
        <color rgb="FF63BE7B"/>
      </colorScale>
    </cfRule>
    <cfRule type="colorScale" priority="14978">
      <colorScale>
        <cfvo type="num" val="1"/>
        <cfvo type="num" val="2"/>
        <cfvo type="num" val="3"/>
        <color rgb="FFF8696B"/>
        <color rgb="FFFFEB84"/>
        <color rgb="FF63BE7B"/>
      </colorScale>
    </cfRule>
    <cfRule type="colorScale" priority="14980">
      <colorScale>
        <cfvo type="num" val="1"/>
        <cfvo type="num" val="2"/>
        <cfvo type="num" val="3"/>
        <color rgb="FFF8696B"/>
        <color rgb="FFFFEB84"/>
        <color rgb="FF63BE7B"/>
      </colorScale>
    </cfRule>
    <cfRule type="colorScale" priority="15090">
      <colorScale>
        <cfvo type="num" val="1"/>
        <cfvo type="num" val="2"/>
        <cfvo type="num" val="3"/>
        <color rgb="FFF8696B"/>
        <color rgb="FFFFEB84"/>
        <color rgb="FF63BE7B"/>
      </colorScale>
    </cfRule>
    <cfRule type="colorScale" priority="15109">
      <colorScale>
        <cfvo type="num" val="1"/>
        <cfvo type="num" val="2"/>
        <cfvo type="num" val="3"/>
        <color rgb="FFF8696B"/>
        <color rgb="FFFFEB84"/>
        <color rgb="FF63BE7B"/>
      </colorScale>
    </cfRule>
    <cfRule type="colorScale" priority="15111">
      <colorScale>
        <cfvo type="num" val="1"/>
        <cfvo type="num" val="2"/>
        <cfvo type="num" val="3"/>
        <color rgb="FFF8696B"/>
        <color rgb="FFFFEB84"/>
        <color rgb="FF63BE7B"/>
      </colorScale>
    </cfRule>
  </conditionalFormatting>
  <conditionalFormatting sqref="V230">
    <cfRule type="cellIs" dxfId="1650" priority="6937" operator="equal">
      <formula>5</formula>
    </cfRule>
    <cfRule type="cellIs" dxfId="1649" priority="6938" operator="equal">
      <formula>4</formula>
    </cfRule>
    <cfRule type="cellIs" dxfId="1648" priority="6939" operator="equal">
      <formula>1</formula>
    </cfRule>
    <cfRule type="cellIs" dxfId="1647" priority="6940" operator="equal">
      <formula>3</formula>
    </cfRule>
    <cfRule type="cellIs" dxfId="1646" priority="6941" operator="equal">
      <formula>2</formula>
    </cfRule>
    <cfRule type="colorScale" priority="6942">
      <colorScale>
        <cfvo type="min" val="0"/>
        <cfvo type="percentile" val="50"/>
        <cfvo type="max" val="0"/>
        <color rgb="FFF8696B"/>
        <color rgb="FFFFEB84"/>
        <color rgb="FF63BE7B"/>
      </colorScale>
    </cfRule>
    <cfRule type="colorScale" priority="6943">
      <colorScale>
        <cfvo type="num" val="1"/>
        <cfvo type="num" val="2"/>
        <cfvo type="num" val="3"/>
        <color rgb="FFF8696B"/>
        <color rgb="FFFFEB84"/>
        <color rgb="FF63BE7B"/>
      </colorScale>
    </cfRule>
    <cfRule type="colorScale" priority="6944">
      <colorScale>
        <cfvo type="num" val="1"/>
        <cfvo type="num" val="2"/>
        <cfvo type="num" val="3"/>
        <color rgb="FFF8696B"/>
        <color rgb="FFFFEB84"/>
        <color rgb="FF63BE7B"/>
      </colorScale>
    </cfRule>
  </conditionalFormatting>
  <conditionalFormatting sqref="W11">
    <cfRule type="cellIs" dxfId="1645" priority="39973" operator="equal">
      <formula>5</formula>
    </cfRule>
    <cfRule type="cellIs" dxfId="1644" priority="39974" operator="equal">
      <formula>4</formula>
    </cfRule>
    <cfRule type="cellIs" dxfId="1643" priority="39975" operator="equal">
      <formula>1</formula>
    </cfRule>
    <cfRule type="cellIs" dxfId="1642" priority="39976" operator="equal">
      <formula>3</formula>
    </cfRule>
    <cfRule type="cellIs" dxfId="1641" priority="39977" operator="equal">
      <formula>2</formula>
    </cfRule>
    <cfRule type="colorScale" priority="39978">
      <colorScale>
        <cfvo type="min" val="0"/>
        <cfvo type="percentile" val="50"/>
        <cfvo type="max" val="0"/>
        <color rgb="FFF8696B"/>
        <color rgb="FFFFEB84"/>
        <color rgb="FF63BE7B"/>
      </colorScale>
    </cfRule>
    <cfRule type="colorScale" priority="39979">
      <colorScale>
        <cfvo type="num" val="1"/>
        <cfvo type="num" val="2"/>
        <cfvo type="num" val="3"/>
        <color rgb="FFF8696B"/>
        <color rgb="FFFFEB84"/>
        <color rgb="FF63BE7B"/>
      </colorScale>
    </cfRule>
    <cfRule type="colorScale" priority="39980">
      <colorScale>
        <cfvo type="num" val="1"/>
        <cfvo type="num" val="2"/>
        <cfvo type="num" val="3"/>
        <color rgb="FFF8696B"/>
        <color rgb="FFFFEB84"/>
        <color rgb="FF63BE7B"/>
      </colorScale>
    </cfRule>
  </conditionalFormatting>
  <conditionalFormatting sqref="W15">
    <cfRule type="cellIs" dxfId="1640" priority="39981" operator="equal">
      <formula>5</formula>
    </cfRule>
    <cfRule type="cellIs" dxfId="1639" priority="39982" operator="equal">
      <formula>4</formula>
    </cfRule>
    <cfRule type="cellIs" dxfId="1638" priority="39983" operator="equal">
      <formula>1</formula>
    </cfRule>
    <cfRule type="cellIs" dxfId="1637" priority="39984" operator="equal">
      <formula>3</formula>
    </cfRule>
    <cfRule type="cellIs" dxfId="1636" priority="39985" operator="equal">
      <formula>2</formula>
    </cfRule>
    <cfRule type="colorScale" priority="39986">
      <colorScale>
        <cfvo type="min" val="0"/>
        <cfvo type="percentile" val="50"/>
        <cfvo type="max" val="0"/>
        <color rgb="FFF8696B"/>
        <color rgb="FFFFEB84"/>
        <color rgb="FF63BE7B"/>
      </colorScale>
    </cfRule>
    <cfRule type="colorScale" priority="39987">
      <colorScale>
        <cfvo type="num" val="1"/>
        <cfvo type="num" val="2"/>
        <cfvo type="num" val="3"/>
        <color rgb="FFF8696B"/>
        <color rgb="FFFFEB84"/>
        <color rgb="FF63BE7B"/>
      </colorScale>
    </cfRule>
    <cfRule type="colorScale" priority="39988">
      <colorScale>
        <cfvo type="num" val="1"/>
        <cfvo type="num" val="2"/>
        <cfvo type="num" val="3"/>
        <color rgb="FFF8696B"/>
        <color rgb="FFFFEB84"/>
        <color rgb="FF63BE7B"/>
      </colorScale>
    </cfRule>
    <cfRule type="colorScale" priority="39989">
      <colorScale>
        <cfvo type="num" val="1"/>
        <cfvo type="num" val="2"/>
        <cfvo type="num" val="3"/>
        <color rgb="FFF8696B"/>
        <color rgb="FFFFEB84"/>
        <color rgb="FF63BE7B"/>
      </colorScale>
    </cfRule>
    <cfRule type="colorScale" priority="39990">
      <colorScale>
        <cfvo type="num" val="1"/>
        <cfvo type="num" val="2"/>
        <cfvo type="num" val="3"/>
        <color rgb="FFF8696B"/>
        <color rgb="FFFFEB84"/>
        <color rgb="FF63BE7B"/>
      </colorScale>
    </cfRule>
    <cfRule type="colorScale" priority="39991">
      <colorScale>
        <cfvo type="num" val="1"/>
        <cfvo type="num" val="2"/>
        <cfvo type="num" val="3"/>
        <color rgb="FFF8696B"/>
        <color rgb="FFFFEB84"/>
        <color rgb="FF63BE7B"/>
      </colorScale>
    </cfRule>
    <cfRule type="colorScale" priority="39992">
      <colorScale>
        <cfvo type="num" val="1"/>
        <cfvo type="num" val="2"/>
        <cfvo type="num" val="3"/>
        <color rgb="FFF8696B"/>
        <color rgb="FFFFEB84"/>
        <color rgb="FF63BE7B"/>
      </colorScale>
    </cfRule>
  </conditionalFormatting>
  <conditionalFormatting sqref="W40">
    <cfRule type="cellIs" dxfId="1635" priority="36598" operator="equal">
      <formula>5</formula>
    </cfRule>
    <cfRule type="cellIs" dxfId="1634" priority="36599" operator="equal">
      <formula>4</formula>
    </cfRule>
    <cfRule type="cellIs" dxfId="1633" priority="36600" operator="equal">
      <formula>1</formula>
    </cfRule>
    <cfRule type="cellIs" dxfId="1632" priority="36601" operator="equal">
      <formula>3</formula>
    </cfRule>
    <cfRule type="cellIs" dxfId="1631" priority="36602" operator="equal">
      <formula>2</formula>
    </cfRule>
    <cfRule type="colorScale" priority="36603">
      <colorScale>
        <cfvo type="min" val="0"/>
        <cfvo type="percentile" val="50"/>
        <cfvo type="max" val="0"/>
        <color rgb="FFF8696B"/>
        <color rgb="FFFFEB84"/>
        <color rgb="FF63BE7B"/>
      </colorScale>
    </cfRule>
    <cfRule type="colorScale" priority="36604">
      <colorScale>
        <cfvo type="num" val="1"/>
        <cfvo type="num" val="2"/>
        <cfvo type="num" val="3"/>
        <color rgb="FFF8696B"/>
        <color rgb="FFFFEB84"/>
        <color rgb="FF63BE7B"/>
      </colorScale>
    </cfRule>
    <cfRule type="colorScale" priority="36605">
      <colorScale>
        <cfvo type="num" val="1"/>
        <cfvo type="num" val="2"/>
        <cfvo type="num" val="3"/>
        <color rgb="FFF8696B"/>
        <color rgb="FFFFEB84"/>
        <color rgb="FF63BE7B"/>
      </colorScale>
    </cfRule>
  </conditionalFormatting>
  <conditionalFormatting sqref="W44">
    <cfRule type="cellIs" dxfId="1630" priority="36606" operator="equal">
      <formula>5</formula>
    </cfRule>
    <cfRule type="cellIs" dxfId="1629" priority="36607" operator="equal">
      <formula>4</formula>
    </cfRule>
    <cfRule type="cellIs" dxfId="1628" priority="36608" operator="equal">
      <formula>1</formula>
    </cfRule>
    <cfRule type="cellIs" dxfId="1627" priority="36609" operator="equal">
      <formula>3</formula>
    </cfRule>
    <cfRule type="cellIs" dxfId="1626" priority="36610" operator="equal">
      <formula>2</formula>
    </cfRule>
    <cfRule type="colorScale" priority="36611">
      <colorScale>
        <cfvo type="min" val="0"/>
        <cfvo type="percentile" val="50"/>
        <cfvo type="max" val="0"/>
        <color rgb="FFF8696B"/>
        <color rgb="FFFFEB84"/>
        <color rgb="FF63BE7B"/>
      </colorScale>
    </cfRule>
    <cfRule type="colorScale" priority="36612">
      <colorScale>
        <cfvo type="num" val="1"/>
        <cfvo type="num" val="2"/>
        <cfvo type="num" val="3"/>
        <color rgb="FFF8696B"/>
        <color rgb="FFFFEB84"/>
        <color rgb="FF63BE7B"/>
      </colorScale>
    </cfRule>
    <cfRule type="colorScale" priority="36613">
      <colorScale>
        <cfvo type="num" val="1"/>
        <cfvo type="num" val="2"/>
        <cfvo type="num" val="3"/>
        <color rgb="FFF8696B"/>
        <color rgb="FFFFEB84"/>
        <color rgb="FF63BE7B"/>
      </colorScale>
    </cfRule>
    <cfRule type="colorScale" priority="36614">
      <colorScale>
        <cfvo type="num" val="1"/>
        <cfvo type="num" val="2"/>
        <cfvo type="num" val="3"/>
        <color rgb="FFF8696B"/>
        <color rgb="FFFFEB84"/>
        <color rgb="FF63BE7B"/>
      </colorScale>
    </cfRule>
    <cfRule type="colorScale" priority="36615">
      <colorScale>
        <cfvo type="num" val="1"/>
        <cfvo type="num" val="2"/>
        <cfvo type="num" val="3"/>
        <color rgb="FFF8696B"/>
        <color rgb="FFFFEB84"/>
        <color rgb="FF63BE7B"/>
      </colorScale>
    </cfRule>
    <cfRule type="colorScale" priority="36616">
      <colorScale>
        <cfvo type="num" val="1"/>
        <cfvo type="num" val="2"/>
        <cfvo type="num" val="3"/>
        <color rgb="FFF8696B"/>
        <color rgb="FFFFEB84"/>
        <color rgb="FF63BE7B"/>
      </colorScale>
    </cfRule>
    <cfRule type="colorScale" priority="36617">
      <colorScale>
        <cfvo type="num" val="1"/>
        <cfvo type="num" val="2"/>
        <cfvo type="num" val="3"/>
        <color rgb="FFF8696B"/>
        <color rgb="FFFFEB84"/>
        <color rgb="FF63BE7B"/>
      </colorScale>
    </cfRule>
  </conditionalFormatting>
  <conditionalFormatting sqref="W64">
    <cfRule type="cellIs" dxfId="1625" priority="35084" operator="equal">
      <formula>5</formula>
    </cfRule>
    <cfRule type="cellIs" dxfId="1624" priority="35085" operator="equal">
      <formula>4</formula>
    </cfRule>
    <cfRule type="cellIs" dxfId="1623" priority="35086" operator="equal">
      <formula>1</formula>
    </cfRule>
    <cfRule type="cellIs" dxfId="1622" priority="35087" operator="equal">
      <formula>3</formula>
    </cfRule>
    <cfRule type="cellIs" dxfId="1621" priority="35088" operator="equal">
      <formula>2</formula>
    </cfRule>
    <cfRule type="colorScale" priority="35089">
      <colorScale>
        <cfvo type="num" val="1"/>
        <cfvo type="num" val="2"/>
        <cfvo type="num" val="3"/>
        <color rgb="FFF8696B"/>
        <color rgb="FFFFEB84"/>
        <color rgb="FF63BE7B"/>
      </colorScale>
    </cfRule>
    <cfRule type="colorScale" priority="35090">
      <colorScale>
        <cfvo type="num" val="1"/>
        <cfvo type="num" val="2"/>
        <cfvo type="num" val="3"/>
        <color rgb="FFF8696B"/>
        <color rgb="FFFFEB84"/>
        <color rgb="FF63BE7B"/>
      </colorScale>
    </cfRule>
    <cfRule type="colorScale" priority="35091">
      <colorScale>
        <cfvo type="min" val="0"/>
        <cfvo type="percentile" val="50"/>
        <cfvo type="max" val="0"/>
        <color rgb="FFF8696B"/>
        <color rgb="FFFFEB84"/>
        <color rgb="FF63BE7B"/>
      </colorScale>
    </cfRule>
  </conditionalFormatting>
  <conditionalFormatting sqref="W68">
    <cfRule type="cellIs" dxfId="1620" priority="35537" operator="equal">
      <formula>5</formula>
    </cfRule>
    <cfRule type="cellIs" dxfId="1619" priority="35538" operator="equal">
      <formula>4</formula>
    </cfRule>
    <cfRule type="cellIs" dxfId="1618" priority="35539" operator="equal">
      <formula>1</formula>
    </cfRule>
    <cfRule type="colorScale" priority="35542">
      <colorScale>
        <cfvo type="min" val="0"/>
        <cfvo type="percentile" val="50"/>
        <cfvo type="max" val="0"/>
        <color rgb="FFF8696B"/>
        <color rgb="FFFFEB84"/>
        <color rgb="FF63BE7B"/>
      </colorScale>
    </cfRule>
    <cfRule type="colorScale" priority="35543">
      <colorScale>
        <cfvo type="num" val="1"/>
        <cfvo type="num" val="2"/>
        <cfvo type="num" val="3"/>
        <color rgb="FFF8696B"/>
        <color rgb="FFFFEB84"/>
        <color rgb="FF63BE7B"/>
      </colorScale>
    </cfRule>
    <cfRule type="colorScale" priority="35544">
      <colorScale>
        <cfvo type="num" val="1"/>
        <cfvo type="num" val="2"/>
        <cfvo type="num" val="3"/>
        <color rgb="FFF8696B"/>
        <color rgb="FFFFEB84"/>
        <color rgb="FF63BE7B"/>
      </colorScale>
    </cfRule>
  </conditionalFormatting>
  <conditionalFormatting sqref="W72">
    <cfRule type="cellIs" dxfId="1617" priority="35545" operator="equal">
      <formula>5</formula>
    </cfRule>
    <cfRule type="cellIs" dxfId="1616" priority="35546" operator="equal">
      <formula>4</formula>
    </cfRule>
    <cfRule type="cellIs" dxfId="1615" priority="35547" operator="equal">
      <formula>1</formula>
    </cfRule>
    <cfRule type="colorScale" priority="35550">
      <colorScale>
        <cfvo type="min" val="0"/>
        <cfvo type="percentile" val="50"/>
        <cfvo type="max" val="0"/>
        <color rgb="FFF8696B"/>
        <color rgb="FFFFEB84"/>
        <color rgb="FF63BE7B"/>
      </colorScale>
    </cfRule>
    <cfRule type="colorScale" priority="35551">
      <colorScale>
        <cfvo type="num" val="1"/>
        <cfvo type="num" val="2"/>
        <cfvo type="num" val="3"/>
        <color rgb="FFF8696B"/>
        <color rgb="FFFFEB84"/>
        <color rgb="FF63BE7B"/>
      </colorScale>
    </cfRule>
    <cfRule type="colorScale" priority="35552">
      <colorScale>
        <cfvo type="num" val="1"/>
        <cfvo type="num" val="2"/>
        <cfvo type="num" val="3"/>
        <color rgb="FFF8696B"/>
        <color rgb="FFFFEB84"/>
        <color rgb="FF63BE7B"/>
      </colorScale>
    </cfRule>
    <cfRule type="colorScale" priority="35553">
      <colorScale>
        <cfvo type="num" val="1"/>
        <cfvo type="num" val="2"/>
        <cfvo type="num" val="3"/>
        <color rgb="FFF8696B"/>
        <color rgb="FFFFEB84"/>
        <color rgb="FF63BE7B"/>
      </colorScale>
    </cfRule>
    <cfRule type="colorScale" priority="35554">
      <colorScale>
        <cfvo type="num" val="1"/>
        <cfvo type="num" val="2"/>
        <cfvo type="num" val="3"/>
        <color rgb="FFF8696B"/>
        <color rgb="FFFFEB84"/>
        <color rgb="FF63BE7B"/>
      </colorScale>
    </cfRule>
    <cfRule type="colorScale" priority="35555">
      <colorScale>
        <cfvo type="num" val="1"/>
        <cfvo type="num" val="2"/>
        <cfvo type="num" val="3"/>
        <color rgb="FFF8696B"/>
        <color rgb="FFFFEB84"/>
        <color rgb="FF63BE7B"/>
      </colorScale>
    </cfRule>
    <cfRule type="colorScale" priority="35556">
      <colorScale>
        <cfvo type="num" val="1"/>
        <cfvo type="num" val="2"/>
        <cfvo type="num" val="3"/>
        <color rgb="FFF8696B"/>
        <color rgb="FFFFEB84"/>
        <color rgb="FF63BE7B"/>
      </colorScale>
    </cfRule>
  </conditionalFormatting>
  <conditionalFormatting sqref="W224">
    <cfRule type="cellIs" dxfId="1614" priority="15989" operator="equal">
      <formula>5</formula>
    </cfRule>
    <cfRule type="cellIs" dxfId="1613" priority="15990" operator="equal">
      <formula>4</formula>
    </cfRule>
    <cfRule type="cellIs" dxfId="1612" priority="15991" operator="equal">
      <formula>1</formula>
    </cfRule>
    <cfRule type="cellIs" dxfId="1611" priority="15992" operator="equal">
      <formula>3</formula>
    </cfRule>
    <cfRule type="cellIs" dxfId="1610" priority="15993" operator="equal">
      <formula>2</formula>
    </cfRule>
    <cfRule type="colorScale" priority="15994">
      <colorScale>
        <cfvo type="min" val="0"/>
        <cfvo type="percentile" val="50"/>
        <cfvo type="max" val="0"/>
        <color rgb="FFF8696B"/>
        <color rgb="FFFFEB84"/>
        <color rgb="FF63BE7B"/>
      </colorScale>
    </cfRule>
    <cfRule type="colorScale" priority="15995">
      <colorScale>
        <cfvo type="num" val="1"/>
        <cfvo type="num" val="2"/>
        <cfvo type="num" val="3"/>
        <color rgb="FFF8696B"/>
        <color rgb="FFFFEB84"/>
        <color rgb="FF63BE7B"/>
      </colorScale>
    </cfRule>
    <cfRule type="colorScale" priority="15996">
      <colorScale>
        <cfvo type="num" val="1"/>
        <cfvo type="num" val="2"/>
        <cfvo type="num" val="3"/>
        <color rgb="FFF8696B"/>
        <color rgb="FFFFEB84"/>
        <color rgb="FF63BE7B"/>
      </colorScale>
    </cfRule>
    <cfRule type="colorScale" priority="15997">
      <colorScale>
        <cfvo type="num" val="1"/>
        <cfvo type="num" val="2"/>
        <cfvo type="num" val="3"/>
        <color rgb="FFF8696B"/>
        <color rgb="FFFFEB84"/>
        <color rgb="FF63BE7B"/>
      </colorScale>
    </cfRule>
    <cfRule type="colorScale" priority="15998">
      <colorScale>
        <cfvo type="num" val="1"/>
        <cfvo type="num" val="2"/>
        <cfvo type="num" val="3"/>
        <color rgb="FFF8696B"/>
        <color rgb="FFFFEB84"/>
        <color rgb="FF63BE7B"/>
      </colorScale>
    </cfRule>
    <cfRule type="colorScale" priority="15999">
      <colorScale>
        <cfvo type="num" val="1"/>
        <cfvo type="num" val="2"/>
        <cfvo type="num" val="3"/>
        <color rgb="FFF8696B"/>
        <color rgb="FFFFEB84"/>
        <color rgb="FF63BE7B"/>
      </colorScale>
    </cfRule>
    <cfRule type="colorScale" priority="16000">
      <colorScale>
        <cfvo type="num" val="1"/>
        <cfvo type="num" val="2"/>
        <cfvo type="num" val="3"/>
        <color rgb="FFF8696B"/>
        <color rgb="FFFFEB84"/>
        <color rgb="FF63BE7B"/>
      </colorScale>
    </cfRule>
  </conditionalFormatting>
  <conditionalFormatting sqref="W228">
    <cfRule type="cellIs" dxfId="1609" priority="16199" operator="equal">
      <formula>5</formula>
    </cfRule>
    <cfRule type="cellIs" dxfId="1608" priority="16200" operator="equal">
      <formula>4</formula>
    </cfRule>
    <cfRule type="cellIs" dxfId="1607" priority="16201" operator="equal">
      <formula>1</formula>
    </cfRule>
    <cfRule type="cellIs" dxfId="1606" priority="16202" operator="equal">
      <formula>3</formula>
    </cfRule>
    <cfRule type="cellIs" dxfId="1605" priority="16203" operator="equal">
      <formula>2</formula>
    </cfRule>
    <cfRule type="colorScale" priority="16204">
      <colorScale>
        <cfvo type="min" val="0"/>
        <cfvo type="percentile" val="50"/>
        <cfvo type="max" val="0"/>
        <color rgb="FFF8696B"/>
        <color rgb="FFFFEB84"/>
        <color rgb="FF63BE7B"/>
      </colorScale>
    </cfRule>
    <cfRule type="colorScale" priority="16205">
      <colorScale>
        <cfvo type="num" val="1"/>
        <cfvo type="num" val="2"/>
        <cfvo type="num" val="3"/>
        <color rgb="FFF8696B"/>
        <color rgb="FFFFEB84"/>
        <color rgb="FF63BE7B"/>
      </colorScale>
    </cfRule>
    <cfRule type="colorScale" priority="16206">
      <colorScale>
        <cfvo type="num" val="1"/>
        <cfvo type="num" val="2"/>
        <cfvo type="num" val="3"/>
        <color rgb="FFF8696B"/>
        <color rgb="FFFFEB84"/>
        <color rgb="FF63BE7B"/>
      </colorScale>
    </cfRule>
  </conditionalFormatting>
  <conditionalFormatting sqref="W306">
    <cfRule type="cellIs" dxfId="1604" priority="20149" operator="equal">
      <formula>5</formula>
    </cfRule>
    <cfRule type="cellIs" dxfId="1603" priority="20150" operator="equal">
      <formula>4</formula>
    </cfRule>
    <cfRule type="cellIs" dxfId="1602" priority="20151" operator="equal">
      <formula>1</formula>
    </cfRule>
    <cfRule type="cellIs" dxfId="1601" priority="20152" operator="equal">
      <formula>3</formula>
    </cfRule>
    <cfRule type="cellIs" dxfId="1600" priority="20153" operator="equal">
      <formula>2</formula>
    </cfRule>
    <cfRule type="colorScale" priority="20154">
      <colorScale>
        <cfvo type="min" val="0"/>
        <cfvo type="percentile" val="50"/>
        <cfvo type="max" val="0"/>
        <color rgb="FFF8696B"/>
        <color rgb="FFFFEB84"/>
        <color rgb="FF63BE7B"/>
      </colorScale>
    </cfRule>
    <cfRule type="colorScale" priority="20155">
      <colorScale>
        <cfvo type="num" val="1"/>
        <cfvo type="num" val="2"/>
        <cfvo type="num" val="3"/>
        <color rgb="FFF8696B"/>
        <color rgb="FFFFEB84"/>
        <color rgb="FF63BE7B"/>
      </colorScale>
    </cfRule>
    <cfRule type="colorScale" priority="20156">
      <colorScale>
        <cfvo type="num" val="1"/>
        <cfvo type="num" val="2"/>
        <cfvo type="num" val="3"/>
        <color rgb="FFF8696B"/>
        <color rgb="FFFFEB84"/>
        <color rgb="FF63BE7B"/>
      </colorScale>
    </cfRule>
  </conditionalFormatting>
  <conditionalFormatting sqref="W310">
    <cfRule type="cellIs" dxfId="1599" priority="20157" operator="equal">
      <formula>5</formula>
    </cfRule>
    <cfRule type="cellIs" dxfId="1598" priority="20158" operator="equal">
      <formula>4</formula>
    </cfRule>
    <cfRule type="cellIs" dxfId="1597" priority="20159" operator="equal">
      <formula>1</formula>
    </cfRule>
    <cfRule type="cellIs" dxfId="1596" priority="20160" operator="equal">
      <formula>3</formula>
    </cfRule>
    <cfRule type="cellIs" dxfId="1595" priority="20161" operator="equal">
      <formula>2</formula>
    </cfRule>
    <cfRule type="colorScale" priority="20162">
      <colorScale>
        <cfvo type="min" val="0"/>
        <cfvo type="percentile" val="50"/>
        <cfvo type="max" val="0"/>
        <color rgb="FFF8696B"/>
        <color rgb="FFFFEB84"/>
        <color rgb="FF63BE7B"/>
      </colorScale>
    </cfRule>
    <cfRule type="colorScale" priority="20163">
      <colorScale>
        <cfvo type="num" val="1"/>
        <cfvo type="num" val="2"/>
        <cfvo type="num" val="3"/>
        <color rgb="FFF8696B"/>
        <color rgb="FFFFEB84"/>
        <color rgb="FF63BE7B"/>
      </colorScale>
    </cfRule>
    <cfRule type="colorScale" priority="20164">
      <colorScale>
        <cfvo type="num" val="1"/>
        <cfvo type="num" val="2"/>
        <cfvo type="num" val="3"/>
        <color rgb="FFF8696B"/>
        <color rgb="FFFFEB84"/>
        <color rgb="FF63BE7B"/>
      </colorScale>
    </cfRule>
    <cfRule type="colorScale" priority="20165">
      <colorScale>
        <cfvo type="num" val="1"/>
        <cfvo type="num" val="2"/>
        <cfvo type="num" val="3"/>
        <color rgb="FFF8696B"/>
        <color rgb="FFFFEB84"/>
        <color rgb="FF63BE7B"/>
      </colorScale>
    </cfRule>
    <cfRule type="colorScale" priority="20166">
      <colorScale>
        <cfvo type="num" val="1"/>
        <cfvo type="num" val="2"/>
        <cfvo type="num" val="3"/>
        <color rgb="FFF8696B"/>
        <color rgb="FFFFEB84"/>
        <color rgb="FF63BE7B"/>
      </colorScale>
    </cfRule>
    <cfRule type="colorScale" priority="20167">
      <colorScale>
        <cfvo type="num" val="1"/>
        <cfvo type="num" val="2"/>
        <cfvo type="num" val="3"/>
        <color rgb="FFF8696B"/>
        <color rgb="FFFFEB84"/>
        <color rgb="FF63BE7B"/>
      </colorScale>
    </cfRule>
    <cfRule type="colorScale" priority="20168">
      <colorScale>
        <cfvo type="num" val="1"/>
        <cfvo type="num" val="2"/>
        <cfvo type="num" val="3"/>
        <color rgb="FFF8696B"/>
        <color rgb="FFFFEB84"/>
        <color rgb="FF63BE7B"/>
      </colorScale>
    </cfRule>
  </conditionalFormatting>
  <conditionalFormatting sqref="W333">
    <cfRule type="cellIs" dxfId="1594" priority="21316" operator="equal">
      <formula>5</formula>
    </cfRule>
    <cfRule type="cellIs" dxfId="1593" priority="21317" operator="equal">
      <formula>4</formula>
    </cfRule>
    <cfRule type="cellIs" dxfId="1592" priority="21318" operator="equal">
      <formula>1</formula>
    </cfRule>
    <cfRule type="cellIs" dxfId="1591" priority="21319" operator="equal">
      <formula>3</formula>
    </cfRule>
    <cfRule type="cellIs" dxfId="1590" priority="21320" operator="equal">
      <formula>2</formula>
    </cfRule>
    <cfRule type="colorScale" priority="21321">
      <colorScale>
        <cfvo type="min" val="0"/>
        <cfvo type="percentile" val="50"/>
        <cfvo type="max" val="0"/>
        <color rgb="FFF8696B"/>
        <color rgb="FFFFEB84"/>
        <color rgb="FF63BE7B"/>
      </colorScale>
    </cfRule>
    <cfRule type="colorScale" priority="21322">
      <colorScale>
        <cfvo type="num" val="1"/>
        <cfvo type="num" val="2"/>
        <cfvo type="num" val="3"/>
        <color rgb="FFF8696B"/>
        <color rgb="FFFFEB84"/>
        <color rgb="FF63BE7B"/>
      </colorScale>
    </cfRule>
    <cfRule type="colorScale" priority="21323">
      <colorScale>
        <cfvo type="num" val="1"/>
        <cfvo type="num" val="2"/>
        <cfvo type="num" val="3"/>
        <color rgb="FFF8696B"/>
        <color rgb="FFFFEB84"/>
        <color rgb="FF63BE7B"/>
      </colorScale>
    </cfRule>
  </conditionalFormatting>
  <conditionalFormatting sqref="W337">
    <cfRule type="cellIs" dxfId="1589" priority="21324" operator="equal">
      <formula>5</formula>
    </cfRule>
    <cfRule type="cellIs" dxfId="1588" priority="21325" operator="equal">
      <formula>4</formula>
    </cfRule>
    <cfRule type="cellIs" dxfId="1587" priority="21326" operator="equal">
      <formula>1</formula>
    </cfRule>
    <cfRule type="cellIs" dxfId="1586" priority="21327" operator="equal">
      <formula>3</formula>
    </cfRule>
    <cfRule type="cellIs" dxfId="1585" priority="21328" operator="equal">
      <formula>2</formula>
    </cfRule>
    <cfRule type="colorScale" priority="21329">
      <colorScale>
        <cfvo type="min" val="0"/>
        <cfvo type="percentile" val="50"/>
        <cfvo type="max" val="0"/>
        <color rgb="FFF8696B"/>
        <color rgb="FFFFEB84"/>
        <color rgb="FF63BE7B"/>
      </colorScale>
    </cfRule>
    <cfRule type="colorScale" priority="21330">
      <colorScale>
        <cfvo type="num" val="1"/>
        <cfvo type="num" val="2"/>
        <cfvo type="num" val="3"/>
        <color rgb="FFF8696B"/>
        <color rgb="FFFFEB84"/>
        <color rgb="FF63BE7B"/>
      </colorScale>
    </cfRule>
    <cfRule type="colorScale" priority="21331">
      <colorScale>
        <cfvo type="num" val="1"/>
        <cfvo type="num" val="2"/>
        <cfvo type="num" val="3"/>
        <color rgb="FFF8696B"/>
        <color rgb="FFFFEB84"/>
        <color rgb="FF63BE7B"/>
      </colorScale>
    </cfRule>
    <cfRule type="colorScale" priority="21332">
      <colorScale>
        <cfvo type="num" val="1"/>
        <cfvo type="num" val="2"/>
        <cfvo type="num" val="3"/>
        <color rgb="FFF8696B"/>
        <color rgb="FFFFEB84"/>
        <color rgb="FF63BE7B"/>
      </colorScale>
    </cfRule>
    <cfRule type="colorScale" priority="21333">
      <colorScale>
        <cfvo type="num" val="1"/>
        <cfvo type="num" val="2"/>
        <cfvo type="num" val="3"/>
        <color rgb="FFF8696B"/>
        <color rgb="FFFFEB84"/>
        <color rgb="FF63BE7B"/>
      </colorScale>
    </cfRule>
    <cfRule type="colorScale" priority="21334">
      <colorScale>
        <cfvo type="num" val="1"/>
        <cfvo type="num" val="2"/>
        <cfvo type="num" val="3"/>
        <color rgb="FFF8696B"/>
        <color rgb="FFFFEB84"/>
        <color rgb="FF63BE7B"/>
      </colorScale>
    </cfRule>
    <cfRule type="colorScale" priority="21335">
      <colorScale>
        <cfvo type="num" val="1"/>
        <cfvo type="num" val="2"/>
        <cfvo type="num" val="3"/>
        <color rgb="FFF8696B"/>
        <color rgb="FFFFEB84"/>
        <color rgb="FF63BE7B"/>
      </colorScale>
    </cfRule>
  </conditionalFormatting>
  <conditionalFormatting sqref="W361">
    <cfRule type="cellIs" dxfId="1584" priority="18263" operator="equal">
      <formula>5</formula>
    </cfRule>
    <cfRule type="cellIs" dxfId="1583" priority="18264" operator="equal">
      <formula>4</formula>
    </cfRule>
    <cfRule type="cellIs" dxfId="1582" priority="18265" operator="equal">
      <formula>1</formula>
    </cfRule>
    <cfRule type="cellIs" dxfId="1581" priority="18266" operator="equal">
      <formula>3</formula>
    </cfRule>
    <cfRule type="cellIs" dxfId="1580" priority="18267" operator="equal">
      <formula>2</formula>
    </cfRule>
    <cfRule type="colorScale" priority="18268">
      <colorScale>
        <cfvo type="min" val="0"/>
        <cfvo type="percentile" val="50"/>
        <cfvo type="max" val="0"/>
        <color rgb="FFF8696B"/>
        <color rgb="FFFFEB84"/>
        <color rgb="FF63BE7B"/>
      </colorScale>
    </cfRule>
    <cfRule type="colorScale" priority="18269">
      <colorScale>
        <cfvo type="num" val="1"/>
        <cfvo type="num" val="2"/>
        <cfvo type="num" val="3"/>
        <color rgb="FFF8696B"/>
        <color rgb="FFFFEB84"/>
        <color rgb="FF63BE7B"/>
      </colorScale>
    </cfRule>
    <cfRule type="colorScale" priority="18270">
      <colorScale>
        <cfvo type="num" val="1"/>
        <cfvo type="num" val="2"/>
        <cfvo type="num" val="3"/>
        <color rgb="FFF8696B"/>
        <color rgb="FFFFEB84"/>
        <color rgb="FF63BE7B"/>
      </colorScale>
    </cfRule>
  </conditionalFormatting>
  <conditionalFormatting sqref="W365">
    <cfRule type="cellIs" dxfId="1579" priority="18271" operator="equal">
      <formula>5</formula>
    </cfRule>
    <cfRule type="cellIs" dxfId="1578" priority="18272" operator="equal">
      <formula>4</formula>
    </cfRule>
    <cfRule type="cellIs" dxfId="1577" priority="18273" operator="equal">
      <formula>1</formula>
    </cfRule>
    <cfRule type="cellIs" dxfId="1576" priority="18274" operator="equal">
      <formula>3</formula>
    </cfRule>
    <cfRule type="cellIs" dxfId="1575" priority="18275" operator="equal">
      <formula>2</formula>
    </cfRule>
    <cfRule type="colorScale" priority="18276">
      <colorScale>
        <cfvo type="min" val="0"/>
        <cfvo type="percentile" val="50"/>
        <cfvo type="max" val="0"/>
        <color rgb="FFF8696B"/>
        <color rgb="FFFFEB84"/>
        <color rgb="FF63BE7B"/>
      </colorScale>
    </cfRule>
    <cfRule type="colorScale" priority="18277">
      <colorScale>
        <cfvo type="num" val="1"/>
        <cfvo type="num" val="2"/>
        <cfvo type="num" val="3"/>
        <color rgb="FFF8696B"/>
        <color rgb="FFFFEB84"/>
        <color rgb="FF63BE7B"/>
      </colorScale>
    </cfRule>
    <cfRule type="colorScale" priority="18278">
      <colorScale>
        <cfvo type="num" val="1"/>
        <cfvo type="num" val="2"/>
        <cfvo type="num" val="3"/>
        <color rgb="FFF8696B"/>
        <color rgb="FFFFEB84"/>
        <color rgb="FF63BE7B"/>
      </colorScale>
    </cfRule>
    <cfRule type="colorScale" priority="18279">
      <colorScale>
        <cfvo type="num" val="1"/>
        <cfvo type="num" val="2"/>
        <cfvo type="num" val="3"/>
        <color rgb="FFF8696B"/>
        <color rgb="FFFFEB84"/>
        <color rgb="FF63BE7B"/>
      </colorScale>
    </cfRule>
    <cfRule type="colorScale" priority="18280">
      <colorScale>
        <cfvo type="num" val="1"/>
        <cfvo type="num" val="2"/>
        <cfvo type="num" val="3"/>
        <color rgb="FFF8696B"/>
        <color rgb="FFFFEB84"/>
        <color rgb="FF63BE7B"/>
      </colorScale>
    </cfRule>
    <cfRule type="colorScale" priority="18281">
      <colorScale>
        <cfvo type="num" val="1"/>
        <cfvo type="num" val="2"/>
        <cfvo type="num" val="3"/>
        <color rgb="FFF8696B"/>
        <color rgb="FFFFEB84"/>
        <color rgb="FF63BE7B"/>
      </colorScale>
    </cfRule>
    <cfRule type="colorScale" priority="18282">
      <colorScale>
        <cfvo type="num" val="1"/>
        <cfvo type="num" val="2"/>
        <cfvo type="num" val="3"/>
        <color rgb="FFF8696B"/>
        <color rgb="FFFFEB84"/>
        <color rgb="FF63BE7B"/>
      </colorScale>
    </cfRule>
  </conditionalFormatting>
  <conditionalFormatting sqref="W393">
    <cfRule type="cellIs" dxfId="1574" priority="11642" operator="equal">
      <formula>5</formula>
    </cfRule>
    <cfRule type="cellIs" dxfId="1573" priority="11643" operator="equal">
      <formula>4</formula>
    </cfRule>
    <cfRule type="cellIs" dxfId="1572" priority="11644" operator="equal">
      <formula>1</formula>
    </cfRule>
    <cfRule type="cellIs" dxfId="1571" priority="11645" operator="equal">
      <formula>3</formula>
    </cfRule>
    <cfRule type="cellIs" dxfId="1570" priority="11646" operator="equal">
      <formula>2</formula>
    </cfRule>
    <cfRule type="colorScale" priority="11647">
      <colorScale>
        <cfvo type="min" val="0"/>
        <cfvo type="percentile" val="50"/>
        <cfvo type="max" val="0"/>
        <color rgb="FFF8696B"/>
        <color rgb="FFFFEB84"/>
        <color rgb="FF63BE7B"/>
      </colorScale>
    </cfRule>
    <cfRule type="colorScale" priority="11648">
      <colorScale>
        <cfvo type="num" val="1"/>
        <cfvo type="num" val="2"/>
        <cfvo type="num" val="3"/>
        <color rgb="FFF8696B"/>
        <color rgb="FFFFEB84"/>
        <color rgb="FF63BE7B"/>
      </colorScale>
    </cfRule>
    <cfRule type="colorScale" priority="11649">
      <colorScale>
        <cfvo type="num" val="1"/>
        <cfvo type="num" val="2"/>
        <cfvo type="num" val="3"/>
        <color rgb="FFF8696B"/>
        <color rgb="FFFFEB84"/>
        <color rgb="FF63BE7B"/>
      </colorScale>
    </cfRule>
  </conditionalFormatting>
  <conditionalFormatting sqref="W418">
    <cfRule type="cellIs" dxfId="1569" priority="10505" operator="equal">
      <formula>5</formula>
    </cfRule>
    <cfRule type="cellIs" dxfId="1568" priority="10506" operator="equal">
      <formula>4</formula>
    </cfRule>
    <cfRule type="cellIs" dxfId="1567" priority="10507" operator="equal">
      <formula>1</formula>
    </cfRule>
    <cfRule type="cellIs" dxfId="1566" priority="10508" operator="equal">
      <formula>3</formula>
    </cfRule>
    <cfRule type="cellIs" dxfId="1565" priority="10509" operator="equal">
      <formula>2</formula>
    </cfRule>
    <cfRule type="colorScale" priority="10510">
      <colorScale>
        <cfvo type="min" val="0"/>
        <cfvo type="percentile" val="50"/>
        <cfvo type="max" val="0"/>
        <color rgb="FFF8696B"/>
        <color rgb="FFFFEB84"/>
        <color rgb="FF63BE7B"/>
      </colorScale>
    </cfRule>
    <cfRule type="colorScale" priority="10511">
      <colorScale>
        <cfvo type="num" val="1"/>
        <cfvo type="num" val="2"/>
        <cfvo type="num" val="3"/>
        <color rgb="FFF8696B"/>
        <color rgb="FFFFEB84"/>
        <color rgb="FF63BE7B"/>
      </colorScale>
    </cfRule>
    <cfRule type="colorScale" priority="10512">
      <colorScale>
        <cfvo type="num" val="1"/>
        <cfvo type="num" val="2"/>
        <cfvo type="num" val="3"/>
        <color rgb="FFF8696B"/>
        <color rgb="FFFFEB84"/>
        <color rgb="FF63BE7B"/>
      </colorScale>
    </cfRule>
  </conditionalFormatting>
  <conditionalFormatting sqref="W422">
    <cfRule type="cellIs" dxfId="1564" priority="10513" operator="equal">
      <formula>5</formula>
    </cfRule>
    <cfRule type="cellIs" dxfId="1563" priority="10514" operator="equal">
      <formula>4</formula>
    </cfRule>
    <cfRule type="cellIs" dxfId="1562" priority="10515" operator="equal">
      <formula>1</formula>
    </cfRule>
    <cfRule type="cellIs" dxfId="1561" priority="10516" operator="equal">
      <formula>3</formula>
    </cfRule>
    <cfRule type="cellIs" dxfId="1560" priority="10517" operator="equal">
      <formula>2</formula>
    </cfRule>
    <cfRule type="colorScale" priority="10518">
      <colorScale>
        <cfvo type="min" val="0"/>
        <cfvo type="percentile" val="50"/>
        <cfvo type="max" val="0"/>
        <color rgb="FFF8696B"/>
        <color rgb="FFFFEB84"/>
        <color rgb="FF63BE7B"/>
      </colorScale>
    </cfRule>
    <cfRule type="colorScale" priority="10519">
      <colorScale>
        <cfvo type="num" val="1"/>
        <cfvo type="num" val="2"/>
        <cfvo type="num" val="3"/>
        <color rgb="FFF8696B"/>
        <color rgb="FFFFEB84"/>
        <color rgb="FF63BE7B"/>
      </colorScale>
    </cfRule>
    <cfRule type="colorScale" priority="10520">
      <colorScale>
        <cfvo type="num" val="1"/>
        <cfvo type="num" val="2"/>
        <cfvo type="num" val="3"/>
        <color rgb="FFF8696B"/>
        <color rgb="FFFFEB84"/>
        <color rgb="FF63BE7B"/>
      </colorScale>
    </cfRule>
    <cfRule type="colorScale" priority="10521">
      <colorScale>
        <cfvo type="num" val="1"/>
        <cfvo type="num" val="2"/>
        <cfvo type="num" val="3"/>
        <color rgb="FFF8696B"/>
        <color rgb="FFFFEB84"/>
        <color rgb="FF63BE7B"/>
      </colorScale>
    </cfRule>
    <cfRule type="colorScale" priority="10522">
      <colorScale>
        <cfvo type="num" val="1"/>
        <cfvo type="num" val="2"/>
        <cfvo type="num" val="3"/>
        <color rgb="FFF8696B"/>
        <color rgb="FFFFEB84"/>
        <color rgb="FF63BE7B"/>
      </colorScale>
    </cfRule>
    <cfRule type="colorScale" priority="10523">
      <colorScale>
        <cfvo type="num" val="1"/>
        <cfvo type="num" val="2"/>
        <cfvo type="num" val="3"/>
        <color rgb="FFF8696B"/>
        <color rgb="FFFFEB84"/>
        <color rgb="FF63BE7B"/>
      </colorScale>
    </cfRule>
    <cfRule type="colorScale" priority="10524">
      <colorScale>
        <cfvo type="num" val="1"/>
        <cfvo type="num" val="2"/>
        <cfvo type="num" val="3"/>
        <color rgb="FFF8696B"/>
        <color rgb="FFFFEB84"/>
        <color rgb="FF63BE7B"/>
      </colorScale>
    </cfRule>
  </conditionalFormatting>
  <conditionalFormatting sqref="W446">
    <cfRule type="cellIs" dxfId="1559" priority="9379" operator="equal">
      <formula>5</formula>
    </cfRule>
    <cfRule type="cellIs" dxfId="1558" priority="9380" operator="equal">
      <formula>4</formula>
    </cfRule>
    <cfRule type="cellIs" dxfId="1557" priority="9381" operator="equal">
      <formula>1</formula>
    </cfRule>
    <cfRule type="cellIs" dxfId="1556" priority="9382" operator="equal">
      <formula>3</formula>
    </cfRule>
    <cfRule type="cellIs" dxfId="1555" priority="9383" operator="equal">
      <formula>2</formula>
    </cfRule>
    <cfRule type="colorScale" priority="9384">
      <colorScale>
        <cfvo type="min" val="0"/>
        <cfvo type="percentile" val="50"/>
        <cfvo type="max" val="0"/>
        <color rgb="FFF8696B"/>
        <color rgb="FFFFEB84"/>
        <color rgb="FF63BE7B"/>
      </colorScale>
    </cfRule>
    <cfRule type="colorScale" priority="9385">
      <colorScale>
        <cfvo type="num" val="1"/>
        <cfvo type="num" val="2"/>
        <cfvo type="num" val="3"/>
        <color rgb="FFF8696B"/>
        <color rgb="FFFFEB84"/>
        <color rgb="FF63BE7B"/>
      </colorScale>
    </cfRule>
    <cfRule type="colorScale" priority="9386">
      <colorScale>
        <cfvo type="num" val="1"/>
        <cfvo type="num" val="2"/>
        <cfvo type="num" val="3"/>
        <color rgb="FFF8696B"/>
        <color rgb="FFFFEB84"/>
        <color rgb="FF63BE7B"/>
      </colorScale>
    </cfRule>
  </conditionalFormatting>
  <conditionalFormatting sqref="W450">
    <cfRule type="cellIs" dxfId="1554" priority="9387" operator="equal">
      <formula>5</formula>
    </cfRule>
    <cfRule type="cellIs" dxfId="1553" priority="9388" operator="equal">
      <formula>4</formula>
    </cfRule>
    <cfRule type="cellIs" dxfId="1552" priority="9389" operator="equal">
      <formula>1</formula>
    </cfRule>
    <cfRule type="cellIs" dxfId="1551" priority="9390" operator="equal">
      <formula>3</formula>
    </cfRule>
    <cfRule type="cellIs" dxfId="1550" priority="9391" operator="equal">
      <formula>2</formula>
    </cfRule>
    <cfRule type="colorScale" priority="9392">
      <colorScale>
        <cfvo type="min" val="0"/>
        <cfvo type="percentile" val="50"/>
        <cfvo type="max" val="0"/>
        <color rgb="FFF8696B"/>
        <color rgb="FFFFEB84"/>
        <color rgb="FF63BE7B"/>
      </colorScale>
    </cfRule>
    <cfRule type="colorScale" priority="9393">
      <colorScale>
        <cfvo type="num" val="1"/>
        <cfvo type="num" val="2"/>
        <cfvo type="num" val="3"/>
        <color rgb="FFF8696B"/>
        <color rgb="FFFFEB84"/>
        <color rgb="FF63BE7B"/>
      </colorScale>
    </cfRule>
    <cfRule type="colorScale" priority="9394">
      <colorScale>
        <cfvo type="num" val="1"/>
        <cfvo type="num" val="2"/>
        <cfvo type="num" val="3"/>
        <color rgb="FFF8696B"/>
        <color rgb="FFFFEB84"/>
        <color rgb="FF63BE7B"/>
      </colorScale>
    </cfRule>
    <cfRule type="colorScale" priority="9395">
      <colorScale>
        <cfvo type="num" val="1"/>
        <cfvo type="num" val="2"/>
        <cfvo type="num" val="3"/>
        <color rgb="FFF8696B"/>
        <color rgb="FFFFEB84"/>
        <color rgb="FF63BE7B"/>
      </colorScale>
    </cfRule>
    <cfRule type="colorScale" priority="9396">
      <colorScale>
        <cfvo type="num" val="1"/>
        <cfvo type="num" val="2"/>
        <cfvo type="num" val="3"/>
        <color rgb="FFF8696B"/>
        <color rgb="FFFFEB84"/>
        <color rgb="FF63BE7B"/>
      </colorScale>
    </cfRule>
    <cfRule type="colorScale" priority="9397">
      <colorScale>
        <cfvo type="num" val="1"/>
        <cfvo type="num" val="2"/>
        <cfvo type="num" val="3"/>
        <color rgb="FFF8696B"/>
        <color rgb="FFFFEB84"/>
        <color rgb="FF63BE7B"/>
      </colorScale>
    </cfRule>
    <cfRule type="colorScale" priority="9398">
      <colorScale>
        <cfvo type="num" val="1"/>
        <cfvo type="num" val="2"/>
        <cfvo type="num" val="3"/>
        <color rgb="FFF8696B"/>
        <color rgb="FFFFEB84"/>
        <color rgb="FF63BE7B"/>
      </colorScale>
    </cfRule>
  </conditionalFormatting>
  <conditionalFormatting sqref="W474">
    <cfRule type="cellIs" dxfId="1549" priority="8242" operator="equal">
      <formula>5</formula>
    </cfRule>
    <cfRule type="cellIs" dxfId="1548" priority="8243" operator="equal">
      <formula>4</formula>
    </cfRule>
    <cfRule type="cellIs" dxfId="1547" priority="8244" operator="equal">
      <formula>1</formula>
    </cfRule>
    <cfRule type="cellIs" dxfId="1546" priority="8245" operator="equal">
      <formula>3</formula>
    </cfRule>
    <cfRule type="cellIs" dxfId="1545" priority="8246" operator="equal">
      <formula>2</formula>
    </cfRule>
    <cfRule type="colorScale" priority="8247">
      <colorScale>
        <cfvo type="min" val="0"/>
        <cfvo type="percentile" val="50"/>
        <cfvo type="max" val="0"/>
        <color rgb="FFF8696B"/>
        <color rgb="FFFFEB84"/>
        <color rgb="FF63BE7B"/>
      </colorScale>
    </cfRule>
    <cfRule type="colorScale" priority="8248">
      <colorScale>
        <cfvo type="num" val="1"/>
        <cfvo type="num" val="2"/>
        <cfvo type="num" val="3"/>
        <color rgb="FFF8696B"/>
        <color rgb="FFFFEB84"/>
        <color rgb="FF63BE7B"/>
      </colorScale>
    </cfRule>
    <cfRule type="colorScale" priority="8249">
      <colorScale>
        <cfvo type="num" val="1"/>
        <cfvo type="num" val="2"/>
        <cfvo type="num" val="3"/>
        <color rgb="FFF8696B"/>
        <color rgb="FFFFEB84"/>
        <color rgb="FF63BE7B"/>
      </colorScale>
    </cfRule>
  </conditionalFormatting>
  <conditionalFormatting sqref="W478">
    <cfRule type="cellIs" dxfId="1544" priority="8250" operator="equal">
      <formula>5</formula>
    </cfRule>
    <cfRule type="cellIs" dxfId="1543" priority="8251" operator="equal">
      <formula>4</formula>
    </cfRule>
    <cfRule type="cellIs" dxfId="1542" priority="8252" operator="equal">
      <formula>1</formula>
    </cfRule>
    <cfRule type="cellIs" dxfId="1541" priority="8253" operator="equal">
      <formula>3</formula>
    </cfRule>
    <cfRule type="cellIs" dxfId="1540" priority="8254" operator="equal">
      <formula>2</formula>
    </cfRule>
    <cfRule type="colorScale" priority="8255">
      <colorScale>
        <cfvo type="min" val="0"/>
        <cfvo type="percentile" val="50"/>
        <cfvo type="max" val="0"/>
        <color rgb="FFF8696B"/>
        <color rgb="FFFFEB84"/>
        <color rgb="FF63BE7B"/>
      </colorScale>
    </cfRule>
    <cfRule type="colorScale" priority="8256">
      <colorScale>
        <cfvo type="num" val="1"/>
        <cfvo type="num" val="2"/>
        <cfvo type="num" val="3"/>
        <color rgb="FFF8696B"/>
        <color rgb="FFFFEB84"/>
        <color rgb="FF63BE7B"/>
      </colorScale>
    </cfRule>
    <cfRule type="colorScale" priority="8257">
      <colorScale>
        <cfvo type="num" val="1"/>
        <cfvo type="num" val="2"/>
        <cfvo type="num" val="3"/>
        <color rgb="FFF8696B"/>
        <color rgb="FFFFEB84"/>
        <color rgb="FF63BE7B"/>
      </colorScale>
    </cfRule>
    <cfRule type="colorScale" priority="8258">
      <colorScale>
        <cfvo type="num" val="1"/>
        <cfvo type="num" val="2"/>
        <cfvo type="num" val="3"/>
        <color rgb="FFF8696B"/>
        <color rgb="FFFFEB84"/>
        <color rgb="FF63BE7B"/>
      </colorScale>
    </cfRule>
    <cfRule type="colorScale" priority="8259">
      <colorScale>
        <cfvo type="num" val="1"/>
        <cfvo type="num" val="2"/>
        <cfvo type="num" val="3"/>
        <color rgb="FFF8696B"/>
        <color rgb="FFFFEB84"/>
        <color rgb="FF63BE7B"/>
      </colorScale>
    </cfRule>
    <cfRule type="colorScale" priority="8260">
      <colorScale>
        <cfvo type="num" val="1"/>
        <cfvo type="num" val="2"/>
        <cfvo type="num" val="3"/>
        <color rgb="FFF8696B"/>
        <color rgb="FFFFEB84"/>
        <color rgb="FF63BE7B"/>
      </colorScale>
    </cfRule>
    <cfRule type="colorScale" priority="8261">
      <colorScale>
        <cfvo type="num" val="1"/>
        <cfvo type="num" val="2"/>
        <cfvo type="num" val="3"/>
        <color rgb="FFF8696B"/>
        <color rgb="FFFFEB84"/>
        <color rgb="FF63BE7B"/>
      </colorScale>
    </cfRule>
  </conditionalFormatting>
  <conditionalFormatting sqref="W501">
    <cfRule type="cellIs" dxfId="1539" priority="7127" operator="equal">
      <formula>5</formula>
    </cfRule>
    <cfRule type="cellIs" dxfId="1538" priority="7128" operator="equal">
      <formula>4</formula>
    </cfRule>
    <cfRule type="cellIs" dxfId="1537" priority="7129" operator="equal">
      <formula>1</formula>
    </cfRule>
    <cfRule type="cellIs" dxfId="1536" priority="7130" operator="equal">
      <formula>3</formula>
    </cfRule>
    <cfRule type="cellIs" dxfId="1535" priority="7131" operator="equal">
      <formula>2</formula>
    </cfRule>
    <cfRule type="colorScale" priority="7132">
      <colorScale>
        <cfvo type="min" val="0"/>
        <cfvo type="percentile" val="50"/>
        <cfvo type="max" val="0"/>
        <color rgb="FFF8696B"/>
        <color rgb="FFFFEB84"/>
        <color rgb="FF63BE7B"/>
      </colorScale>
    </cfRule>
    <cfRule type="colorScale" priority="7133">
      <colorScale>
        <cfvo type="num" val="1"/>
        <cfvo type="num" val="2"/>
        <cfvo type="num" val="3"/>
        <color rgb="FFF8696B"/>
        <color rgb="FFFFEB84"/>
        <color rgb="FF63BE7B"/>
      </colorScale>
    </cfRule>
    <cfRule type="colorScale" priority="7134">
      <colorScale>
        <cfvo type="num" val="1"/>
        <cfvo type="num" val="2"/>
        <cfvo type="num" val="3"/>
        <color rgb="FFF8696B"/>
        <color rgb="FFFFEB84"/>
        <color rgb="FF63BE7B"/>
      </colorScale>
    </cfRule>
  </conditionalFormatting>
  <conditionalFormatting sqref="W505">
    <cfRule type="cellIs" dxfId="1534" priority="7135" operator="equal">
      <formula>5</formula>
    </cfRule>
    <cfRule type="cellIs" dxfId="1533" priority="7136" operator="equal">
      <formula>4</formula>
    </cfRule>
    <cfRule type="cellIs" dxfId="1532" priority="7137" operator="equal">
      <formula>1</formula>
    </cfRule>
    <cfRule type="cellIs" dxfId="1531" priority="7138" operator="equal">
      <formula>3</formula>
    </cfRule>
    <cfRule type="cellIs" dxfId="1530" priority="7139" operator="equal">
      <formula>2</formula>
    </cfRule>
    <cfRule type="colorScale" priority="7140">
      <colorScale>
        <cfvo type="min" val="0"/>
        <cfvo type="percentile" val="50"/>
        <cfvo type="max" val="0"/>
        <color rgb="FFF8696B"/>
        <color rgb="FFFFEB84"/>
        <color rgb="FF63BE7B"/>
      </colorScale>
    </cfRule>
    <cfRule type="colorScale" priority="7141">
      <colorScale>
        <cfvo type="num" val="1"/>
        <cfvo type="num" val="2"/>
        <cfvo type="num" val="3"/>
        <color rgb="FFF8696B"/>
        <color rgb="FFFFEB84"/>
        <color rgb="FF63BE7B"/>
      </colorScale>
    </cfRule>
    <cfRule type="colorScale" priority="7142">
      <colorScale>
        <cfvo type="num" val="1"/>
        <cfvo type="num" val="2"/>
        <cfvo type="num" val="3"/>
        <color rgb="FFF8696B"/>
        <color rgb="FFFFEB84"/>
        <color rgb="FF63BE7B"/>
      </colorScale>
    </cfRule>
    <cfRule type="colorScale" priority="7143">
      <colorScale>
        <cfvo type="num" val="1"/>
        <cfvo type="num" val="2"/>
        <cfvo type="num" val="3"/>
        <color rgb="FFF8696B"/>
        <color rgb="FFFFEB84"/>
        <color rgb="FF63BE7B"/>
      </colorScale>
    </cfRule>
    <cfRule type="colorScale" priority="7144">
      <colorScale>
        <cfvo type="num" val="1"/>
        <cfvo type="num" val="2"/>
        <cfvo type="num" val="3"/>
        <color rgb="FFF8696B"/>
        <color rgb="FFFFEB84"/>
        <color rgb="FF63BE7B"/>
      </colorScale>
    </cfRule>
    <cfRule type="colorScale" priority="7145">
      <colorScale>
        <cfvo type="num" val="1"/>
        <cfvo type="num" val="2"/>
        <cfvo type="num" val="3"/>
        <color rgb="FFF8696B"/>
        <color rgb="FFFFEB84"/>
        <color rgb="FF63BE7B"/>
      </colorScale>
    </cfRule>
    <cfRule type="colorScale" priority="7146">
      <colorScale>
        <cfvo type="num" val="1"/>
        <cfvo type="num" val="2"/>
        <cfvo type="num" val="3"/>
        <color rgb="FFF8696B"/>
        <color rgb="FFFFEB84"/>
        <color rgb="FF63BE7B"/>
      </colorScale>
    </cfRule>
  </conditionalFormatting>
  <conditionalFormatting sqref="Y38">
    <cfRule type="cellIs" dxfId="1529" priority="34964" operator="equal">
      <formula>5</formula>
    </cfRule>
    <cfRule type="cellIs" dxfId="1528" priority="34965" operator="equal">
      <formula>4</formula>
    </cfRule>
    <cfRule type="cellIs" dxfId="1527" priority="34966" operator="equal">
      <formula>1</formula>
    </cfRule>
    <cfRule type="colorScale" priority="34969">
      <colorScale>
        <cfvo type="num" val="1"/>
        <cfvo type="num" val="2"/>
        <cfvo type="num" val="3"/>
        <color rgb="FFF8696B"/>
        <color rgb="FFFFEB84"/>
        <color rgb="FF63BE7B"/>
      </colorScale>
    </cfRule>
    <cfRule type="colorScale" priority="34970">
      <colorScale>
        <cfvo type="num" val="1"/>
        <cfvo type="num" val="2"/>
        <cfvo type="num" val="3"/>
        <color rgb="FFF8696B"/>
        <color rgb="FFFFEB84"/>
        <color rgb="FF63BE7B"/>
      </colorScale>
    </cfRule>
    <cfRule type="colorScale" priority="34971">
      <colorScale>
        <cfvo type="min" val="0"/>
        <cfvo type="percentile" val="50"/>
        <cfvo type="max" val="0"/>
        <color rgb="FFF8696B"/>
        <color rgb="FFFFEB84"/>
        <color rgb="FF63BE7B"/>
      </colorScale>
    </cfRule>
  </conditionalFormatting>
  <conditionalFormatting sqref="Y44">
    <cfRule type="cellIs" dxfId="1526" priority="34956" operator="equal">
      <formula>5</formula>
    </cfRule>
    <cfRule type="cellIs" dxfId="1525" priority="34957" operator="equal">
      <formula>4</formula>
    </cfRule>
    <cfRule type="cellIs" dxfId="1524" priority="34958" operator="equal">
      <formula>1</formula>
    </cfRule>
    <cfRule type="colorScale" priority="34961">
      <colorScale>
        <cfvo type="num" val="1"/>
        <cfvo type="num" val="2"/>
        <cfvo type="num" val="3"/>
        <color rgb="FFF8696B"/>
        <color rgb="FFFFEB84"/>
        <color rgb="FF63BE7B"/>
      </colorScale>
    </cfRule>
    <cfRule type="colorScale" priority="34962">
      <colorScale>
        <cfvo type="num" val="1"/>
        <cfvo type="num" val="2"/>
        <cfvo type="num" val="3"/>
        <color rgb="FFF8696B"/>
        <color rgb="FFFFEB84"/>
        <color rgb="FF63BE7B"/>
      </colorScale>
    </cfRule>
    <cfRule type="colorScale" priority="34963">
      <colorScale>
        <cfvo type="min" val="0"/>
        <cfvo type="percentile" val="50"/>
        <cfvo type="max" val="0"/>
        <color rgb="FFF8696B"/>
        <color rgb="FFFFEB84"/>
        <color rgb="FF63BE7B"/>
      </colorScale>
    </cfRule>
  </conditionalFormatting>
  <conditionalFormatting sqref="AE412 AE440 AE468 AE495 AE387 AE294 AE232 AE327 AE355 AE268 AE367 AE5 AE194">
    <cfRule type="colorScale" priority="15437">
      <colorScale>
        <cfvo type="num" val="1"/>
        <cfvo type="num" val="2"/>
        <cfvo type="num" val="3"/>
        <color rgb="FFF8696B"/>
        <color rgb="FFFFEB84"/>
        <color rgb="FF63BE7B"/>
      </colorScale>
    </cfRule>
    <cfRule type="colorScale" priority="15438">
      <colorScale>
        <cfvo type="num" val="1"/>
        <cfvo type="num" val="2"/>
        <cfvo type="num" val="3"/>
        <color rgb="FFF8696B"/>
        <color rgb="FFFFEB84"/>
        <color rgb="FF63BE7B"/>
      </colorScale>
    </cfRule>
    <cfRule type="colorScale" priority="15439">
      <colorScale>
        <cfvo type="num" val="1"/>
        <cfvo type="num" val="2"/>
        <cfvo type="num" val="3"/>
        <color rgb="FFF8696B"/>
        <color rgb="FFFFEB84"/>
        <color rgb="FF63BE7B"/>
      </colorScale>
    </cfRule>
    <cfRule type="colorScale" priority="15440">
      <colorScale>
        <cfvo type="num" val="1"/>
        <cfvo type="num" val="2"/>
        <cfvo type="num" val="3"/>
        <color rgb="FFF8696B"/>
        <color rgb="FFFFEB84"/>
        <color rgb="FF63BE7B"/>
      </colorScale>
    </cfRule>
    <cfRule type="colorScale" priority="15441">
      <colorScale>
        <cfvo type="num" val="1"/>
        <cfvo type="num" val="2"/>
        <cfvo type="num" val="3"/>
        <color rgb="FFF8696B"/>
        <color rgb="FFFFEB84"/>
        <color rgb="FF63BE7B"/>
      </colorScale>
    </cfRule>
    <cfRule type="colorScale" priority="15442">
      <colorScale>
        <cfvo type="num" val="1"/>
        <cfvo type="num" val="2"/>
        <cfvo type="num" val="3"/>
        <color rgb="FFF8696B"/>
        <color rgb="FFFFEB84"/>
        <color rgb="FF63BE7B"/>
      </colorScale>
    </cfRule>
    <cfRule type="colorScale" priority="15443">
      <colorScale>
        <cfvo type="num" val="1"/>
        <cfvo type="num" val="2"/>
        <cfvo type="num" val="3"/>
        <color rgb="FFF8696B"/>
        <color rgb="FFFFEB84"/>
        <color rgb="FF63BE7B"/>
      </colorScale>
    </cfRule>
    <cfRule type="colorScale" priority="15444">
      <colorScale>
        <cfvo type="num" val="1"/>
        <cfvo type="num" val="2"/>
        <cfvo type="num" val="3"/>
        <color rgb="FFF8696B"/>
        <color rgb="FFFFEB84"/>
        <color rgb="FF63BE7B"/>
      </colorScale>
    </cfRule>
    <cfRule type="colorScale" priority="15445">
      <colorScale>
        <cfvo type="num" val="1"/>
        <cfvo type="num" val="2"/>
        <cfvo type="num" val="3"/>
        <color rgb="FFF8696B"/>
        <color rgb="FFFFEB84"/>
        <color rgb="FF63BE7B"/>
      </colorScale>
    </cfRule>
    <cfRule type="colorScale" priority="15446">
      <colorScale>
        <cfvo type="num" val="1"/>
        <cfvo type="num" val="2"/>
        <cfvo type="num" val="3"/>
        <color rgb="FFF8696B"/>
        <color rgb="FFFFEB84"/>
        <color rgb="FF63BE7B"/>
      </colorScale>
    </cfRule>
    <cfRule type="colorScale" priority="15447">
      <colorScale>
        <cfvo type="num" val="1"/>
        <cfvo type="num" val="2"/>
        <cfvo type="num" val="3"/>
        <color rgb="FFF8696B"/>
        <color rgb="FFFFEB84"/>
        <color rgb="FF63BE7B"/>
      </colorScale>
    </cfRule>
    <cfRule type="colorScale" priority="15448">
      <colorScale>
        <cfvo type="num" val="1"/>
        <cfvo type="num" val="2"/>
        <cfvo type="num" val="3"/>
        <color rgb="FFF8696B"/>
        <color rgb="FFFFEB84"/>
        <color rgb="FF63BE7B"/>
      </colorScale>
    </cfRule>
    <cfRule type="colorScale" priority="19396">
      <colorScale>
        <cfvo type="num" val="1"/>
        <cfvo type="num" val="2"/>
        <cfvo type="num" val="3"/>
        <color rgb="FFF8696B"/>
        <color rgb="FFFFEB84"/>
        <color rgb="FF63BE7B"/>
      </colorScale>
    </cfRule>
    <cfRule type="colorScale" priority="19397">
      <colorScale>
        <cfvo type="num" val="1"/>
        <cfvo type="num" val="2"/>
        <cfvo type="num" val="3"/>
        <color rgb="FFF8696B"/>
        <color rgb="FFFFEB84"/>
        <color rgb="FF63BE7B"/>
      </colorScale>
    </cfRule>
    <cfRule type="colorScale" priority="19398">
      <colorScale>
        <cfvo type="num" val="1"/>
        <cfvo type="num" val="2"/>
        <cfvo type="num" val="3"/>
        <color rgb="FFF8696B"/>
        <color rgb="FFFFEB84"/>
        <color rgb="FF63BE7B"/>
      </colorScale>
    </cfRule>
    <cfRule type="colorScale" priority="19399">
      <colorScale>
        <cfvo type="num" val="1"/>
        <cfvo type="num" val="2"/>
        <cfvo type="num" val="3"/>
        <color rgb="FFF8696B"/>
        <color rgb="FFFFEB84"/>
        <color rgb="FF63BE7B"/>
      </colorScale>
    </cfRule>
    <cfRule type="colorScale" priority="19400">
      <colorScale>
        <cfvo type="num" val="1"/>
        <cfvo type="num" val="2"/>
        <cfvo type="num" val="3"/>
        <color rgb="FFF8696B"/>
        <color rgb="FFFFEB84"/>
        <color rgb="FF63BE7B"/>
      </colorScale>
    </cfRule>
    <cfRule type="colorScale" priority="19401">
      <colorScale>
        <cfvo type="num" val="1"/>
        <cfvo type="num" val="2"/>
        <cfvo type="num" val="3"/>
        <color rgb="FFF8696B"/>
        <color rgb="FFFFEB84"/>
        <color rgb="FF63BE7B"/>
      </colorScale>
    </cfRule>
    <cfRule type="colorScale" priority="19402">
      <colorScale>
        <cfvo type="num" val="1"/>
        <cfvo type="num" val="2"/>
        <cfvo type="num" val="3"/>
        <color rgb="FFF8696B"/>
        <color rgb="FFFFEB84"/>
        <color rgb="FF63BE7B"/>
      </colorScale>
    </cfRule>
    <cfRule type="colorScale" priority="19403">
      <colorScale>
        <cfvo type="num" val="1"/>
        <cfvo type="num" val="2"/>
        <cfvo type="num" val="3"/>
        <color rgb="FFF8696B"/>
        <color rgb="FFFFEB84"/>
        <color rgb="FF63BE7B"/>
      </colorScale>
    </cfRule>
    <cfRule type="colorScale" priority="19404">
      <colorScale>
        <cfvo type="num" val="1"/>
        <cfvo type="num" val="2"/>
        <cfvo type="num" val="3"/>
        <color rgb="FFF8696B"/>
        <color rgb="FFFFEB84"/>
        <color rgb="FF63BE7B"/>
      </colorScale>
    </cfRule>
  </conditionalFormatting>
  <conditionalFormatting sqref="Y228">
    <cfRule type="cellIs" dxfId="1523" priority="6947" operator="equal">
      <formula>5</formula>
    </cfRule>
    <cfRule type="cellIs" dxfId="1522" priority="6948" operator="equal">
      <formula>4</formula>
    </cfRule>
    <cfRule type="cellIs" dxfId="1521" priority="6949" operator="equal">
      <formula>1</formula>
    </cfRule>
    <cfRule type="cellIs" dxfId="1520" priority="6950" operator="equal">
      <formula>3</formula>
    </cfRule>
    <cfRule type="cellIs" dxfId="1519" priority="6951" operator="equal">
      <formula>2</formula>
    </cfRule>
    <cfRule type="colorScale" priority="6952">
      <colorScale>
        <cfvo type="min" val="0"/>
        <cfvo type="percentile" val="50"/>
        <cfvo type="max" val="0"/>
        <color rgb="FFF8696B"/>
        <color rgb="FFFFEB84"/>
        <color rgb="FF63BE7B"/>
      </colorScale>
    </cfRule>
    <cfRule type="colorScale" priority="6953">
      <colorScale>
        <cfvo type="num" val="1"/>
        <cfvo type="num" val="2"/>
        <cfvo type="num" val="3"/>
        <color rgb="FFF8696B"/>
        <color rgb="FFFFEB84"/>
        <color rgb="FF63BE7B"/>
      </colorScale>
    </cfRule>
    <cfRule type="colorScale" priority="6954">
      <colorScale>
        <cfvo type="num" val="1"/>
        <cfvo type="num" val="2"/>
        <cfvo type="num" val="3"/>
        <color rgb="FFF8696B"/>
        <color rgb="FFFFEB84"/>
        <color rgb="FF63BE7B"/>
      </colorScale>
    </cfRule>
  </conditionalFormatting>
  <conditionalFormatting sqref="Z38">
    <cfRule type="cellIs" dxfId="1518" priority="34980" operator="equal">
      <formula>5</formula>
    </cfRule>
    <cfRule type="cellIs" dxfId="1517" priority="34981" operator="equal">
      <formula>4</formula>
    </cfRule>
    <cfRule type="cellIs" dxfId="1516" priority="34982" operator="equal">
      <formula>1</formula>
    </cfRule>
    <cfRule type="colorScale" priority="34985">
      <colorScale>
        <cfvo type="num" val="1"/>
        <cfvo type="num" val="2"/>
        <cfvo type="num" val="3"/>
        <color rgb="FFF8696B"/>
        <color rgb="FFFFEB84"/>
        <color rgb="FF63BE7B"/>
      </colorScale>
    </cfRule>
    <cfRule type="colorScale" priority="34986">
      <colorScale>
        <cfvo type="num" val="1"/>
        <cfvo type="num" val="2"/>
        <cfvo type="num" val="3"/>
        <color rgb="FFF8696B"/>
        <color rgb="FFFFEB84"/>
        <color rgb="FF63BE7B"/>
      </colorScale>
    </cfRule>
    <cfRule type="colorScale" priority="34987">
      <colorScale>
        <cfvo type="min" val="0"/>
        <cfvo type="percentile" val="50"/>
        <cfvo type="max" val="0"/>
        <color rgb="FFF8696B"/>
        <color rgb="FFFFEB84"/>
        <color rgb="FF63BE7B"/>
      </colorScale>
    </cfRule>
  </conditionalFormatting>
  <conditionalFormatting sqref="Z44">
    <cfRule type="cellIs" dxfId="1515" priority="34972" operator="equal">
      <formula>5</formula>
    </cfRule>
    <cfRule type="cellIs" dxfId="1514" priority="34973" operator="equal">
      <formula>4</formula>
    </cfRule>
    <cfRule type="cellIs" dxfId="1513" priority="34974" operator="equal">
      <formula>1</formula>
    </cfRule>
    <cfRule type="colorScale" priority="34977">
      <colorScale>
        <cfvo type="num" val="1"/>
        <cfvo type="num" val="2"/>
        <cfvo type="num" val="3"/>
        <color rgb="FFF8696B"/>
        <color rgb="FFFFEB84"/>
        <color rgb="FF63BE7B"/>
      </colorScale>
    </cfRule>
    <cfRule type="colorScale" priority="34978">
      <colorScale>
        <cfvo type="num" val="1"/>
        <cfvo type="num" val="2"/>
        <cfvo type="num" val="3"/>
        <color rgb="FFF8696B"/>
        <color rgb="FFFFEB84"/>
        <color rgb="FF63BE7B"/>
      </colorScale>
    </cfRule>
    <cfRule type="colorScale" priority="34979">
      <colorScale>
        <cfvo type="min" val="0"/>
        <cfvo type="percentile" val="50"/>
        <cfvo type="max" val="0"/>
        <color rgb="FFF8696B"/>
        <color rgb="FFFFEB84"/>
        <color rgb="FF63BE7B"/>
      </colorScale>
    </cfRule>
  </conditionalFormatting>
  <conditionalFormatting sqref="Z72">
    <cfRule type="cellIs" dxfId="1512" priority="35076" operator="equal">
      <formula>5</formula>
    </cfRule>
    <cfRule type="cellIs" dxfId="1511" priority="35077" operator="equal">
      <formula>4</formula>
    </cfRule>
    <cfRule type="cellIs" dxfId="1510" priority="35078" operator="equal">
      <formula>1</formula>
    </cfRule>
    <cfRule type="cellIs" dxfId="1509" priority="35079" operator="equal">
      <formula>3</formula>
    </cfRule>
    <cfRule type="cellIs" dxfId="1508" priority="35080" operator="equal">
      <formula>2</formula>
    </cfRule>
    <cfRule type="colorScale" priority="35081">
      <colorScale>
        <cfvo type="num" val="1"/>
        <cfvo type="num" val="2"/>
        <cfvo type="num" val="3"/>
        <color rgb="FFF8696B"/>
        <color rgb="FFFFEB84"/>
        <color rgb="FF63BE7B"/>
      </colorScale>
    </cfRule>
    <cfRule type="colorScale" priority="35082">
      <colorScale>
        <cfvo type="num" val="1"/>
        <cfvo type="num" val="2"/>
        <cfvo type="num" val="3"/>
        <color rgb="FFF8696B"/>
        <color rgb="FFFFEB84"/>
        <color rgb="FF63BE7B"/>
      </colorScale>
    </cfRule>
    <cfRule type="colorScale" priority="35083">
      <colorScale>
        <cfvo type="min" val="0"/>
        <cfvo type="percentile" val="50"/>
        <cfvo type="max" val="0"/>
        <color rgb="FFF8696B"/>
        <color rgb="FFFFEB84"/>
        <color rgb="FF63BE7B"/>
      </colorScale>
    </cfRule>
  </conditionalFormatting>
  <conditionalFormatting sqref="AA7">
    <cfRule type="cellIs" dxfId="1507" priority="34988" operator="equal">
      <formula>5</formula>
    </cfRule>
    <cfRule type="cellIs" dxfId="1506" priority="34989" operator="equal">
      <formula>4</formula>
    </cfRule>
    <cfRule type="cellIs" dxfId="1505" priority="34990" operator="equal">
      <formula>1</formula>
    </cfRule>
    <cfRule type="cellIs" dxfId="1504" priority="34991" operator="equal">
      <formula>3</formula>
    </cfRule>
    <cfRule type="cellIs" dxfId="1503" priority="34992" operator="equal">
      <formula>2</formula>
    </cfRule>
    <cfRule type="colorScale" priority="34993">
      <colorScale>
        <cfvo type="min" val="0"/>
        <cfvo type="percentile" val="50"/>
        <cfvo type="max" val="0"/>
        <color rgb="FFF8696B"/>
        <color rgb="FFFFEB84"/>
        <color rgb="FF63BE7B"/>
      </colorScale>
    </cfRule>
    <cfRule type="colorScale" priority="34994">
      <colorScale>
        <cfvo type="num" val="1"/>
        <cfvo type="num" val="2"/>
        <cfvo type="num" val="3"/>
        <color rgb="FFF8696B"/>
        <color rgb="FFFFEB84"/>
        <color rgb="FF63BE7B"/>
      </colorScale>
    </cfRule>
    <cfRule type="colorScale" priority="34995">
      <colorScale>
        <cfvo type="num" val="1"/>
        <cfvo type="num" val="2"/>
        <cfvo type="num" val="3"/>
        <color rgb="FFF8696B"/>
        <color rgb="FFFFEB84"/>
        <color rgb="FF63BE7B"/>
      </colorScale>
    </cfRule>
    <cfRule type="colorScale" priority="34996">
      <colorScale>
        <cfvo type="num" val="1"/>
        <cfvo type="num" val="2"/>
        <cfvo type="num" val="3"/>
        <color rgb="FFF8696B"/>
        <color rgb="FFFFEB84"/>
        <color rgb="FF63BE7B"/>
      </colorScale>
    </cfRule>
    <cfRule type="colorScale" priority="34997">
      <colorScale>
        <cfvo type="num" val="1"/>
        <cfvo type="num" val="2"/>
        <cfvo type="num" val="3"/>
        <color rgb="FFF8696B"/>
        <color rgb="FFFFEB84"/>
        <color rgb="FF63BE7B"/>
      </colorScale>
    </cfRule>
    <cfRule type="colorScale" priority="34998">
      <colorScale>
        <cfvo type="num" val="1"/>
        <cfvo type="num" val="2"/>
        <cfvo type="num" val="3"/>
        <color rgb="FFF8696B"/>
        <color rgb="FFFFEB84"/>
        <color rgb="FF63BE7B"/>
      </colorScale>
    </cfRule>
    <cfRule type="colorScale" priority="34999">
      <colorScale>
        <cfvo type="num" val="1"/>
        <cfvo type="num" val="2"/>
        <cfvo type="num" val="3"/>
        <color rgb="FFF8696B"/>
        <color rgb="FFFFEB84"/>
        <color rgb="FF63BE7B"/>
      </colorScale>
    </cfRule>
  </conditionalFormatting>
  <conditionalFormatting sqref="AA64">
    <cfRule type="cellIs" dxfId="1502" priority="35068" operator="equal">
      <formula>5</formula>
    </cfRule>
    <cfRule type="cellIs" dxfId="1501" priority="35069" operator="equal">
      <formula>4</formula>
    </cfRule>
    <cfRule type="cellIs" dxfId="1500" priority="35070" operator="equal">
      <formula>1</formula>
    </cfRule>
    <cfRule type="colorScale" priority="35073">
      <colorScale>
        <cfvo type="num" val="1"/>
        <cfvo type="num" val="2"/>
        <cfvo type="num" val="3"/>
        <color rgb="FFF8696B"/>
        <color rgb="FFFFEB84"/>
        <color rgb="FF63BE7B"/>
      </colorScale>
    </cfRule>
    <cfRule type="colorScale" priority="35074">
      <colorScale>
        <cfvo type="num" val="1"/>
        <cfvo type="num" val="2"/>
        <cfvo type="num" val="3"/>
        <color rgb="FFF8696B"/>
        <color rgb="FFFFEB84"/>
        <color rgb="FF63BE7B"/>
      </colorScale>
    </cfRule>
    <cfRule type="colorScale" priority="35075">
      <colorScale>
        <cfvo type="min" val="0"/>
        <cfvo type="percentile" val="50"/>
        <cfvo type="max" val="0"/>
        <color rgb="FFF8696B"/>
        <color rgb="FFFFEB84"/>
        <color rgb="FF63BE7B"/>
      </colorScale>
    </cfRule>
  </conditionalFormatting>
  <conditionalFormatting sqref="AA66">
    <cfRule type="cellIs" dxfId="1499" priority="35060" operator="equal">
      <formula>5</formula>
    </cfRule>
    <cfRule type="cellIs" dxfId="1498" priority="35061" operator="equal">
      <formula>4</formula>
    </cfRule>
    <cfRule type="cellIs" dxfId="1497" priority="35062" operator="equal">
      <formula>1</formula>
    </cfRule>
    <cfRule type="cellIs" dxfId="1496" priority="35063" operator="equal">
      <formula>3</formula>
    </cfRule>
    <cfRule type="cellIs" dxfId="1495" priority="35064" operator="equal">
      <formula>2</formula>
    </cfRule>
    <cfRule type="colorScale" priority="35065">
      <colorScale>
        <cfvo type="num" val="1"/>
        <cfvo type="num" val="2"/>
        <cfvo type="num" val="3"/>
        <color rgb="FFF8696B"/>
        <color rgb="FFFFEB84"/>
        <color rgb="FF63BE7B"/>
      </colorScale>
    </cfRule>
    <cfRule type="colorScale" priority="35066">
      <colorScale>
        <cfvo type="num" val="1"/>
        <cfvo type="num" val="2"/>
        <cfvo type="num" val="3"/>
        <color rgb="FFF8696B"/>
        <color rgb="FFFFEB84"/>
        <color rgb="FF63BE7B"/>
      </colorScale>
    </cfRule>
    <cfRule type="colorScale" priority="35067">
      <colorScale>
        <cfvo type="min" val="0"/>
        <cfvo type="percentile" val="50"/>
        <cfvo type="max" val="0"/>
        <color rgb="FFF8696B"/>
        <color rgb="FFFFEB84"/>
        <color rgb="FF63BE7B"/>
      </colorScale>
    </cfRule>
  </conditionalFormatting>
  <conditionalFormatting sqref="AB64">
    <cfRule type="cellIs" dxfId="1494" priority="35028" operator="equal">
      <formula>5</formula>
    </cfRule>
    <cfRule type="cellIs" dxfId="1493" priority="35029" operator="equal">
      <formula>4</formula>
    </cfRule>
    <cfRule type="cellIs" dxfId="1492" priority="35030" operator="equal">
      <formula>1</formula>
    </cfRule>
    <cfRule type="colorScale" priority="35033">
      <colorScale>
        <cfvo type="num" val="1"/>
        <cfvo type="num" val="2"/>
        <cfvo type="num" val="3"/>
        <color rgb="FFF8696B"/>
        <color rgb="FFFFEB84"/>
        <color rgb="FF63BE7B"/>
      </colorScale>
    </cfRule>
    <cfRule type="colorScale" priority="35034">
      <colorScale>
        <cfvo type="num" val="1"/>
        <cfvo type="num" val="2"/>
        <cfvo type="num" val="3"/>
        <color rgb="FFF8696B"/>
        <color rgb="FFFFEB84"/>
        <color rgb="FF63BE7B"/>
      </colorScale>
    </cfRule>
    <cfRule type="colorScale" priority="35035">
      <colorScale>
        <cfvo type="min" val="0"/>
        <cfvo type="percentile" val="50"/>
        <cfvo type="max" val="0"/>
        <color rgb="FFF8696B"/>
        <color rgb="FFFFEB84"/>
        <color rgb="FF63BE7B"/>
      </colorScale>
    </cfRule>
  </conditionalFormatting>
  <conditionalFormatting sqref="AB68">
    <cfRule type="cellIs" dxfId="1491" priority="35044" operator="equal">
      <formula>5</formula>
    </cfRule>
    <cfRule type="cellIs" dxfId="1490" priority="35045" operator="equal">
      <formula>4</formula>
    </cfRule>
    <cfRule type="cellIs" dxfId="1489" priority="35046" operator="equal">
      <formula>1</formula>
    </cfRule>
    <cfRule type="cellIs" dxfId="1488" priority="35047" operator="equal">
      <formula>3</formula>
    </cfRule>
    <cfRule type="cellIs" dxfId="1487" priority="35048" operator="equal">
      <formula>2</formula>
    </cfRule>
    <cfRule type="colorScale" priority="35049">
      <colorScale>
        <cfvo type="num" val="1"/>
        <cfvo type="num" val="2"/>
        <cfvo type="num" val="3"/>
        <color rgb="FFF8696B"/>
        <color rgb="FFFFEB84"/>
        <color rgb="FF63BE7B"/>
      </colorScale>
    </cfRule>
    <cfRule type="colorScale" priority="35050">
      <colorScale>
        <cfvo type="num" val="1"/>
        <cfvo type="num" val="2"/>
        <cfvo type="num" val="3"/>
        <color rgb="FFF8696B"/>
        <color rgb="FFFFEB84"/>
        <color rgb="FF63BE7B"/>
      </colorScale>
    </cfRule>
    <cfRule type="colorScale" priority="35051">
      <colorScale>
        <cfvo type="min" val="0"/>
        <cfvo type="percentile" val="50"/>
        <cfvo type="max" val="0"/>
        <color rgb="FFF8696B"/>
        <color rgb="FFFFEB84"/>
        <color rgb="FF63BE7B"/>
      </colorScale>
    </cfRule>
  </conditionalFormatting>
  <conditionalFormatting sqref="AC36">
    <cfRule type="cellIs" dxfId="1486" priority="23565" operator="equal">
      <formula>5</formula>
    </cfRule>
    <cfRule type="cellIs" dxfId="1485" priority="23566" operator="equal">
      <formula>4</formula>
    </cfRule>
    <cfRule type="cellIs" dxfId="1484" priority="23567" operator="equal">
      <formula>1</formula>
    </cfRule>
    <cfRule type="colorScale" priority="23570">
      <colorScale>
        <cfvo type="num" val="1"/>
        <cfvo type="num" val="2"/>
        <cfvo type="num" val="3"/>
        <color rgb="FFF8696B"/>
        <color rgb="FFFFEB84"/>
        <color rgb="FF63BE7B"/>
      </colorScale>
    </cfRule>
    <cfRule type="colorScale" priority="23571">
      <colorScale>
        <cfvo type="num" val="1"/>
        <cfvo type="num" val="2"/>
        <cfvo type="num" val="3"/>
        <color rgb="FFF8696B"/>
        <color rgb="FFFFEB84"/>
        <color rgb="FF63BE7B"/>
      </colorScale>
    </cfRule>
    <cfRule type="colorScale" priority="23572">
      <colorScale>
        <cfvo type="min" val="0"/>
        <cfvo type="percentile" val="50"/>
        <cfvo type="max" val="0"/>
        <color rgb="FFF8696B"/>
        <color rgb="FFFFEB84"/>
        <color rgb="FF63BE7B"/>
      </colorScale>
    </cfRule>
  </conditionalFormatting>
  <conditionalFormatting sqref="AC38">
    <cfRule type="cellIs" dxfId="1483" priority="23607" operator="equal">
      <formula>5</formula>
    </cfRule>
    <cfRule type="cellIs" dxfId="1482" priority="23608" operator="equal">
      <formula>4</formula>
    </cfRule>
    <cfRule type="cellIs" dxfId="1481" priority="23609" operator="equal">
      <formula>1</formula>
    </cfRule>
    <cfRule type="colorScale" priority="23612">
      <colorScale>
        <cfvo type="num" val="1"/>
        <cfvo type="num" val="2"/>
        <cfvo type="num" val="3"/>
        <color rgb="FFF8696B"/>
        <color rgb="FFFFEB84"/>
        <color rgb="FF63BE7B"/>
      </colorScale>
    </cfRule>
    <cfRule type="colorScale" priority="23613">
      <colorScale>
        <cfvo type="num" val="1"/>
        <cfvo type="num" val="2"/>
        <cfvo type="num" val="3"/>
        <color rgb="FFF8696B"/>
        <color rgb="FFFFEB84"/>
        <color rgb="FF63BE7B"/>
      </colorScale>
    </cfRule>
    <cfRule type="colorScale" priority="23614">
      <colorScale>
        <cfvo type="min" val="0"/>
        <cfvo type="percentile" val="50"/>
        <cfvo type="max" val="0"/>
        <color rgb="FFF8696B"/>
        <color rgb="FFFFEB84"/>
        <color rgb="FF63BE7B"/>
      </colorScale>
    </cfRule>
  </conditionalFormatting>
  <conditionalFormatting sqref="AC66">
    <cfRule type="cellIs" dxfId="1480" priority="35020" operator="equal">
      <formula>5</formula>
    </cfRule>
    <cfRule type="cellIs" dxfId="1479" priority="35021" operator="equal">
      <formula>4</formula>
    </cfRule>
    <cfRule type="cellIs" dxfId="1478" priority="35022" operator="equal">
      <formula>1</formula>
    </cfRule>
    <cfRule type="cellIs" dxfId="1477" priority="35023" operator="equal">
      <formula>3</formula>
    </cfRule>
    <cfRule type="cellIs" dxfId="1476" priority="35024" operator="equal">
      <formula>2</formula>
    </cfRule>
    <cfRule type="colorScale" priority="35025">
      <colorScale>
        <cfvo type="num" val="1"/>
        <cfvo type="num" val="2"/>
        <cfvo type="num" val="3"/>
        <color rgb="FFF8696B"/>
        <color rgb="FFFFEB84"/>
        <color rgb="FF63BE7B"/>
      </colorScale>
    </cfRule>
    <cfRule type="colorScale" priority="35026">
      <colorScale>
        <cfvo type="num" val="1"/>
        <cfvo type="num" val="2"/>
        <cfvo type="num" val="3"/>
        <color rgb="FFF8696B"/>
        <color rgb="FFFFEB84"/>
        <color rgb="FF63BE7B"/>
      </colorScale>
    </cfRule>
    <cfRule type="colorScale" priority="35027">
      <colorScale>
        <cfvo type="min" val="0"/>
        <cfvo type="percentile" val="50"/>
        <cfvo type="max" val="0"/>
        <color rgb="FFF8696B"/>
        <color rgb="FFFFEB84"/>
        <color rgb="FF63BE7B"/>
      </colorScale>
    </cfRule>
  </conditionalFormatting>
  <conditionalFormatting sqref="AC72">
    <cfRule type="cellIs" dxfId="1475" priority="35036" operator="equal">
      <formula>5</formula>
    </cfRule>
    <cfRule type="cellIs" dxfId="1474" priority="35037" operator="equal">
      <formula>4</formula>
    </cfRule>
    <cfRule type="cellIs" dxfId="1473" priority="35038" operator="equal">
      <formula>1</formula>
    </cfRule>
    <cfRule type="cellIs" dxfId="1472" priority="35039" operator="equal">
      <formula>3</formula>
    </cfRule>
    <cfRule type="cellIs" dxfId="1471" priority="35040" operator="equal">
      <formula>2</formula>
    </cfRule>
    <cfRule type="colorScale" priority="35041">
      <colorScale>
        <cfvo type="num" val="1"/>
        <cfvo type="num" val="2"/>
        <cfvo type="num" val="3"/>
        <color rgb="FFF8696B"/>
        <color rgb="FFFFEB84"/>
        <color rgb="FF63BE7B"/>
      </colorScale>
    </cfRule>
    <cfRule type="colorScale" priority="35042">
      <colorScale>
        <cfvo type="num" val="1"/>
        <cfvo type="num" val="2"/>
        <cfvo type="num" val="3"/>
        <color rgb="FFF8696B"/>
        <color rgb="FFFFEB84"/>
        <color rgb="FF63BE7B"/>
      </colorScale>
    </cfRule>
    <cfRule type="colorScale" priority="35043">
      <colorScale>
        <cfvo type="min" val="0"/>
        <cfvo type="percentile" val="50"/>
        <cfvo type="max" val="0"/>
        <color rgb="FFF8696B"/>
        <color rgb="FFFFEB84"/>
        <color rgb="FF63BE7B"/>
      </colorScale>
    </cfRule>
  </conditionalFormatting>
  <conditionalFormatting sqref="AC91:AE91 AC122:AE122 AC155:AE155 AE34 AE62">
    <cfRule type="colorScale" priority="37779">
      <colorScale>
        <cfvo type="num" val="1"/>
        <cfvo type="num" val="2"/>
        <cfvo type="num" val="3"/>
        <color rgb="FFF8696B"/>
        <color rgb="FFFFEB84"/>
        <color rgb="FF63BE7B"/>
      </colorScale>
    </cfRule>
    <cfRule type="colorScale" priority="37780">
      <colorScale>
        <cfvo type="num" val="1"/>
        <cfvo type="num" val="2"/>
        <cfvo type="num" val="3"/>
        <color rgb="FFF8696B"/>
        <color rgb="FFFFEB84"/>
        <color rgb="FF63BE7B"/>
      </colorScale>
    </cfRule>
    <cfRule type="colorScale" priority="37784">
      <colorScale>
        <cfvo type="num" val="1"/>
        <cfvo type="num" val="2"/>
        <cfvo type="num" val="3"/>
        <color rgb="FFF8696B"/>
        <color rgb="FFFFEB84"/>
        <color rgb="FF63BE7B"/>
      </colorScale>
    </cfRule>
    <cfRule type="colorScale" priority="37785">
      <colorScale>
        <cfvo type="num" val="1"/>
        <cfvo type="num" val="2"/>
        <cfvo type="num" val="3"/>
        <color rgb="FFF8696B"/>
        <color rgb="FFFFEB84"/>
        <color rgb="FF63BE7B"/>
      </colorScale>
    </cfRule>
    <cfRule type="colorScale" priority="37787">
      <colorScale>
        <cfvo type="num" val="1"/>
        <cfvo type="num" val="2"/>
        <cfvo type="num" val="3"/>
        <color rgb="FFF8696B"/>
        <color rgb="FFFFEB84"/>
        <color rgb="FF63BE7B"/>
      </colorScale>
    </cfRule>
    <cfRule type="colorScale" priority="37788">
      <colorScale>
        <cfvo type="num" val="1"/>
        <cfvo type="num" val="2"/>
        <cfvo type="num" val="3"/>
        <color rgb="FFF8696B"/>
        <color rgb="FFFFEB84"/>
        <color rgb="FF63BE7B"/>
      </colorScale>
    </cfRule>
    <cfRule type="colorScale" priority="37791">
      <colorScale>
        <cfvo type="num" val="1"/>
        <cfvo type="num" val="2"/>
        <cfvo type="num" val="3"/>
        <color rgb="FFF8696B"/>
        <color rgb="FFFFEB84"/>
        <color rgb="FF63BE7B"/>
      </colorScale>
    </cfRule>
    <cfRule type="colorScale" priority="37792">
      <colorScale>
        <cfvo type="num" val="1"/>
        <cfvo type="num" val="2"/>
        <cfvo type="num" val="3"/>
        <color rgb="FFF8696B"/>
        <color rgb="FFFFEB84"/>
        <color rgb="FF63BE7B"/>
      </colorScale>
    </cfRule>
    <cfRule type="colorScale" priority="37793">
      <colorScale>
        <cfvo type="num" val="1"/>
        <cfvo type="num" val="2"/>
        <cfvo type="num" val="3"/>
        <color rgb="FFF8696B"/>
        <color rgb="FFFFEB84"/>
        <color rgb="FF63BE7B"/>
      </colorScale>
    </cfRule>
    <cfRule type="colorScale" priority="37794">
      <colorScale>
        <cfvo type="num" val="1"/>
        <cfvo type="num" val="2"/>
        <cfvo type="num" val="3"/>
        <color rgb="FFF8696B"/>
        <color rgb="FFFFEB84"/>
        <color rgb="FF63BE7B"/>
      </colorScale>
    </cfRule>
    <cfRule type="colorScale" priority="37795">
      <colorScale>
        <cfvo type="num" val="1"/>
        <cfvo type="num" val="2"/>
        <cfvo type="num" val="3"/>
        <color rgb="FFF8696B"/>
        <color rgb="FFFFEB84"/>
        <color rgb="FF63BE7B"/>
      </colorScale>
    </cfRule>
    <cfRule type="colorScale" priority="38420">
      <colorScale>
        <cfvo type="num" val="1"/>
        <cfvo type="num" val="2"/>
        <cfvo type="num" val="3"/>
        <color rgb="FFF8696B"/>
        <color rgb="FFFFEB84"/>
        <color rgb="FF63BE7B"/>
      </colorScale>
    </cfRule>
    <cfRule type="colorScale" priority="38421">
      <colorScale>
        <cfvo type="num" val="1"/>
        <cfvo type="num" val="2"/>
        <cfvo type="num" val="3"/>
        <color rgb="FFF8696B"/>
        <color rgb="FFFFEB84"/>
        <color rgb="FF63BE7B"/>
      </colorScale>
    </cfRule>
    <cfRule type="colorScale" priority="38422">
      <colorScale>
        <cfvo type="num" val="1"/>
        <cfvo type="num" val="2"/>
        <cfvo type="num" val="3"/>
        <color rgb="FFF8696B"/>
        <color rgb="FFFFEB84"/>
        <color rgb="FF63BE7B"/>
      </colorScale>
    </cfRule>
    <cfRule type="colorScale" priority="38423">
      <colorScale>
        <cfvo type="num" val="1"/>
        <cfvo type="num" val="2"/>
        <cfvo type="num" val="3"/>
        <color rgb="FFF8696B"/>
        <color rgb="FFFFEB84"/>
        <color rgb="FF63BE7B"/>
      </colorScale>
    </cfRule>
    <cfRule type="colorScale" priority="38424">
      <colorScale>
        <cfvo type="num" val="1"/>
        <cfvo type="num" val="2"/>
        <cfvo type="num" val="3"/>
        <color rgb="FFF8696B"/>
        <color rgb="FFFFEB84"/>
        <color rgb="FF63BE7B"/>
      </colorScale>
    </cfRule>
    <cfRule type="colorScale" priority="38425">
      <colorScale>
        <cfvo type="num" val="1"/>
        <cfvo type="num" val="2"/>
        <cfvo type="num" val="3"/>
        <color rgb="FFF8696B"/>
        <color rgb="FFFFEB84"/>
        <color rgb="FF63BE7B"/>
      </colorScale>
    </cfRule>
    <cfRule type="colorScale" priority="38468">
      <colorScale>
        <cfvo type="num" val="1"/>
        <cfvo type="num" val="2"/>
        <cfvo type="num" val="3"/>
        <color rgb="FFF8696B"/>
        <color rgb="FFFFEB84"/>
        <color rgb="FF63BE7B"/>
      </colorScale>
    </cfRule>
    <cfRule type="colorScale" priority="38517">
      <colorScale>
        <cfvo type="num" val="1"/>
        <cfvo type="num" val="2"/>
        <cfvo type="num" val="3"/>
        <color rgb="FFF8696B"/>
        <color rgb="FFFFEB84"/>
        <color rgb="FF63BE7B"/>
      </colorScale>
    </cfRule>
    <cfRule type="colorScale" priority="38519">
      <colorScale>
        <cfvo type="num" val="1"/>
        <cfvo type="num" val="2"/>
        <cfvo type="num" val="3"/>
        <color rgb="FFF8696B"/>
        <color rgb="FFFFEB84"/>
        <color rgb="FF63BE7B"/>
      </colorScale>
    </cfRule>
    <cfRule type="colorScale" priority="38592">
      <colorScale>
        <cfvo type="num" val="1"/>
        <cfvo type="num" val="2"/>
        <cfvo type="num" val="3"/>
        <color rgb="FFF8696B"/>
        <color rgb="FFFFEB84"/>
        <color rgb="FF63BE7B"/>
      </colorScale>
    </cfRule>
    <cfRule type="colorScale" priority="38604">
      <colorScale>
        <cfvo type="num" val="1"/>
        <cfvo type="num" val="2"/>
        <cfvo type="num" val="3"/>
        <color rgb="FFF8696B"/>
        <color rgb="FFFFEB84"/>
        <color rgb="FF63BE7B"/>
      </colorScale>
    </cfRule>
    <cfRule type="colorScale" priority="38606">
      <colorScale>
        <cfvo type="num" val="1"/>
        <cfvo type="num" val="2"/>
        <cfvo type="num" val="3"/>
        <color rgb="FFF8696B"/>
        <color rgb="FFFFEB84"/>
        <color rgb="FF63BE7B"/>
      </colorScale>
    </cfRule>
  </conditionalFormatting>
  <conditionalFormatting sqref="AD36">
    <cfRule type="cellIs" dxfId="1470" priority="23591" operator="equal">
      <formula>5</formula>
    </cfRule>
    <cfRule type="cellIs" dxfId="1469" priority="23592" operator="equal">
      <formula>4</formula>
    </cfRule>
    <cfRule type="cellIs" dxfId="1468" priority="23593" operator="equal">
      <formula>1</formula>
    </cfRule>
    <cfRule type="colorScale" priority="23596">
      <colorScale>
        <cfvo type="num" val="1"/>
        <cfvo type="num" val="2"/>
        <cfvo type="num" val="3"/>
        <color rgb="FFF8696B"/>
        <color rgb="FFFFEB84"/>
        <color rgb="FF63BE7B"/>
      </colorScale>
    </cfRule>
    <cfRule type="colorScale" priority="23597">
      <colorScale>
        <cfvo type="num" val="1"/>
        <cfvo type="num" val="2"/>
        <cfvo type="num" val="3"/>
        <color rgb="FFF8696B"/>
        <color rgb="FFFFEB84"/>
        <color rgb="FF63BE7B"/>
      </colorScale>
    </cfRule>
    <cfRule type="colorScale" priority="23598">
      <colorScale>
        <cfvo type="min" val="0"/>
        <cfvo type="percentile" val="50"/>
        <cfvo type="max" val="0"/>
        <color rgb="FFF8696B"/>
        <color rgb="FFFFEB84"/>
        <color rgb="FF63BE7B"/>
      </colorScale>
    </cfRule>
  </conditionalFormatting>
  <conditionalFormatting sqref="AD38">
    <cfRule type="cellIs" dxfId="1467" priority="23557" operator="equal">
      <formula>5</formula>
    </cfRule>
    <cfRule type="cellIs" dxfId="1466" priority="23558" operator="equal">
      <formula>4</formula>
    </cfRule>
    <cfRule type="cellIs" dxfId="1465" priority="23559" operator="equal">
      <formula>1</formula>
    </cfRule>
    <cfRule type="colorScale" priority="23562">
      <colorScale>
        <cfvo type="num" val="1"/>
        <cfvo type="num" val="2"/>
        <cfvo type="num" val="3"/>
        <color rgb="FFF8696B"/>
        <color rgb="FFFFEB84"/>
        <color rgb="FF63BE7B"/>
      </colorScale>
    </cfRule>
    <cfRule type="colorScale" priority="23563">
      <colorScale>
        <cfvo type="num" val="1"/>
        <cfvo type="num" val="2"/>
        <cfvo type="num" val="3"/>
        <color rgb="FFF8696B"/>
        <color rgb="FFFFEB84"/>
        <color rgb="FF63BE7B"/>
      </colorScale>
    </cfRule>
    <cfRule type="colorScale" priority="23564">
      <colorScale>
        <cfvo type="min" val="0"/>
        <cfvo type="percentile" val="50"/>
        <cfvo type="max" val="0"/>
        <color rgb="FFF8696B"/>
        <color rgb="FFFFEB84"/>
        <color rgb="FF63BE7B"/>
      </colorScale>
    </cfRule>
  </conditionalFormatting>
  <conditionalFormatting sqref="AD40">
    <cfRule type="cellIs" dxfId="1464" priority="23583" operator="equal">
      <formula>5</formula>
    </cfRule>
    <cfRule type="cellIs" dxfId="1463" priority="23584" operator="equal">
      <formula>4</formula>
    </cfRule>
    <cfRule type="cellIs" dxfId="1462" priority="23585" operator="equal">
      <formula>1</formula>
    </cfRule>
    <cfRule type="colorScale" priority="23588">
      <colorScale>
        <cfvo type="num" val="1"/>
        <cfvo type="num" val="2"/>
        <cfvo type="num" val="3"/>
        <color rgb="FFF8696B"/>
        <color rgb="FFFFEB84"/>
        <color rgb="FF63BE7B"/>
      </colorScale>
    </cfRule>
    <cfRule type="colorScale" priority="23589">
      <colorScale>
        <cfvo type="num" val="1"/>
        <cfvo type="num" val="2"/>
        <cfvo type="num" val="3"/>
        <color rgb="FFF8696B"/>
        <color rgb="FFFFEB84"/>
        <color rgb="FF63BE7B"/>
      </colorScale>
    </cfRule>
    <cfRule type="colorScale" priority="23590">
      <colorScale>
        <cfvo type="min" val="0"/>
        <cfvo type="percentile" val="50"/>
        <cfvo type="max" val="0"/>
        <color rgb="FFF8696B"/>
        <color rgb="FFFFEB84"/>
        <color rgb="FF63BE7B"/>
      </colorScale>
    </cfRule>
  </conditionalFormatting>
  <conditionalFormatting sqref="AD42">
    <cfRule type="cellIs" dxfId="1461" priority="23573" operator="equal">
      <formula>5</formula>
    </cfRule>
    <cfRule type="cellIs" dxfId="1460" priority="23574" operator="equal">
      <formula>4</formula>
    </cfRule>
    <cfRule type="cellIs" dxfId="1459" priority="23575" operator="equal">
      <formula>1</formula>
    </cfRule>
    <cfRule type="cellIs" dxfId="1458" priority="23576" operator="equal">
      <formula>3</formula>
    </cfRule>
    <cfRule type="cellIs" dxfId="1457" priority="23577" operator="equal">
      <formula>2</formula>
    </cfRule>
    <cfRule type="colorScale" priority="23578">
      <colorScale>
        <cfvo type="num" val="1"/>
        <cfvo type="num" val="2"/>
        <cfvo type="num" val="3"/>
        <color rgb="FFF8696B"/>
        <color rgb="FFFFEB84"/>
        <color rgb="FF63BE7B"/>
      </colorScale>
    </cfRule>
    <cfRule type="colorScale" priority="23579">
      <colorScale>
        <cfvo type="num" val="1"/>
        <cfvo type="num" val="2"/>
        <cfvo type="num" val="3"/>
        <color rgb="FFF8696B"/>
        <color rgb="FFFFEB84"/>
        <color rgb="FF63BE7B"/>
      </colorScale>
    </cfRule>
    <cfRule type="colorScale" priority="23580">
      <colorScale>
        <cfvo type="min" val="0"/>
        <cfvo type="percentile" val="50"/>
        <cfvo type="max" val="0"/>
        <color rgb="FFF8696B"/>
        <color rgb="FFFFEB84"/>
        <color rgb="FF63BE7B"/>
      </colorScale>
    </cfRule>
  </conditionalFormatting>
  <conditionalFormatting sqref="AD68">
    <cfRule type="cellIs" dxfId="1456" priority="35012" operator="equal">
      <formula>5</formula>
    </cfRule>
    <cfRule type="cellIs" dxfId="1455" priority="35013" operator="equal">
      <formula>4</formula>
    </cfRule>
    <cfRule type="cellIs" dxfId="1454" priority="35014" operator="equal">
      <formula>1</formula>
    </cfRule>
    <cfRule type="colorScale" priority="35017">
      <colorScale>
        <cfvo type="num" val="1"/>
        <cfvo type="num" val="2"/>
        <cfvo type="num" val="3"/>
        <color rgb="FFF8696B"/>
        <color rgb="FFFFEB84"/>
        <color rgb="FF63BE7B"/>
      </colorScale>
    </cfRule>
    <cfRule type="colorScale" priority="35018">
      <colorScale>
        <cfvo type="num" val="1"/>
        <cfvo type="num" val="2"/>
        <cfvo type="num" val="3"/>
        <color rgb="FFF8696B"/>
        <color rgb="FFFFEB84"/>
        <color rgb="FF63BE7B"/>
      </colorScale>
    </cfRule>
    <cfRule type="colorScale" priority="35019">
      <colorScale>
        <cfvo type="min" val="0"/>
        <cfvo type="percentile" val="50"/>
        <cfvo type="max" val="0"/>
        <color rgb="FFF8696B"/>
        <color rgb="FFFFEB84"/>
        <color rgb="FF63BE7B"/>
      </colorScale>
    </cfRule>
  </conditionalFormatting>
  <conditionalFormatting sqref="AE7">
    <cfRule type="cellIs" dxfId="1453" priority="35000" operator="equal">
      <formula>5</formula>
    </cfRule>
    <cfRule type="cellIs" dxfId="1452" priority="35001" operator="equal">
      <formula>4</formula>
    </cfRule>
    <cfRule type="cellIs" dxfId="1451" priority="35002" operator="equal">
      <formula>1</formula>
    </cfRule>
    <cfRule type="colorScale" priority="35005">
      <colorScale>
        <cfvo type="min" val="0"/>
        <cfvo type="percentile" val="50"/>
        <cfvo type="max" val="0"/>
        <color rgb="FFF8696B"/>
        <color rgb="FFFFEB84"/>
        <color rgb="FF63BE7B"/>
      </colorScale>
    </cfRule>
    <cfRule type="colorScale" priority="35006">
      <colorScale>
        <cfvo type="num" val="1"/>
        <cfvo type="num" val="2"/>
        <cfvo type="num" val="3"/>
        <color rgb="FFF8696B"/>
        <color rgb="FFFFEB84"/>
        <color rgb="FF63BE7B"/>
      </colorScale>
    </cfRule>
    <cfRule type="colorScale" priority="35007">
      <colorScale>
        <cfvo type="num" val="1"/>
        <cfvo type="num" val="2"/>
        <cfvo type="num" val="3"/>
        <color rgb="FFF8696B"/>
        <color rgb="FFFFEB84"/>
        <color rgb="FF63BE7B"/>
      </colorScale>
    </cfRule>
    <cfRule type="colorScale" priority="35008">
      <colorScale>
        <cfvo type="num" val="1"/>
        <cfvo type="num" val="2"/>
        <cfvo type="num" val="3"/>
        <color rgb="FFF8696B"/>
        <color rgb="FFFFEB84"/>
        <color rgb="FF63BE7B"/>
      </colorScale>
    </cfRule>
    <cfRule type="colorScale" priority="35009">
      <colorScale>
        <cfvo type="num" val="1"/>
        <cfvo type="num" val="2"/>
        <cfvo type="num" val="3"/>
        <color rgb="FFF8696B"/>
        <color rgb="FFFFEB84"/>
        <color rgb="FF63BE7B"/>
      </colorScale>
    </cfRule>
    <cfRule type="colorScale" priority="35010">
      <colorScale>
        <cfvo type="num" val="1"/>
        <cfvo type="num" val="2"/>
        <cfvo type="num" val="3"/>
        <color rgb="FFF8696B"/>
        <color rgb="FFFFEB84"/>
        <color rgb="FF63BE7B"/>
      </colorScale>
    </cfRule>
    <cfRule type="colorScale" priority="35011">
      <colorScale>
        <cfvo type="num" val="1"/>
        <cfvo type="num" val="2"/>
        <cfvo type="num" val="3"/>
        <color rgb="FFF8696B"/>
        <color rgb="FFFFEB84"/>
        <color rgb="FF63BE7B"/>
      </colorScale>
    </cfRule>
  </conditionalFormatting>
  <conditionalFormatting sqref="AE11">
    <cfRule type="cellIs" dxfId="1450" priority="39961" operator="equal">
      <formula>5</formula>
    </cfRule>
    <cfRule type="cellIs" dxfId="1449" priority="39962" operator="equal">
      <formula>4</formula>
    </cfRule>
    <cfRule type="cellIs" dxfId="1448" priority="39963" operator="equal">
      <formula>1</formula>
    </cfRule>
    <cfRule type="cellIs" dxfId="1447" priority="39964" operator="equal">
      <formula>3</formula>
    </cfRule>
    <cfRule type="cellIs" dxfId="1446" priority="39965" operator="equal">
      <formula>2</formula>
    </cfRule>
    <cfRule type="colorScale" priority="39966">
      <colorScale>
        <cfvo type="min" val="0"/>
        <cfvo type="percentile" val="50"/>
        <cfvo type="max" val="0"/>
        <color rgb="FFF8696B"/>
        <color rgb="FFFFEB84"/>
        <color rgb="FF63BE7B"/>
      </colorScale>
    </cfRule>
    <cfRule type="colorScale" priority="39967">
      <colorScale>
        <cfvo type="num" val="1"/>
        <cfvo type="num" val="2"/>
        <cfvo type="num" val="3"/>
        <color rgb="FFF8696B"/>
        <color rgb="FFFFEB84"/>
        <color rgb="FF63BE7B"/>
      </colorScale>
    </cfRule>
    <cfRule type="colorScale" priority="39968">
      <colorScale>
        <cfvo type="num" val="1"/>
        <cfvo type="num" val="2"/>
        <cfvo type="num" val="3"/>
        <color rgb="FFF8696B"/>
        <color rgb="FFFFEB84"/>
        <color rgb="FF63BE7B"/>
      </colorScale>
    </cfRule>
    <cfRule type="colorScale" priority="39969">
      <colorScale>
        <cfvo type="num" val="1"/>
        <cfvo type="num" val="2"/>
        <cfvo type="num" val="3"/>
        <color rgb="FFF8696B"/>
        <color rgb="FFFFEB84"/>
        <color rgb="FF63BE7B"/>
      </colorScale>
    </cfRule>
    <cfRule type="colorScale" priority="39970">
      <colorScale>
        <cfvo type="num" val="1"/>
        <cfvo type="num" val="2"/>
        <cfvo type="num" val="3"/>
        <color rgb="FFF8696B"/>
        <color rgb="FFFFEB84"/>
        <color rgb="FF63BE7B"/>
      </colorScale>
    </cfRule>
    <cfRule type="colorScale" priority="39971">
      <colorScale>
        <cfvo type="num" val="1"/>
        <cfvo type="num" val="2"/>
        <cfvo type="num" val="3"/>
        <color rgb="FFF8696B"/>
        <color rgb="FFFFEB84"/>
        <color rgb="FF63BE7B"/>
      </colorScale>
    </cfRule>
    <cfRule type="colorScale" priority="39972">
      <colorScale>
        <cfvo type="num" val="1"/>
        <cfvo type="num" val="2"/>
        <cfvo type="num" val="3"/>
        <color rgb="FFF8696B"/>
        <color rgb="FFFFEB84"/>
        <color rgb="FF63BE7B"/>
      </colorScale>
    </cfRule>
  </conditionalFormatting>
  <conditionalFormatting sqref="AE15">
    <cfRule type="cellIs" dxfId="1445" priority="39953" operator="equal">
      <formula>5</formula>
    </cfRule>
    <cfRule type="cellIs" dxfId="1444" priority="39954" operator="equal">
      <formula>4</formula>
    </cfRule>
    <cfRule type="cellIs" dxfId="1443" priority="39955" operator="equal">
      <formula>1</formula>
    </cfRule>
    <cfRule type="cellIs" dxfId="1442" priority="39956" operator="equal">
      <formula>3</formula>
    </cfRule>
    <cfRule type="cellIs" dxfId="1441" priority="39957" operator="equal">
      <formula>2</formula>
    </cfRule>
    <cfRule type="colorScale" priority="39958">
      <colorScale>
        <cfvo type="min" val="0"/>
        <cfvo type="percentile" val="50"/>
        <cfvo type="max" val="0"/>
        <color rgb="FFF8696B"/>
        <color rgb="FFFFEB84"/>
        <color rgb="FF63BE7B"/>
      </colorScale>
    </cfRule>
    <cfRule type="colorScale" priority="39959">
      <colorScale>
        <cfvo type="num" val="1"/>
        <cfvo type="num" val="2"/>
        <cfvo type="num" val="3"/>
        <color rgb="FFF8696B"/>
        <color rgb="FFFFEB84"/>
        <color rgb="FF63BE7B"/>
      </colorScale>
    </cfRule>
    <cfRule type="colorScale" priority="39960">
      <colorScale>
        <cfvo type="num" val="1"/>
        <cfvo type="num" val="2"/>
        <cfvo type="num" val="3"/>
        <color rgb="FFF8696B"/>
        <color rgb="FFFFEB84"/>
        <color rgb="FF63BE7B"/>
      </colorScale>
    </cfRule>
  </conditionalFormatting>
  <conditionalFormatting sqref="AE40">
    <cfRule type="cellIs" dxfId="1440" priority="36586" operator="equal">
      <formula>5</formula>
    </cfRule>
    <cfRule type="cellIs" dxfId="1439" priority="36587" operator="equal">
      <formula>4</formula>
    </cfRule>
    <cfRule type="cellIs" dxfId="1438" priority="36588" operator="equal">
      <formula>1</formula>
    </cfRule>
    <cfRule type="colorScale" priority="36591">
      <colorScale>
        <cfvo type="min" val="0"/>
        <cfvo type="percentile" val="50"/>
        <cfvo type="max" val="0"/>
        <color rgb="FFF8696B"/>
        <color rgb="FFFFEB84"/>
        <color rgb="FF63BE7B"/>
      </colorScale>
    </cfRule>
    <cfRule type="colorScale" priority="36592">
      <colorScale>
        <cfvo type="num" val="1"/>
        <cfvo type="num" val="2"/>
        <cfvo type="num" val="3"/>
        <color rgb="FFF8696B"/>
        <color rgb="FFFFEB84"/>
        <color rgb="FF63BE7B"/>
      </colorScale>
    </cfRule>
    <cfRule type="colorScale" priority="36593">
      <colorScale>
        <cfvo type="num" val="1"/>
        <cfvo type="num" val="2"/>
        <cfvo type="num" val="3"/>
        <color rgb="FFF8696B"/>
        <color rgb="FFFFEB84"/>
        <color rgb="FF63BE7B"/>
      </colorScale>
    </cfRule>
    <cfRule type="colorScale" priority="36594">
      <colorScale>
        <cfvo type="num" val="1"/>
        <cfvo type="num" val="2"/>
        <cfvo type="num" val="3"/>
        <color rgb="FFF8696B"/>
        <color rgb="FFFFEB84"/>
        <color rgb="FF63BE7B"/>
      </colorScale>
    </cfRule>
    <cfRule type="colorScale" priority="36595">
      <colorScale>
        <cfvo type="num" val="1"/>
        <cfvo type="num" val="2"/>
        <cfvo type="num" val="3"/>
        <color rgb="FFF8696B"/>
        <color rgb="FFFFEB84"/>
        <color rgb="FF63BE7B"/>
      </colorScale>
    </cfRule>
    <cfRule type="colorScale" priority="36596">
      <colorScale>
        <cfvo type="num" val="1"/>
        <cfvo type="num" val="2"/>
        <cfvo type="num" val="3"/>
        <color rgb="FFF8696B"/>
        <color rgb="FFFFEB84"/>
        <color rgb="FF63BE7B"/>
      </colorScale>
    </cfRule>
    <cfRule type="colorScale" priority="36597">
      <colorScale>
        <cfvo type="num" val="1"/>
        <cfvo type="num" val="2"/>
        <cfvo type="num" val="3"/>
        <color rgb="FFF8696B"/>
        <color rgb="FFFFEB84"/>
        <color rgb="FF63BE7B"/>
      </colorScale>
    </cfRule>
  </conditionalFormatting>
  <conditionalFormatting sqref="AE44">
    <cfRule type="cellIs" dxfId="1437" priority="36578" operator="equal">
      <formula>5</formula>
    </cfRule>
    <cfRule type="cellIs" dxfId="1436" priority="36579" operator="equal">
      <formula>4</formula>
    </cfRule>
    <cfRule type="cellIs" dxfId="1435" priority="36580" operator="equal">
      <formula>1</formula>
    </cfRule>
    <cfRule type="cellIs" dxfId="1434" priority="36581" operator="equal">
      <formula>3</formula>
    </cfRule>
    <cfRule type="cellIs" dxfId="1433" priority="36582" operator="equal">
      <formula>2</formula>
    </cfRule>
    <cfRule type="colorScale" priority="36583">
      <colorScale>
        <cfvo type="min" val="0"/>
        <cfvo type="percentile" val="50"/>
        <cfvo type="max" val="0"/>
        <color rgb="FFF8696B"/>
        <color rgb="FFFFEB84"/>
        <color rgb="FF63BE7B"/>
      </colorScale>
    </cfRule>
    <cfRule type="colorScale" priority="36584">
      <colorScale>
        <cfvo type="num" val="1"/>
        <cfvo type="num" val="2"/>
        <cfvo type="num" val="3"/>
        <color rgb="FFF8696B"/>
        <color rgb="FFFFEB84"/>
        <color rgb="FF63BE7B"/>
      </colorScale>
    </cfRule>
    <cfRule type="colorScale" priority="36585">
      <colorScale>
        <cfvo type="num" val="1"/>
        <cfvo type="num" val="2"/>
        <cfvo type="num" val="3"/>
        <color rgb="FFF8696B"/>
        <color rgb="FFFFEB84"/>
        <color rgb="FF63BE7B"/>
      </colorScale>
    </cfRule>
  </conditionalFormatting>
  <conditionalFormatting sqref="AE68">
    <cfRule type="cellIs" dxfId="1432" priority="35525" operator="equal">
      <formula>5</formula>
    </cfRule>
    <cfRule type="cellIs" dxfId="1431" priority="35526" operator="equal">
      <formula>4</formula>
    </cfRule>
    <cfRule type="cellIs" dxfId="1430" priority="35527" operator="equal">
      <formula>1</formula>
    </cfRule>
    <cfRule type="colorScale" priority="35530">
      <colorScale>
        <cfvo type="min" val="0"/>
        <cfvo type="percentile" val="50"/>
        <cfvo type="max" val="0"/>
        <color rgb="FFF8696B"/>
        <color rgb="FFFFEB84"/>
        <color rgb="FF63BE7B"/>
      </colorScale>
    </cfRule>
    <cfRule type="colorScale" priority="35531">
      <colorScale>
        <cfvo type="num" val="1"/>
        <cfvo type="num" val="2"/>
        <cfvo type="num" val="3"/>
        <color rgb="FFF8696B"/>
        <color rgb="FFFFEB84"/>
        <color rgb="FF63BE7B"/>
      </colorScale>
    </cfRule>
    <cfRule type="colorScale" priority="35532">
      <colorScale>
        <cfvo type="num" val="1"/>
        <cfvo type="num" val="2"/>
        <cfvo type="num" val="3"/>
        <color rgb="FFF8696B"/>
        <color rgb="FFFFEB84"/>
        <color rgb="FF63BE7B"/>
      </colorScale>
    </cfRule>
    <cfRule type="colorScale" priority="35533">
      <colorScale>
        <cfvo type="num" val="1"/>
        <cfvo type="num" val="2"/>
        <cfvo type="num" val="3"/>
        <color rgb="FFF8696B"/>
        <color rgb="FFFFEB84"/>
        <color rgb="FF63BE7B"/>
      </colorScale>
    </cfRule>
    <cfRule type="colorScale" priority="35534">
      <colorScale>
        <cfvo type="num" val="1"/>
        <cfvo type="num" val="2"/>
        <cfvo type="num" val="3"/>
        <color rgb="FFF8696B"/>
        <color rgb="FFFFEB84"/>
        <color rgb="FF63BE7B"/>
      </colorScale>
    </cfRule>
    <cfRule type="colorScale" priority="35535">
      <colorScale>
        <cfvo type="num" val="1"/>
        <cfvo type="num" val="2"/>
        <cfvo type="num" val="3"/>
        <color rgb="FFF8696B"/>
        <color rgb="FFFFEB84"/>
        <color rgb="FF63BE7B"/>
      </colorScale>
    </cfRule>
    <cfRule type="colorScale" priority="35536">
      <colorScale>
        <cfvo type="num" val="1"/>
        <cfvo type="num" val="2"/>
        <cfvo type="num" val="3"/>
        <color rgb="FFF8696B"/>
        <color rgb="FFFFEB84"/>
        <color rgb="FF63BE7B"/>
      </colorScale>
    </cfRule>
  </conditionalFormatting>
  <conditionalFormatting sqref="AE72">
    <cfRule type="cellIs" dxfId="1429" priority="35517" operator="equal">
      <formula>5</formula>
    </cfRule>
    <cfRule type="cellIs" dxfId="1428" priority="35518" operator="equal">
      <formula>4</formula>
    </cfRule>
    <cfRule type="cellIs" dxfId="1427" priority="35519" operator="equal">
      <formula>1</formula>
    </cfRule>
    <cfRule type="cellIs" dxfId="1426" priority="35520" operator="equal">
      <formula>3</formula>
    </cfRule>
    <cfRule type="cellIs" dxfId="1425" priority="35521" operator="equal">
      <formula>2</formula>
    </cfRule>
    <cfRule type="colorScale" priority="35522">
      <colorScale>
        <cfvo type="min" val="0"/>
        <cfvo type="percentile" val="50"/>
        <cfvo type="max" val="0"/>
        <color rgb="FFF8696B"/>
        <color rgb="FFFFEB84"/>
        <color rgb="FF63BE7B"/>
      </colorScale>
    </cfRule>
    <cfRule type="colorScale" priority="35523">
      <colorScale>
        <cfvo type="num" val="1"/>
        <cfvo type="num" val="2"/>
        <cfvo type="num" val="3"/>
        <color rgb="FFF8696B"/>
        <color rgb="FFFFEB84"/>
        <color rgb="FF63BE7B"/>
      </colorScale>
    </cfRule>
    <cfRule type="colorScale" priority="35524">
      <colorScale>
        <cfvo type="num" val="1"/>
        <cfvo type="num" val="2"/>
        <cfvo type="num" val="3"/>
        <color rgb="FFF8696B"/>
        <color rgb="FFFFEB84"/>
        <color rgb="FF63BE7B"/>
      </colorScale>
    </cfRule>
  </conditionalFormatting>
  <conditionalFormatting sqref="AE101 AE134 AE169">
    <cfRule type="colorScale" priority="27816">
      <colorScale>
        <cfvo type="num" val="1"/>
        <cfvo type="num" val="2"/>
        <cfvo type="num" val="3"/>
        <color rgb="FFF8696B"/>
        <color rgb="FFFFEB84"/>
        <color rgb="FF63BE7B"/>
      </colorScale>
    </cfRule>
    <cfRule type="colorScale" priority="27817">
      <colorScale>
        <cfvo type="num" val="1"/>
        <cfvo type="num" val="2"/>
        <cfvo type="num" val="3"/>
        <color rgb="FFF8696B"/>
        <color rgb="FFFFEB84"/>
        <color rgb="FF63BE7B"/>
      </colorScale>
    </cfRule>
    <cfRule type="colorScale" priority="27818">
      <colorScale>
        <cfvo type="num" val="1"/>
        <cfvo type="num" val="2"/>
        <cfvo type="num" val="3"/>
        <color rgb="FFF8696B"/>
        <color rgb="FFFFEB84"/>
        <color rgb="FF63BE7B"/>
      </colorScale>
    </cfRule>
    <cfRule type="colorScale" priority="27819">
      <colorScale>
        <cfvo type="num" val="1"/>
        <cfvo type="num" val="2"/>
        <cfvo type="num" val="3"/>
        <color rgb="FFF8696B"/>
        <color rgb="FFFFEB84"/>
        <color rgb="FF63BE7B"/>
      </colorScale>
    </cfRule>
    <cfRule type="colorScale" priority="27820">
      <colorScale>
        <cfvo type="num" val="1"/>
        <cfvo type="num" val="2"/>
        <cfvo type="num" val="3"/>
        <color rgb="FFF8696B"/>
        <color rgb="FFFFEB84"/>
        <color rgb="FF63BE7B"/>
      </colorScale>
    </cfRule>
    <cfRule type="colorScale" priority="27821">
      <colorScale>
        <cfvo type="num" val="1"/>
        <cfvo type="num" val="2"/>
        <cfvo type="num" val="3"/>
        <color rgb="FFF8696B"/>
        <color rgb="FFFFEB84"/>
        <color rgb="FF63BE7B"/>
      </colorScale>
    </cfRule>
    <cfRule type="colorScale" priority="27822">
      <colorScale>
        <cfvo type="num" val="1"/>
        <cfvo type="num" val="2"/>
        <cfvo type="num" val="3"/>
        <color rgb="FFF8696B"/>
        <color rgb="FFFFEB84"/>
        <color rgb="FF63BE7B"/>
      </colorScale>
    </cfRule>
    <cfRule type="colorScale" priority="27823">
      <colorScale>
        <cfvo type="num" val="1"/>
        <cfvo type="num" val="2"/>
        <cfvo type="num" val="3"/>
        <color rgb="FFF8696B"/>
        <color rgb="FFFFEB84"/>
        <color rgb="FF63BE7B"/>
      </colorScale>
    </cfRule>
    <cfRule type="colorScale" priority="27824">
      <colorScale>
        <cfvo type="num" val="1"/>
        <cfvo type="num" val="2"/>
        <cfvo type="num" val="3"/>
        <color rgb="FFF8696B"/>
        <color rgb="FFFFEB84"/>
        <color rgb="FF63BE7B"/>
      </colorScale>
    </cfRule>
    <cfRule type="colorScale" priority="27825">
      <colorScale>
        <cfvo type="num" val="1"/>
        <cfvo type="num" val="2"/>
        <cfvo type="num" val="3"/>
        <color rgb="FFF8696B"/>
        <color rgb="FFFFEB84"/>
        <color rgb="FF63BE7B"/>
      </colorScale>
    </cfRule>
    <cfRule type="colorScale" priority="27826">
      <colorScale>
        <cfvo type="num" val="1"/>
        <cfvo type="num" val="2"/>
        <cfvo type="num" val="3"/>
        <color rgb="FFF8696B"/>
        <color rgb="FFFFEB84"/>
        <color rgb="FF63BE7B"/>
      </colorScale>
    </cfRule>
    <cfRule type="colorScale" priority="27827">
      <colorScale>
        <cfvo type="num" val="1"/>
        <cfvo type="num" val="2"/>
        <cfvo type="num" val="3"/>
        <color rgb="FFF8696B"/>
        <color rgb="FFFFEB84"/>
        <color rgb="FF63BE7B"/>
      </colorScale>
    </cfRule>
    <cfRule type="colorScale" priority="27828">
      <colorScale>
        <cfvo type="num" val="1"/>
        <cfvo type="num" val="2"/>
        <cfvo type="num" val="3"/>
        <color rgb="FFF8696B"/>
        <color rgb="FFFFEB84"/>
        <color rgb="FF63BE7B"/>
      </colorScale>
    </cfRule>
    <cfRule type="colorScale" priority="27829">
      <colorScale>
        <cfvo type="num" val="1"/>
        <cfvo type="num" val="2"/>
        <cfvo type="num" val="3"/>
        <color rgb="FFF8696B"/>
        <color rgb="FFFFEB84"/>
        <color rgb="FF63BE7B"/>
      </colorScale>
    </cfRule>
  </conditionalFormatting>
  <conditionalFormatting sqref="AE105">
    <cfRule type="cellIs" dxfId="1424" priority="37507" operator="equal">
      <formula>5</formula>
    </cfRule>
    <cfRule type="cellIs" dxfId="1423" priority="37508" operator="equal">
      <formula>4</formula>
    </cfRule>
    <cfRule type="cellIs" dxfId="1422" priority="37509" operator="equal">
      <formula>1</formula>
    </cfRule>
    <cfRule type="cellIs" dxfId="1421" priority="37510" operator="equal">
      <formula>3</formula>
    </cfRule>
    <cfRule type="cellIs" dxfId="1420" priority="37511" operator="equal">
      <formula>2</formula>
    </cfRule>
    <cfRule type="colorScale" priority="37512">
      <colorScale>
        <cfvo type="min" val="0"/>
        <cfvo type="percentile" val="50"/>
        <cfvo type="max" val="0"/>
        <color rgb="FFF8696B"/>
        <color rgb="FFFFEB84"/>
        <color rgb="FF63BE7B"/>
      </colorScale>
    </cfRule>
    <cfRule type="colorScale" priority="37513">
      <colorScale>
        <cfvo type="num" val="1"/>
        <cfvo type="num" val="2"/>
        <cfvo type="num" val="3"/>
        <color rgb="FFF8696B"/>
        <color rgb="FFFFEB84"/>
        <color rgb="FF63BE7B"/>
      </colorScale>
    </cfRule>
    <cfRule type="colorScale" priority="37514">
      <colorScale>
        <cfvo type="num" val="1"/>
        <cfvo type="num" val="2"/>
        <cfvo type="num" val="3"/>
        <color rgb="FFF8696B"/>
        <color rgb="FFFFEB84"/>
        <color rgb="FF63BE7B"/>
      </colorScale>
    </cfRule>
  </conditionalFormatting>
  <conditionalFormatting sqref="AE138">
    <cfRule type="cellIs" dxfId="1419" priority="26217" operator="equal">
      <formula>5</formula>
    </cfRule>
    <cfRule type="cellIs" dxfId="1418" priority="26218" operator="equal">
      <formula>4</formula>
    </cfRule>
    <cfRule type="cellIs" dxfId="1417" priority="26219" operator="equal">
      <formula>1</formula>
    </cfRule>
    <cfRule type="cellIs" dxfId="1416" priority="26220" operator="equal">
      <formula>3</formula>
    </cfRule>
    <cfRule type="cellIs" dxfId="1415" priority="26221" operator="equal">
      <formula>2</formula>
    </cfRule>
    <cfRule type="colorScale" priority="26222">
      <colorScale>
        <cfvo type="min" val="0"/>
        <cfvo type="percentile" val="50"/>
        <cfvo type="max" val="0"/>
        <color rgb="FFF8696B"/>
        <color rgb="FFFFEB84"/>
        <color rgb="FF63BE7B"/>
      </colorScale>
    </cfRule>
    <cfRule type="colorScale" priority="26223">
      <colorScale>
        <cfvo type="num" val="1"/>
        <cfvo type="num" val="2"/>
        <cfvo type="num" val="3"/>
        <color rgb="FFF8696B"/>
        <color rgb="FFFFEB84"/>
        <color rgb="FF63BE7B"/>
      </colorScale>
    </cfRule>
    <cfRule type="colorScale" priority="26224">
      <colorScale>
        <cfvo type="num" val="1"/>
        <cfvo type="num" val="2"/>
        <cfvo type="num" val="3"/>
        <color rgb="FFF8696B"/>
        <color rgb="FFFFEB84"/>
        <color rgb="FF63BE7B"/>
      </colorScale>
    </cfRule>
  </conditionalFormatting>
  <conditionalFormatting sqref="AE165">
    <cfRule type="cellIs" dxfId="1414" priority="25136" operator="equal">
      <formula>5</formula>
    </cfRule>
    <cfRule type="cellIs" dxfId="1413" priority="25137" operator="equal">
      <formula>4</formula>
    </cfRule>
    <cfRule type="cellIs" dxfId="1412" priority="25138" operator="equal">
      <formula>1</formula>
    </cfRule>
    <cfRule type="cellIs" dxfId="1411" priority="25139" operator="equal">
      <formula>3</formula>
    </cfRule>
    <cfRule type="cellIs" dxfId="1410" priority="25140" operator="equal">
      <formula>2</formula>
    </cfRule>
    <cfRule type="colorScale" priority="25141">
      <colorScale>
        <cfvo type="min" val="0"/>
        <cfvo type="percentile" val="50"/>
        <cfvo type="max" val="0"/>
        <color rgb="FFF8696B"/>
        <color rgb="FFFFEB84"/>
        <color rgb="FF63BE7B"/>
      </colorScale>
    </cfRule>
    <cfRule type="colorScale" priority="25142">
      <colorScale>
        <cfvo type="num" val="1"/>
        <cfvo type="num" val="2"/>
        <cfvo type="num" val="3"/>
        <color rgb="FFF8696B"/>
        <color rgb="FFFFEB84"/>
        <color rgb="FF63BE7B"/>
      </colorScale>
    </cfRule>
    <cfRule type="colorScale" priority="25143">
      <colorScale>
        <cfvo type="num" val="1"/>
        <cfvo type="num" val="2"/>
        <cfvo type="num" val="3"/>
        <color rgb="FFF8696B"/>
        <color rgb="FFFFEB84"/>
        <color rgb="FF63BE7B"/>
      </colorScale>
    </cfRule>
  </conditionalFormatting>
  <conditionalFormatting sqref="AE196">
    <cfRule type="cellIs" dxfId="1409" priority="19885" operator="equal">
      <formula>5</formula>
    </cfRule>
    <cfRule type="cellIs" dxfId="1408" priority="19886" operator="equal">
      <formula>4</formula>
    </cfRule>
    <cfRule type="cellIs" dxfId="1407" priority="19887" operator="equal">
      <formula>1</formula>
    </cfRule>
    <cfRule type="cellIs" dxfId="1406" priority="19888" operator="equal">
      <formula>3</formula>
    </cfRule>
    <cfRule type="cellIs" dxfId="1405" priority="19889" operator="equal">
      <formula>2</formula>
    </cfRule>
    <cfRule type="colorScale" priority="19890">
      <colorScale>
        <cfvo type="min" val="0"/>
        <cfvo type="percentile" val="50"/>
        <cfvo type="max" val="0"/>
        <color rgb="FFF8696B"/>
        <color rgb="FFFFEB84"/>
        <color rgb="FF63BE7B"/>
      </colorScale>
    </cfRule>
    <cfRule type="colorScale" priority="19891">
      <colorScale>
        <cfvo type="num" val="1"/>
        <cfvo type="num" val="2"/>
        <cfvo type="num" val="3"/>
        <color rgb="FFF8696B"/>
        <color rgb="FFFFEB84"/>
        <color rgb="FF63BE7B"/>
      </colorScale>
    </cfRule>
    <cfRule type="colorScale" priority="19892">
      <colorScale>
        <cfvo type="num" val="1"/>
        <cfvo type="num" val="2"/>
        <cfvo type="num" val="3"/>
        <color rgb="FFF8696B"/>
        <color rgb="FFFFEB84"/>
        <color rgb="FF63BE7B"/>
      </colorScale>
    </cfRule>
  </conditionalFormatting>
  <conditionalFormatting sqref="AE224">
    <cfRule type="cellIs" dxfId="1404" priority="15981" operator="equal">
      <formula>5</formula>
    </cfRule>
    <cfRule type="cellIs" dxfId="1403" priority="15982" operator="equal">
      <formula>4</formula>
    </cfRule>
    <cfRule type="cellIs" dxfId="1402" priority="15983" operator="equal">
      <formula>1</formula>
    </cfRule>
    <cfRule type="cellIs" dxfId="1401" priority="15984" operator="equal">
      <formula>3</formula>
    </cfRule>
    <cfRule type="cellIs" dxfId="1400" priority="15985" operator="equal">
      <formula>2</formula>
    </cfRule>
    <cfRule type="colorScale" priority="15986">
      <colorScale>
        <cfvo type="min" val="0"/>
        <cfvo type="percentile" val="50"/>
        <cfvo type="max" val="0"/>
        <color rgb="FFF8696B"/>
        <color rgb="FFFFEB84"/>
        <color rgb="FF63BE7B"/>
      </colorScale>
    </cfRule>
    <cfRule type="colorScale" priority="15987">
      <colorScale>
        <cfvo type="num" val="1"/>
        <cfvo type="num" val="2"/>
        <cfvo type="num" val="3"/>
        <color rgb="FFF8696B"/>
        <color rgb="FFFFEB84"/>
        <color rgb="FF63BE7B"/>
      </colorScale>
    </cfRule>
    <cfRule type="colorScale" priority="15988">
      <colorScale>
        <cfvo type="num" val="1"/>
        <cfvo type="num" val="2"/>
        <cfvo type="num" val="3"/>
        <color rgb="FFF8696B"/>
        <color rgb="FFFFEB84"/>
        <color rgb="FF63BE7B"/>
      </colorScale>
    </cfRule>
  </conditionalFormatting>
  <conditionalFormatting sqref="AE228">
    <cfRule type="cellIs" dxfId="1399" priority="16187" operator="equal">
      <formula>5</formula>
    </cfRule>
    <cfRule type="cellIs" dxfId="1398" priority="16188" operator="equal">
      <formula>4</formula>
    </cfRule>
    <cfRule type="cellIs" dxfId="1397" priority="16189" operator="equal">
      <formula>1</formula>
    </cfRule>
    <cfRule type="cellIs" dxfId="1396" priority="16190" operator="equal">
      <formula>3</formula>
    </cfRule>
    <cfRule type="cellIs" dxfId="1395" priority="16191" operator="equal">
      <formula>2</formula>
    </cfRule>
    <cfRule type="colorScale" priority="16192">
      <colorScale>
        <cfvo type="min" val="0"/>
        <cfvo type="percentile" val="50"/>
        <cfvo type="max" val="0"/>
        <color rgb="FFF8696B"/>
        <color rgb="FFFFEB84"/>
        <color rgb="FF63BE7B"/>
      </colorScale>
    </cfRule>
    <cfRule type="colorScale" priority="16193">
      <colorScale>
        <cfvo type="num" val="1"/>
        <cfvo type="num" val="2"/>
        <cfvo type="num" val="3"/>
        <color rgb="FFF8696B"/>
        <color rgb="FFFFEB84"/>
        <color rgb="FF63BE7B"/>
      </colorScale>
    </cfRule>
    <cfRule type="colorScale" priority="16194">
      <colorScale>
        <cfvo type="num" val="1"/>
        <cfvo type="num" val="2"/>
        <cfvo type="num" val="3"/>
        <color rgb="FFF8696B"/>
        <color rgb="FFFFEB84"/>
        <color rgb="FF63BE7B"/>
      </colorScale>
    </cfRule>
    <cfRule type="colorScale" priority="16195">
      <colorScale>
        <cfvo type="num" val="1"/>
        <cfvo type="num" val="2"/>
        <cfvo type="num" val="3"/>
        <color rgb="FFF8696B"/>
        <color rgb="FFFFEB84"/>
        <color rgb="FF63BE7B"/>
      </colorScale>
    </cfRule>
    <cfRule type="colorScale" priority="16196">
      <colorScale>
        <cfvo type="num" val="1"/>
        <cfvo type="num" val="2"/>
        <cfvo type="num" val="3"/>
        <color rgb="FFF8696B"/>
        <color rgb="FFFFEB84"/>
        <color rgb="FF63BE7B"/>
      </colorScale>
    </cfRule>
    <cfRule type="colorScale" priority="16197">
      <colorScale>
        <cfvo type="num" val="1"/>
        <cfvo type="num" val="2"/>
        <cfvo type="num" val="3"/>
        <color rgb="FFF8696B"/>
        <color rgb="FFFFEB84"/>
        <color rgb="FF63BE7B"/>
      </colorScale>
    </cfRule>
    <cfRule type="colorScale" priority="16198">
      <colorScale>
        <cfvo type="num" val="1"/>
        <cfvo type="num" val="2"/>
        <cfvo type="num" val="3"/>
        <color rgb="FFF8696B"/>
        <color rgb="FFFFEB84"/>
        <color rgb="FF63BE7B"/>
      </colorScale>
    </cfRule>
  </conditionalFormatting>
  <conditionalFormatting sqref="AE306">
    <cfRule type="cellIs" dxfId="1394" priority="20137" operator="equal">
      <formula>5</formula>
    </cfRule>
    <cfRule type="cellIs" dxfId="1393" priority="20138" operator="equal">
      <formula>4</formula>
    </cfRule>
    <cfRule type="cellIs" dxfId="1392" priority="20139" operator="equal">
      <formula>1</formula>
    </cfRule>
    <cfRule type="cellIs" dxfId="1391" priority="20140" operator="equal">
      <formula>3</formula>
    </cfRule>
    <cfRule type="cellIs" dxfId="1390" priority="20141" operator="equal">
      <formula>2</formula>
    </cfRule>
    <cfRule type="colorScale" priority="20142">
      <colorScale>
        <cfvo type="min" val="0"/>
        <cfvo type="percentile" val="50"/>
        <cfvo type="max" val="0"/>
        <color rgb="FFF8696B"/>
        <color rgb="FFFFEB84"/>
        <color rgb="FF63BE7B"/>
      </colorScale>
    </cfRule>
    <cfRule type="colorScale" priority="20143">
      <colorScale>
        <cfvo type="num" val="1"/>
        <cfvo type="num" val="2"/>
        <cfvo type="num" val="3"/>
        <color rgb="FFF8696B"/>
        <color rgb="FFFFEB84"/>
        <color rgb="FF63BE7B"/>
      </colorScale>
    </cfRule>
    <cfRule type="colorScale" priority="20144">
      <colorScale>
        <cfvo type="num" val="1"/>
        <cfvo type="num" val="2"/>
        <cfvo type="num" val="3"/>
        <color rgb="FFF8696B"/>
        <color rgb="FFFFEB84"/>
        <color rgb="FF63BE7B"/>
      </colorScale>
    </cfRule>
    <cfRule type="colorScale" priority="20145">
      <colorScale>
        <cfvo type="num" val="1"/>
        <cfvo type="num" val="2"/>
        <cfvo type="num" val="3"/>
        <color rgb="FFF8696B"/>
        <color rgb="FFFFEB84"/>
        <color rgb="FF63BE7B"/>
      </colorScale>
    </cfRule>
    <cfRule type="colorScale" priority="20146">
      <colorScale>
        <cfvo type="num" val="1"/>
        <cfvo type="num" val="2"/>
        <cfvo type="num" val="3"/>
        <color rgb="FFF8696B"/>
        <color rgb="FFFFEB84"/>
        <color rgb="FF63BE7B"/>
      </colorScale>
    </cfRule>
    <cfRule type="colorScale" priority="20147">
      <colorScale>
        <cfvo type="num" val="1"/>
        <cfvo type="num" val="2"/>
        <cfvo type="num" val="3"/>
        <color rgb="FFF8696B"/>
        <color rgb="FFFFEB84"/>
        <color rgb="FF63BE7B"/>
      </colorScale>
    </cfRule>
    <cfRule type="colorScale" priority="20148">
      <colorScale>
        <cfvo type="num" val="1"/>
        <cfvo type="num" val="2"/>
        <cfvo type="num" val="3"/>
        <color rgb="FFF8696B"/>
        <color rgb="FFFFEB84"/>
        <color rgb="FF63BE7B"/>
      </colorScale>
    </cfRule>
  </conditionalFormatting>
  <conditionalFormatting sqref="AE310">
    <cfRule type="cellIs" dxfId="1389" priority="20129" operator="equal">
      <formula>5</formula>
    </cfRule>
    <cfRule type="cellIs" dxfId="1388" priority="20130" operator="equal">
      <formula>4</formula>
    </cfRule>
    <cfRule type="cellIs" dxfId="1387" priority="20131" operator="equal">
      <formula>1</formula>
    </cfRule>
    <cfRule type="cellIs" dxfId="1386" priority="20132" operator="equal">
      <formula>3</formula>
    </cfRule>
    <cfRule type="cellIs" dxfId="1385" priority="20133" operator="equal">
      <formula>2</formula>
    </cfRule>
    <cfRule type="colorScale" priority="20134">
      <colorScale>
        <cfvo type="min" val="0"/>
        <cfvo type="percentile" val="50"/>
        <cfvo type="max" val="0"/>
        <color rgb="FFF8696B"/>
        <color rgb="FFFFEB84"/>
        <color rgb="FF63BE7B"/>
      </colorScale>
    </cfRule>
    <cfRule type="colorScale" priority="20135">
      <colorScale>
        <cfvo type="num" val="1"/>
        <cfvo type="num" val="2"/>
        <cfvo type="num" val="3"/>
        <color rgb="FFF8696B"/>
        <color rgb="FFFFEB84"/>
        <color rgb="FF63BE7B"/>
      </colorScale>
    </cfRule>
    <cfRule type="colorScale" priority="20136">
      <colorScale>
        <cfvo type="num" val="1"/>
        <cfvo type="num" val="2"/>
        <cfvo type="num" val="3"/>
        <color rgb="FFF8696B"/>
        <color rgb="FFFFEB84"/>
        <color rgb="FF63BE7B"/>
      </colorScale>
    </cfRule>
  </conditionalFormatting>
  <conditionalFormatting sqref="AE333">
    <cfRule type="cellIs" dxfId="1384" priority="21304" operator="equal">
      <formula>5</formula>
    </cfRule>
    <cfRule type="cellIs" dxfId="1383" priority="21305" operator="equal">
      <formula>4</formula>
    </cfRule>
    <cfRule type="cellIs" dxfId="1382" priority="21306" operator="equal">
      <formula>1</formula>
    </cfRule>
    <cfRule type="cellIs" dxfId="1381" priority="21307" operator="equal">
      <formula>3</formula>
    </cfRule>
    <cfRule type="cellIs" dxfId="1380" priority="21308" operator="equal">
      <formula>2</formula>
    </cfRule>
    <cfRule type="colorScale" priority="21309">
      <colorScale>
        <cfvo type="min" val="0"/>
        <cfvo type="percentile" val="50"/>
        <cfvo type="max" val="0"/>
        <color rgb="FFF8696B"/>
        <color rgb="FFFFEB84"/>
        <color rgb="FF63BE7B"/>
      </colorScale>
    </cfRule>
    <cfRule type="colorScale" priority="21310">
      <colorScale>
        <cfvo type="num" val="1"/>
        <cfvo type="num" val="2"/>
        <cfvo type="num" val="3"/>
        <color rgb="FFF8696B"/>
        <color rgb="FFFFEB84"/>
        <color rgb="FF63BE7B"/>
      </colorScale>
    </cfRule>
    <cfRule type="colorScale" priority="21311">
      <colorScale>
        <cfvo type="num" val="1"/>
        <cfvo type="num" val="2"/>
        <cfvo type="num" val="3"/>
        <color rgb="FFF8696B"/>
        <color rgb="FFFFEB84"/>
        <color rgb="FF63BE7B"/>
      </colorScale>
    </cfRule>
    <cfRule type="colorScale" priority="21312">
      <colorScale>
        <cfvo type="num" val="1"/>
        <cfvo type="num" val="2"/>
        <cfvo type="num" val="3"/>
        <color rgb="FFF8696B"/>
        <color rgb="FFFFEB84"/>
        <color rgb="FF63BE7B"/>
      </colorScale>
    </cfRule>
    <cfRule type="colorScale" priority="21313">
      <colorScale>
        <cfvo type="num" val="1"/>
        <cfvo type="num" val="2"/>
        <cfvo type="num" val="3"/>
        <color rgb="FFF8696B"/>
        <color rgb="FFFFEB84"/>
        <color rgb="FF63BE7B"/>
      </colorScale>
    </cfRule>
    <cfRule type="colorScale" priority="21314">
      <colorScale>
        <cfvo type="num" val="1"/>
        <cfvo type="num" val="2"/>
        <cfvo type="num" val="3"/>
        <color rgb="FFF8696B"/>
        <color rgb="FFFFEB84"/>
        <color rgb="FF63BE7B"/>
      </colorScale>
    </cfRule>
    <cfRule type="colorScale" priority="21315">
      <colorScale>
        <cfvo type="num" val="1"/>
        <cfvo type="num" val="2"/>
        <cfvo type="num" val="3"/>
        <color rgb="FFF8696B"/>
        <color rgb="FFFFEB84"/>
        <color rgb="FF63BE7B"/>
      </colorScale>
    </cfRule>
  </conditionalFormatting>
  <conditionalFormatting sqref="AE337">
    <cfRule type="cellIs" dxfId="1379" priority="21296" operator="equal">
      <formula>5</formula>
    </cfRule>
    <cfRule type="cellIs" dxfId="1378" priority="21297" operator="equal">
      <formula>4</formula>
    </cfRule>
    <cfRule type="cellIs" dxfId="1377" priority="21298" operator="equal">
      <formula>1</formula>
    </cfRule>
    <cfRule type="cellIs" dxfId="1376" priority="21299" operator="equal">
      <formula>3</formula>
    </cfRule>
    <cfRule type="cellIs" dxfId="1375" priority="21300" operator="equal">
      <formula>2</formula>
    </cfRule>
    <cfRule type="colorScale" priority="21301">
      <colorScale>
        <cfvo type="min" val="0"/>
        <cfvo type="percentile" val="50"/>
        <cfvo type="max" val="0"/>
        <color rgb="FFF8696B"/>
        <color rgb="FFFFEB84"/>
        <color rgb="FF63BE7B"/>
      </colorScale>
    </cfRule>
    <cfRule type="colorScale" priority="21302">
      <colorScale>
        <cfvo type="num" val="1"/>
        <cfvo type="num" val="2"/>
        <cfvo type="num" val="3"/>
        <color rgb="FFF8696B"/>
        <color rgb="FFFFEB84"/>
        <color rgb="FF63BE7B"/>
      </colorScale>
    </cfRule>
    <cfRule type="colorScale" priority="21303">
      <colorScale>
        <cfvo type="num" val="1"/>
        <cfvo type="num" val="2"/>
        <cfvo type="num" val="3"/>
        <color rgb="FFF8696B"/>
        <color rgb="FFFFEB84"/>
        <color rgb="FF63BE7B"/>
      </colorScale>
    </cfRule>
  </conditionalFormatting>
  <conditionalFormatting sqref="AE361">
    <cfRule type="cellIs" dxfId="1374" priority="18251" operator="equal">
      <formula>5</formula>
    </cfRule>
    <cfRule type="cellIs" dxfId="1373" priority="18252" operator="equal">
      <formula>4</formula>
    </cfRule>
    <cfRule type="cellIs" dxfId="1372" priority="18253" operator="equal">
      <formula>1</formula>
    </cfRule>
    <cfRule type="cellIs" dxfId="1371" priority="18254" operator="equal">
      <formula>3</formula>
    </cfRule>
    <cfRule type="cellIs" dxfId="1370" priority="18255" operator="equal">
      <formula>2</formula>
    </cfRule>
    <cfRule type="colorScale" priority="18256">
      <colorScale>
        <cfvo type="min" val="0"/>
        <cfvo type="percentile" val="50"/>
        <cfvo type="max" val="0"/>
        <color rgb="FFF8696B"/>
        <color rgb="FFFFEB84"/>
        <color rgb="FF63BE7B"/>
      </colorScale>
    </cfRule>
    <cfRule type="colorScale" priority="18257">
      <colorScale>
        <cfvo type="num" val="1"/>
        <cfvo type="num" val="2"/>
        <cfvo type="num" val="3"/>
        <color rgb="FFF8696B"/>
        <color rgb="FFFFEB84"/>
        <color rgb="FF63BE7B"/>
      </colorScale>
    </cfRule>
    <cfRule type="colorScale" priority="18258">
      <colorScale>
        <cfvo type="num" val="1"/>
        <cfvo type="num" val="2"/>
        <cfvo type="num" val="3"/>
        <color rgb="FFF8696B"/>
        <color rgb="FFFFEB84"/>
        <color rgb="FF63BE7B"/>
      </colorScale>
    </cfRule>
    <cfRule type="colorScale" priority="18259">
      <colorScale>
        <cfvo type="num" val="1"/>
        <cfvo type="num" val="2"/>
        <cfvo type="num" val="3"/>
        <color rgb="FFF8696B"/>
        <color rgb="FFFFEB84"/>
        <color rgb="FF63BE7B"/>
      </colorScale>
    </cfRule>
    <cfRule type="colorScale" priority="18260">
      <colorScale>
        <cfvo type="num" val="1"/>
        <cfvo type="num" val="2"/>
        <cfvo type="num" val="3"/>
        <color rgb="FFF8696B"/>
        <color rgb="FFFFEB84"/>
        <color rgb="FF63BE7B"/>
      </colorScale>
    </cfRule>
    <cfRule type="colorScale" priority="18261">
      <colorScale>
        <cfvo type="num" val="1"/>
        <cfvo type="num" val="2"/>
        <cfvo type="num" val="3"/>
        <color rgb="FFF8696B"/>
        <color rgb="FFFFEB84"/>
        <color rgb="FF63BE7B"/>
      </colorScale>
    </cfRule>
    <cfRule type="colorScale" priority="18262">
      <colorScale>
        <cfvo type="num" val="1"/>
        <cfvo type="num" val="2"/>
        <cfvo type="num" val="3"/>
        <color rgb="FFF8696B"/>
        <color rgb="FFFFEB84"/>
        <color rgb="FF63BE7B"/>
      </colorScale>
    </cfRule>
  </conditionalFormatting>
  <conditionalFormatting sqref="AE365">
    <cfRule type="cellIs" dxfId="1369" priority="18243" operator="equal">
      <formula>5</formula>
    </cfRule>
    <cfRule type="cellIs" dxfId="1368" priority="18244" operator="equal">
      <formula>4</formula>
    </cfRule>
    <cfRule type="cellIs" dxfId="1367" priority="18245" operator="equal">
      <formula>1</formula>
    </cfRule>
    <cfRule type="cellIs" dxfId="1366" priority="18246" operator="equal">
      <formula>3</formula>
    </cfRule>
    <cfRule type="cellIs" dxfId="1365" priority="18247" operator="equal">
      <formula>2</formula>
    </cfRule>
    <cfRule type="colorScale" priority="18248">
      <colorScale>
        <cfvo type="min" val="0"/>
        <cfvo type="percentile" val="50"/>
        <cfvo type="max" val="0"/>
        <color rgb="FFF8696B"/>
        <color rgb="FFFFEB84"/>
        <color rgb="FF63BE7B"/>
      </colorScale>
    </cfRule>
    <cfRule type="colorScale" priority="18249">
      <colorScale>
        <cfvo type="num" val="1"/>
        <cfvo type="num" val="2"/>
        <cfvo type="num" val="3"/>
        <color rgb="FFF8696B"/>
        <color rgb="FFFFEB84"/>
        <color rgb="FF63BE7B"/>
      </colorScale>
    </cfRule>
    <cfRule type="colorScale" priority="18250">
      <colorScale>
        <cfvo type="num" val="1"/>
        <cfvo type="num" val="2"/>
        <cfvo type="num" val="3"/>
        <color rgb="FFF8696B"/>
        <color rgb="FFFFEB84"/>
        <color rgb="FF63BE7B"/>
      </colorScale>
    </cfRule>
  </conditionalFormatting>
  <conditionalFormatting sqref="AE393">
    <cfRule type="cellIs" dxfId="1364" priority="11630" operator="equal">
      <formula>5</formula>
    </cfRule>
    <cfRule type="cellIs" dxfId="1363" priority="11631" operator="equal">
      <formula>4</formula>
    </cfRule>
    <cfRule type="cellIs" dxfId="1362" priority="11632" operator="equal">
      <formula>1</formula>
    </cfRule>
    <cfRule type="cellIs" dxfId="1361" priority="11633" operator="equal">
      <formula>3</formula>
    </cfRule>
    <cfRule type="cellIs" dxfId="1360" priority="11634" operator="equal">
      <formula>2</formula>
    </cfRule>
    <cfRule type="colorScale" priority="11635">
      <colorScale>
        <cfvo type="min" val="0"/>
        <cfvo type="percentile" val="50"/>
        <cfvo type="max" val="0"/>
        <color rgb="FFF8696B"/>
        <color rgb="FFFFEB84"/>
        <color rgb="FF63BE7B"/>
      </colorScale>
    </cfRule>
    <cfRule type="colorScale" priority="11636">
      <colorScale>
        <cfvo type="num" val="1"/>
        <cfvo type="num" val="2"/>
        <cfvo type="num" val="3"/>
        <color rgb="FFF8696B"/>
        <color rgb="FFFFEB84"/>
        <color rgb="FF63BE7B"/>
      </colorScale>
    </cfRule>
    <cfRule type="colorScale" priority="11637">
      <colorScale>
        <cfvo type="num" val="1"/>
        <cfvo type="num" val="2"/>
        <cfvo type="num" val="3"/>
        <color rgb="FFF8696B"/>
        <color rgb="FFFFEB84"/>
        <color rgb="FF63BE7B"/>
      </colorScale>
    </cfRule>
    <cfRule type="colorScale" priority="11638">
      <colorScale>
        <cfvo type="num" val="1"/>
        <cfvo type="num" val="2"/>
        <cfvo type="num" val="3"/>
        <color rgb="FFF8696B"/>
        <color rgb="FFFFEB84"/>
        <color rgb="FF63BE7B"/>
      </colorScale>
    </cfRule>
    <cfRule type="colorScale" priority="11639">
      <colorScale>
        <cfvo type="num" val="1"/>
        <cfvo type="num" val="2"/>
        <cfvo type="num" val="3"/>
        <color rgb="FFF8696B"/>
        <color rgb="FFFFEB84"/>
        <color rgb="FF63BE7B"/>
      </colorScale>
    </cfRule>
    <cfRule type="colorScale" priority="11640">
      <colorScale>
        <cfvo type="num" val="1"/>
        <cfvo type="num" val="2"/>
        <cfvo type="num" val="3"/>
        <color rgb="FFF8696B"/>
        <color rgb="FFFFEB84"/>
        <color rgb="FF63BE7B"/>
      </colorScale>
    </cfRule>
    <cfRule type="colorScale" priority="11641">
      <colorScale>
        <cfvo type="num" val="1"/>
        <cfvo type="num" val="2"/>
        <cfvo type="num" val="3"/>
        <color rgb="FFF8696B"/>
        <color rgb="FFFFEB84"/>
        <color rgb="FF63BE7B"/>
      </colorScale>
    </cfRule>
  </conditionalFormatting>
  <conditionalFormatting sqref="AE418">
    <cfRule type="cellIs" dxfId="1359" priority="10493" operator="equal">
      <formula>5</formula>
    </cfRule>
    <cfRule type="cellIs" dxfId="1358" priority="10494" operator="equal">
      <formula>4</formula>
    </cfRule>
    <cfRule type="cellIs" dxfId="1357" priority="10495" operator="equal">
      <formula>1</formula>
    </cfRule>
    <cfRule type="cellIs" dxfId="1356" priority="10496" operator="equal">
      <formula>3</formula>
    </cfRule>
    <cfRule type="cellIs" dxfId="1355" priority="10497" operator="equal">
      <formula>2</formula>
    </cfRule>
    <cfRule type="colorScale" priority="10498">
      <colorScale>
        <cfvo type="min" val="0"/>
        <cfvo type="percentile" val="50"/>
        <cfvo type="max" val="0"/>
        <color rgb="FFF8696B"/>
        <color rgb="FFFFEB84"/>
        <color rgb="FF63BE7B"/>
      </colorScale>
    </cfRule>
    <cfRule type="colorScale" priority="10499">
      <colorScale>
        <cfvo type="num" val="1"/>
        <cfvo type="num" val="2"/>
        <cfvo type="num" val="3"/>
        <color rgb="FFF8696B"/>
        <color rgb="FFFFEB84"/>
        <color rgb="FF63BE7B"/>
      </colorScale>
    </cfRule>
    <cfRule type="colorScale" priority="10500">
      <colorScale>
        <cfvo type="num" val="1"/>
        <cfvo type="num" val="2"/>
        <cfvo type="num" val="3"/>
        <color rgb="FFF8696B"/>
        <color rgb="FFFFEB84"/>
        <color rgb="FF63BE7B"/>
      </colorScale>
    </cfRule>
    <cfRule type="colorScale" priority="10501">
      <colorScale>
        <cfvo type="num" val="1"/>
        <cfvo type="num" val="2"/>
        <cfvo type="num" val="3"/>
        <color rgb="FFF8696B"/>
        <color rgb="FFFFEB84"/>
        <color rgb="FF63BE7B"/>
      </colorScale>
    </cfRule>
    <cfRule type="colorScale" priority="10502">
      <colorScale>
        <cfvo type="num" val="1"/>
        <cfvo type="num" val="2"/>
        <cfvo type="num" val="3"/>
        <color rgb="FFF8696B"/>
        <color rgb="FFFFEB84"/>
        <color rgb="FF63BE7B"/>
      </colorScale>
    </cfRule>
    <cfRule type="colorScale" priority="10503">
      <colorScale>
        <cfvo type="num" val="1"/>
        <cfvo type="num" val="2"/>
        <cfvo type="num" val="3"/>
        <color rgb="FFF8696B"/>
        <color rgb="FFFFEB84"/>
        <color rgb="FF63BE7B"/>
      </colorScale>
    </cfRule>
    <cfRule type="colorScale" priority="10504">
      <colorScale>
        <cfvo type="num" val="1"/>
        <cfvo type="num" val="2"/>
        <cfvo type="num" val="3"/>
        <color rgb="FFF8696B"/>
        <color rgb="FFFFEB84"/>
        <color rgb="FF63BE7B"/>
      </colorScale>
    </cfRule>
  </conditionalFormatting>
  <conditionalFormatting sqref="AE422">
    <cfRule type="cellIs" dxfId="1354" priority="10485" operator="equal">
      <formula>5</formula>
    </cfRule>
    <cfRule type="cellIs" dxfId="1353" priority="10486" operator="equal">
      <formula>4</formula>
    </cfRule>
    <cfRule type="cellIs" dxfId="1352" priority="10487" operator="equal">
      <formula>1</formula>
    </cfRule>
    <cfRule type="cellIs" dxfId="1351" priority="10488" operator="equal">
      <formula>3</formula>
    </cfRule>
    <cfRule type="cellIs" dxfId="1350" priority="10489" operator="equal">
      <formula>2</formula>
    </cfRule>
    <cfRule type="colorScale" priority="10490">
      <colorScale>
        <cfvo type="min" val="0"/>
        <cfvo type="percentile" val="50"/>
        <cfvo type="max" val="0"/>
        <color rgb="FFF8696B"/>
        <color rgb="FFFFEB84"/>
        <color rgb="FF63BE7B"/>
      </colorScale>
    </cfRule>
    <cfRule type="colorScale" priority="10491">
      <colorScale>
        <cfvo type="num" val="1"/>
        <cfvo type="num" val="2"/>
        <cfvo type="num" val="3"/>
        <color rgb="FFF8696B"/>
        <color rgb="FFFFEB84"/>
        <color rgb="FF63BE7B"/>
      </colorScale>
    </cfRule>
    <cfRule type="colorScale" priority="10492">
      <colorScale>
        <cfvo type="num" val="1"/>
        <cfvo type="num" val="2"/>
        <cfvo type="num" val="3"/>
        <color rgb="FFF8696B"/>
        <color rgb="FFFFEB84"/>
        <color rgb="FF63BE7B"/>
      </colorScale>
    </cfRule>
  </conditionalFormatting>
  <conditionalFormatting sqref="AE446">
    <cfRule type="cellIs" dxfId="1349" priority="9367" operator="equal">
      <formula>5</formula>
    </cfRule>
    <cfRule type="cellIs" dxfId="1348" priority="9368" operator="equal">
      <formula>4</formula>
    </cfRule>
    <cfRule type="cellIs" dxfId="1347" priority="9369" operator="equal">
      <formula>1</formula>
    </cfRule>
    <cfRule type="cellIs" dxfId="1346" priority="9370" operator="equal">
      <formula>3</formula>
    </cfRule>
    <cfRule type="cellIs" dxfId="1345" priority="9371" operator="equal">
      <formula>2</formula>
    </cfRule>
    <cfRule type="colorScale" priority="9372">
      <colorScale>
        <cfvo type="min" val="0"/>
        <cfvo type="percentile" val="50"/>
        <cfvo type="max" val="0"/>
        <color rgb="FFF8696B"/>
        <color rgb="FFFFEB84"/>
        <color rgb="FF63BE7B"/>
      </colorScale>
    </cfRule>
    <cfRule type="colorScale" priority="9373">
      <colorScale>
        <cfvo type="num" val="1"/>
        <cfvo type="num" val="2"/>
        <cfvo type="num" val="3"/>
        <color rgb="FFF8696B"/>
        <color rgb="FFFFEB84"/>
        <color rgb="FF63BE7B"/>
      </colorScale>
    </cfRule>
    <cfRule type="colorScale" priority="9374">
      <colorScale>
        <cfvo type="num" val="1"/>
        <cfvo type="num" val="2"/>
        <cfvo type="num" val="3"/>
        <color rgb="FFF8696B"/>
        <color rgb="FFFFEB84"/>
        <color rgb="FF63BE7B"/>
      </colorScale>
    </cfRule>
    <cfRule type="colorScale" priority="9375">
      <colorScale>
        <cfvo type="num" val="1"/>
        <cfvo type="num" val="2"/>
        <cfvo type="num" val="3"/>
        <color rgb="FFF8696B"/>
        <color rgb="FFFFEB84"/>
        <color rgb="FF63BE7B"/>
      </colorScale>
    </cfRule>
    <cfRule type="colorScale" priority="9376">
      <colorScale>
        <cfvo type="num" val="1"/>
        <cfvo type="num" val="2"/>
        <cfvo type="num" val="3"/>
        <color rgb="FFF8696B"/>
        <color rgb="FFFFEB84"/>
        <color rgb="FF63BE7B"/>
      </colorScale>
    </cfRule>
    <cfRule type="colorScale" priority="9377">
      <colorScale>
        <cfvo type="num" val="1"/>
        <cfvo type="num" val="2"/>
        <cfvo type="num" val="3"/>
        <color rgb="FFF8696B"/>
        <color rgb="FFFFEB84"/>
        <color rgb="FF63BE7B"/>
      </colorScale>
    </cfRule>
    <cfRule type="colorScale" priority="9378">
      <colorScale>
        <cfvo type="num" val="1"/>
        <cfvo type="num" val="2"/>
        <cfvo type="num" val="3"/>
        <color rgb="FFF8696B"/>
        <color rgb="FFFFEB84"/>
        <color rgb="FF63BE7B"/>
      </colorScale>
    </cfRule>
  </conditionalFormatting>
  <conditionalFormatting sqref="AE450">
    <cfRule type="cellIs" dxfId="1344" priority="9359" operator="equal">
      <formula>5</formula>
    </cfRule>
    <cfRule type="cellIs" dxfId="1343" priority="9360" operator="equal">
      <formula>4</formula>
    </cfRule>
    <cfRule type="cellIs" dxfId="1342" priority="9361" operator="equal">
      <formula>1</formula>
    </cfRule>
    <cfRule type="cellIs" dxfId="1341" priority="9362" operator="equal">
      <formula>3</formula>
    </cfRule>
    <cfRule type="cellIs" dxfId="1340" priority="9363" operator="equal">
      <formula>2</formula>
    </cfRule>
    <cfRule type="colorScale" priority="9364">
      <colorScale>
        <cfvo type="min" val="0"/>
        <cfvo type="percentile" val="50"/>
        <cfvo type="max" val="0"/>
        <color rgb="FFF8696B"/>
        <color rgb="FFFFEB84"/>
        <color rgb="FF63BE7B"/>
      </colorScale>
    </cfRule>
    <cfRule type="colorScale" priority="9365">
      <colorScale>
        <cfvo type="num" val="1"/>
        <cfvo type="num" val="2"/>
        <cfvo type="num" val="3"/>
        <color rgb="FFF8696B"/>
        <color rgb="FFFFEB84"/>
        <color rgb="FF63BE7B"/>
      </colorScale>
    </cfRule>
    <cfRule type="colorScale" priority="9366">
      <colorScale>
        <cfvo type="num" val="1"/>
        <cfvo type="num" val="2"/>
        <cfvo type="num" val="3"/>
        <color rgb="FFF8696B"/>
        <color rgb="FFFFEB84"/>
        <color rgb="FF63BE7B"/>
      </colorScale>
    </cfRule>
  </conditionalFormatting>
  <conditionalFormatting sqref="AE474">
    <cfRule type="cellIs" dxfId="1339" priority="8230" operator="equal">
      <formula>5</formula>
    </cfRule>
    <cfRule type="cellIs" dxfId="1338" priority="8231" operator="equal">
      <formula>4</formula>
    </cfRule>
    <cfRule type="cellIs" dxfId="1337" priority="8232" operator="equal">
      <formula>1</formula>
    </cfRule>
    <cfRule type="cellIs" dxfId="1336" priority="8233" operator="equal">
      <formula>3</formula>
    </cfRule>
    <cfRule type="cellIs" dxfId="1335" priority="8234" operator="equal">
      <formula>2</formula>
    </cfRule>
    <cfRule type="colorScale" priority="8235">
      <colorScale>
        <cfvo type="min" val="0"/>
        <cfvo type="percentile" val="50"/>
        <cfvo type="max" val="0"/>
        <color rgb="FFF8696B"/>
        <color rgb="FFFFEB84"/>
        <color rgb="FF63BE7B"/>
      </colorScale>
    </cfRule>
    <cfRule type="colorScale" priority="8236">
      <colorScale>
        <cfvo type="num" val="1"/>
        <cfvo type="num" val="2"/>
        <cfvo type="num" val="3"/>
        <color rgb="FFF8696B"/>
        <color rgb="FFFFEB84"/>
        <color rgb="FF63BE7B"/>
      </colorScale>
    </cfRule>
    <cfRule type="colorScale" priority="8237">
      <colorScale>
        <cfvo type="num" val="1"/>
        <cfvo type="num" val="2"/>
        <cfvo type="num" val="3"/>
        <color rgb="FFF8696B"/>
        <color rgb="FFFFEB84"/>
        <color rgb="FF63BE7B"/>
      </colorScale>
    </cfRule>
    <cfRule type="colorScale" priority="8238">
      <colorScale>
        <cfvo type="num" val="1"/>
        <cfvo type="num" val="2"/>
        <cfvo type="num" val="3"/>
        <color rgb="FFF8696B"/>
        <color rgb="FFFFEB84"/>
        <color rgb="FF63BE7B"/>
      </colorScale>
    </cfRule>
    <cfRule type="colorScale" priority="8239">
      <colorScale>
        <cfvo type="num" val="1"/>
        <cfvo type="num" val="2"/>
        <cfvo type="num" val="3"/>
        <color rgb="FFF8696B"/>
        <color rgb="FFFFEB84"/>
        <color rgb="FF63BE7B"/>
      </colorScale>
    </cfRule>
    <cfRule type="colorScale" priority="8240">
      <colorScale>
        <cfvo type="num" val="1"/>
        <cfvo type="num" val="2"/>
        <cfvo type="num" val="3"/>
        <color rgb="FFF8696B"/>
        <color rgb="FFFFEB84"/>
        <color rgb="FF63BE7B"/>
      </colorScale>
    </cfRule>
    <cfRule type="colorScale" priority="8241">
      <colorScale>
        <cfvo type="num" val="1"/>
        <cfvo type="num" val="2"/>
        <cfvo type="num" val="3"/>
        <color rgb="FFF8696B"/>
        <color rgb="FFFFEB84"/>
        <color rgb="FF63BE7B"/>
      </colorScale>
    </cfRule>
  </conditionalFormatting>
  <conditionalFormatting sqref="AE478">
    <cfRule type="cellIs" dxfId="1334" priority="8222" operator="equal">
      <formula>5</formula>
    </cfRule>
    <cfRule type="cellIs" dxfId="1333" priority="8223" operator="equal">
      <formula>4</formula>
    </cfRule>
    <cfRule type="cellIs" dxfId="1332" priority="8224" operator="equal">
      <formula>1</formula>
    </cfRule>
    <cfRule type="cellIs" dxfId="1331" priority="8225" operator="equal">
      <formula>3</formula>
    </cfRule>
    <cfRule type="cellIs" dxfId="1330" priority="8226" operator="equal">
      <formula>2</formula>
    </cfRule>
    <cfRule type="colorScale" priority="8227">
      <colorScale>
        <cfvo type="min" val="0"/>
        <cfvo type="percentile" val="50"/>
        <cfvo type="max" val="0"/>
        <color rgb="FFF8696B"/>
        <color rgb="FFFFEB84"/>
        <color rgb="FF63BE7B"/>
      </colorScale>
    </cfRule>
    <cfRule type="colorScale" priority="8228">
      <colorScale>
        <cfvo type="num" val="1"/>
        <cfvo type="num" val="2"/>
        <cfvo type="num" val="3"/>
        <color rgb="FFF8696B"/>
        <color rgb="FFFFEB84"/>
        <color rgb="FF63BE7B"/>
      </colorScale>
    </cfRule>
    <cfRule type="colorScale" priority="8229">
      <colorScale>
        <cfvo type="num" val="1"/>
        <cfvo type="num" val="2"/>
        <cfvo type="num" val="3"/>
        <color rgb="FFF8696B"/>
        <color rgb="FFFFEB84"/>
        <color rgb="FF63BE7B"/>
      </colorScale>
    </cfRule>
  </conditionalFormatting>
  <conditionalFormatting sqref="AE501">
    <cfRule type="cellIs" dxfId="1329" priority="7115" operator="equal">
      <formula>5</formula>
    </cfRule>
    <cfRule type="cellIs" dxfId="1328" priority="7116" operator="equal">
      <formula>4</formula>
    </cfRule>
    <cfRule type="cellIs" dxfId="1327" priority="7117" operator="equal">
      <formula>1</formula>
    </cfRule>
    <cfRule type="cellIs" dxfId="1326" priority="7118" operator="equal">
      <formula>3</formula>
    </cfRule>
    <cfRule type="cellIs" dxfId="1325" priority="7119" operator="equal">
      <formula>2</formula>
    </cfRule>
    <cfRule type="colorScale" priority="7120">
      <colorScale>
        <cfvo type="min" val="0"/>
        <cfvo type="percentile" val="50"/>
        <cfvo type="max" val="0"/>
        <color rgb="FFF8696B"/>
        <color rgb="FFFFEB84"/>
        <color rgb="FF63BE7B"/>
      </colorScale>
    </cfRule>
    <cfRule type="colorScale" priority="7121">
      <colorScale>
        <cfvo type="num" val="1"/>
        <cfvo type="num" val="2"/>
        <cfvo type="num" val="3"/>
        <color rgb="FFF8696B"/>
        <color rgb="FFFFEB84"/>
        <color rgb="FF63BE7B"/>
      </colorScale>
    </cfRule>
    <cfRule type="colorScale" priority="7122">
      <colorScale>
        <cfvo type="num" val="1"/>
        <cfvo type="num" val="2"/>
        <cfvo type="num" val="3"/>
        <color rgb="FFF8696B"/>
        <color rgb="FFFFEB84"/>
        <color rgb="FF63BE7B"/>
      </colorScale>
    </cfRule>
    <cfRule type="colorScale" priority="7123">
      <colorScale>
        <cfvo type="num" val="1"/>
        <cfvo type="num" val="2"/>
        <cfvo type="num" val="3"/>
        <color rgb="FFF8696B"/>
        <color rgb="FFFFEB84"/>
        <color rgb="FF63BE7B"/>
      </colorScale>
    </cfRule>
    <cfRule type="colorScale" priority="7124">
      <colorScale>
        <cfvo type="num" val="1"/>
        <cfvo type="num" val="2"/>
        <cfvo type="num" val="3"/>
        <color rgb="FFF8696B"/>
        <color rgb="FFFFEB84"/>
        <color rgb="FF63BE7B"/>
      </colorScale>
    </cfRule>
    <cfRule type="colorScale" priority="7125">
      <colorScale>
        <cfvo type="num" val="1"/>
        <cfvo type="num" val="2"/>
        <cfvo type="num" val="3"/>
        <color rgb="FFF8696B"/>
        <color rgb="FFFFEB84"/>
        <color rgb="FF63BE7B"/>
      </colorScale>
    </cfRule>
    <cfRule type="colorScale" priority="7126">
      <colorScale>
        <cfvo type="num" val="1"/>
        <cfvo type="num" val="2"/>
        <cfvo type="num" val="3"/>
        <color rgb="FFF8696B"/>
        <color rgb="FFFFEB84"/>
        <color rgb="FF63BE7B"/>
      </colorScale>
    </cfRule>
  </conditionalFormatting>
  <conditionalFormatting sqref="AE505">
    <cfRule type="cellIs" dxfId="1324" priority="7107" operator="equal">
      <formula>5</formula>
    </cfRule>
    <cfRule type="cellIs" dxfId="1323" priority="7108" operator="equal">
      <formula>4</formula>
    </cfRule>
    <cfRule type="cellIs" dxfId="1322" priority="7109" operator="equal">
      <formula>1</formula>
    </cfRule>
    <cfRule type="cellIs" dxfId="1321" priority="7110" operator="equal">
      <formula>3</formula>
    </cfRule>
    <cfRule type="cellIs" dxfId="1320" priority="7111" operator="equal">
      <formula>2</formula>
    </cfRule>
    <cfRule type="colorScale" priority="7112">
      <colorScale>
        <cfvo type="min" val="0"/>
        <cfvo type="percentile" val="50"/>
        <cfvo type="max" val="0"/>
        <color rgb="FFF8696B"/>
        <color rgb="FFFFEB84"/>
        <color rgb="FF63BE7B"/>
      </colorScale>
    </cfRule>
    <cfRule type="colorScale" priority="7113">
      <colorScale>
        <cfvo type="num" val="1"/>
        <cfvo type="num" val="2"/>
        <cfvo type="num" val="3"/>
        <color rgb="FFF8696B"/>
        <color rgb="FFFFEB84"/>
        <color rgb="FF63BE7B"/>
      </colorScale>
    </cfRule>
    <cfRule type="colorScale" priority="7114">
      <colorScale>
        <cfvo type="num" val="1"/>
        <cfvo type="num" val="2"/>
        <cfvo type="num" val="3"/>
        <color rgb="FFF8696B"/>
        <color rgb="FFFFEB84"/>
        <color rgb="FF63BE7B"/>
      </colorScale>
    </cfRule>
  </conditionalFormatting>
  <conditionalFormatting sqref="AF7">
    <cfRule type="cellIs" dxfId="1319" priority="39933" operator="equal">
      <formula>5</formula>
    </cfRule>
    <cfRule type="cellIs" dxfId="1318" priority="39934" operator="equal">
      <formula>4</formula>
    </cfRule>
    <cfRule type="cellIs" dxfId="1317" priority="39935" operator="equal">
      <formula>1</formula>
    </cfRule>
    <cfRule type="colorScale" priority="39938">
      <colorScale>
        <cfvo type="min" val="0"/>
        <cfvo type="percentile" val="50"/>
        <cfvo type="max" val="0"/>
        <color rgb="FFF8696B"/>
        <color rgb="FFFFEB84"/>
        <color rgb="FF63BE7B"/>
      </colorScale>
    </cfRule>
    <cfRule type="colorScale" priority="39939">
      <colorScale>
        <cfvo type="num" val="1"/>
        <cfvo type="num" val="2"/>
        <cfvo type="num" val="3"/>
        <color rgb="FFF8696B"/>
        <color rgb="FFFFEB84"/>
        <color rgb="FF63BE7B"/>
      </colorScale>
    </cfRule>
    <cfRule type="colorScale" priority="39940">
      <colorScale>
        <cfvo type="num" val="1"/>
        <cfvo type="num" val="2"/>
        <cfvo type="num" val="3"/>
        <color rgb="FFF8696B"/>
        <color rgb="FFFFEB84"/>
        <color rgb="FF63BE7B"/>
      </colorScale>
    </cfRule>
  </conditionalFormatting>
  <conditionalFormatting sqref="AF13">
    <cfRule type="cellIs" dxfId="1316" priority="39941" operator="equal">
      <formula>5</formula>
    </cfRule>
    <cfRule type="cellIs" dxfId="1315" priority="39942" operator="equal">
      <formula>4</formula>
    </cfRule>
    <cfRule type="cellIs" dxfId="1314" priority="39943" operator="equal">
      <formula>1</formula>
    </cfRule>
    <cfRule type="cellIs" dxfId="1313" priority="39944" operator="equal">
      <formula>3</formula>
    </cfRule>
    <cfRule type="cellIs" dxfId="1312" priority="39945" operator="equal">
      <formula>2</formula>
    </cfRule>
    <cfRule type="colorScale" priority="39946">
      <colorScale>
        <cfvo type="min" val="0"/>
        <cfvo type="percentile" val="50"/>
        <cfvo type="max" val="0"/>
        <color rgb="FFF8696B"/>
        <color rgb="FFFFEB84"/>
        <color rgb="FF63BE7B"/>
      </colorScale>
    </cfRule>
    <cfRule type="colorScale" priority="39947">
      <colorScale>
        <cfvo type="num" val="1"/>
        <cfvo type="num" val="2"/>
        <cfvo type="num" val="3"/>
        <color rgb="FFF8696B"/>
        <color rgb="FFFFEB84"/>
        <color rgb="FF63BE7B"/>
      </colorScale>
    </cfRule>
    <cfRule type="colorScale" priority="39948">
      <colorScale>
        <cfvo type="num" val="1"/>
        <cfvo type="num" val="2"/>
        <cfvo type="num" val="3"/>
        <color rgb="FFF8696B"/>
        <color rgb="FFFFEB84"/>
        <color rgb="FF63BE7B"/>
      </colorScale>
    </cfRule>
    <cfRule type="colorScale" priority="39949">
      <colorScale>
        <cfvo type="num" val="1"/>
        <cfvo type="num" val="2"/>
        <cfvo type="num" val="3"/>
        <color rgb="FFF8696B"/>
        <color rgb="FFFFEB84"/>
        <color rgb="FF63BE7B"/>
      </colorScale>
    </cfRule>
    <cfRule type="colorScale" priority="39950">
      <colorScale>
        <cfvo type="num" val="1"/>
        <cfvo type="num" val="2"/>
        <cfvo type="num" val="3"/>
        <color rgb="FFF8696B"/>
        <color rgb="FFFFEB84"/>
        <color rgb="FF63BE7B"/>
      </colorScale>
    </cfRule>
    <cfRule type="colorScale" priority="39951">
      <colorScale>
        <cfvo type="num" val="1"/>
        <cfvo type="num" val="2"/>
        <cfvo type="num" val="3"/>
        <color rgb="FFF8696B"/>
        <color rgb="FFFFEB84"/>
        <color rgb="FF63BE7B"/>
      </colorScale>
    </cfRule>
    <cfRule type="colorScale" priority="39952">
      <colorScale>
        <cfvo type="num" val="1"/>
        <cfvo type="num" val="2"/>
        <cfvo type="num" val="3"/>
        <color rgb="FFF8696B"/>
        <color rgb="FFFFEB84"/>
        <color rgb="FF63BE7B"/>
      </colorScale>
    </cfRule>
  </conditionalFormatting>
  <conditionalFormatting sqref="AF36">
    <cfRule type="cellIs" dxfId="1311" priority="36558" operator="equal">
      <formula>5</formula>
    </cfRule>
    <cfRule type="cellIs" dxfId="1310" priority="36559" operator="equal">
      <formula>4</formula>
    </cfRule>
    <cfRule type="cellIs" dxfId="1309" priority="36560" operator="equal">
      <formula>1</formula>
    </cfRule>
    <cfRule type="cellIs" dxfId="1308" priority="36561" operator="equal">
      <formula>3</formula>
    </cfRule>
    <cfRule type="cellIs" dxfId="1307" priority="36562" operator="equal">
      <formula>2</formula>
    </cfRule>
    <cfRule type="colorScale" priority="36563">
      <colorScale>
        <cfvo type="min" val="0"/>
        <cfvo type="percentile" val="50"/>
        <cfvo type="max" val="0"/>
        <color rgb="FFF8696B"/>
        <color rgb="FFFFEB84"/>
        <color rgb="FF63BE7B"/>
      </colorScale>
    </cfRule>
    <cfRule type="colorScale" priority="36564">
      <colorScale>
        <cfvo type="num" val="1"/>
        <cfvo type="num" val="2"/>
        <cfvo type="num" val="3"/>
        <color rgb="FFF8696B"/>
        <color rgb="FFFFEB84"/>
        <color rgb="FF63BE7B"/>
      </colorScale>
    </cfRule>
    <cfRule type="colorScale" priority="36565">
      <colorScale>
        <cfvo type="num" val="1"/>
        <cfvo type="num" val="2"/>
        <cfvo type="num" val="3"/>
        <color rgb="FFF8696B"/>
        <color rgb="FFFFEB84"/>
        <color rgb="FF63BE7B"/>
      </colorScale>
    </cfRule>
  </conditionalFormatting>
  <conditionalFormatting sqref="AF42">
    <cfRule type="cellIs" dxfId="1306" priority="36566" operator="equal">
      <formula>5</formula>
    </cfRule>
    <cfRule type="cellIs" dxfId="1305" priority="36567" operator="equal">
      <formula>4</formula>
    </cfRule>
    <cfRule type="cellIs" dxfId="1304" priority="36568" operator="equal">
      <formula>1</formula>
    </cfRule>
    <cfRule type="cellIs" dxfId="1303" priority="36569" operator="equal">
      <formula>3</formula>
    </cfRule>
    <cfRule type="cellIs" dxfId="1302" priority="36570" operator="equal">
      <formula>2</formula>
    </cfRule>
    <cfRule type="colorScale" priority="36571">
      <colorScale>
        <cfvo type="min" val="0"/>
        <cfvo type="percentile" val="50"/>
        <cfvo type="max" val="0"/>
        <color rgb="FFF8696B"/>
        <color rgb="FFFFEB84"/>
        <color rgb="FF63BE7B"/>
      </colorScale>
    </cfRule>
    <cfRule type="colorScale" priority="36572">
      <colorScale>
        <cfvo type="num" val="1"/>
        <cfvo type="num" val="2"/>
        <cfvo type="num" val="3"/>
        <color rgb="FFF8696B"/>
        <color rgb="FFFFEB84"/>
        <color rgb="FF63BE7B"/>
      </colorScale>
    </cfRule>
    <cfRule type="colorScale" priority="36573">
      <colorScale>
        <cfvo type="num" val="1"/>
        <cfvo type="num" val="2"/>
        <cfvo type="num" val="3"/>
        <color rgb="FFF8696B"/>
        <color rgb="FFFFEB84"/>
        <color rgb="FF63BE7B"/>
      </colorScale>
    </cfRule>
    <cfRule type="colorScale" priority="36574">
      <colorScale>
        <cfvo type="num" val="1"/>
        <cfvo type="num" val="2"/>
        <cfvo type="num" val="3"/>
        <color rgb="FFF8696B"/>
        <color rgb="FFFFEB84"/>
        <color rgb="FF63BE7B"/>
      </colorScale>
    </cfRule>
    <cfRule type="colorScale" priority="36575">
      <colorScale>
        <cfvo type="num" val="1"/>
        <cfvo type="num" val="2"/>
        <cfvo type="num" val="3"/>
        <color rgb="FFF8696B"/>
        <color rgb="FFFFEB84"/>
        <color rgb="FF63BE7B"/>
      </colorScale>
    </cfRule>
    <cfRule type="colorScale" priority="36576">
      <colorScale>
        <cfvo type="num" val="1"/>
        <cfvo type="num" val="2"/>
        <cfvo type="num" val="3"/>
        <color rgb="FFF8696B"/>
        <color rgb="FFFFEB84"/>
        <color rgb="FF63BE7B"/>
      </colorScale>
    </cfRule>
    <cfRule type="colorScale" priority="36577">
      <colorScale>
        <cfvo type="num" val="1"/>
        <cfvo type="num" val="2"/>
        <cfvo type="num" val="3"/>
        <color rgb="FFF8696B"/>
        <color rgb="FFFFEB84"/>
        <color rgb="FF63BE7B"/>
      </colorScale>
    </cfRule>
  </conditionalFormatting>
  <conditionalFormatting sqref="AF64">
    <cfRule type="cellIs" dxfId="1301" priority="35497" operator="equal">
      <formula>5</formula>
    </cfRule>
    <cfRule type="cellIs" dxfId="1300" priority="35498" operator="equal">
      <formula>4</formula>
    </cfRule>
    <cfRule type="cellIs" dxfId="1299" priority="35499" operator="equal">
      <formula>1</formula>
    </cfRule>
    <cfRule type="cellIs" dxfId="1298" priority="35500" operator="equal">
      <formula>3</formula>
    </cfRule>
    <cfRule type="cellIs" dxfId="1297" priority="35501" operator="equal">
      <formula>2</formula>
    </cfRule>
    <cfRule type="colorScale" priority="35502">
      <colorScale>
        <cfvo type="min" val="0"/>
        <cfvo type="percentile" val="50"/>
        <cfvo type="max" val="0"/>
        <color rgb="FFF8696B"/>
        <color rgb="FFFFEB84"/>
        <color rgb="FF63BE7B"/>
      </colorScale>
    </cfRule>
    <cfRule type="colorScale" priority="35503">
      <colorScale>
        <cfvo type="num" val="1"/>
        <cfvo type="num" val="2"/>
        <cfvo type="num" val="3"/>
        <color rgb="FFF8696B"/>
        <color rgb="FFFFEB84"/>
        <color rgb="FF63BE7B"/>
      </colorScale>
    </cfRule>
    <cfRule type="colorScale" priority="35504">
      <colorScale>
        <cfvo type="num" val="1"/>
        <cfvo type="num" val="2"/>
        <cfvo type="num" val="3"/>
        <color rgb="FFF8696B"/>
        <color rgb="FFFFEB84"/>
        <color rgb="FF63BE7B"/>
      </colorScale>
    </cfRule>
  </conditionalFormatting>
  <conditionalFormatting sqref="AF70">
    <cfRule type="cellIs" dxfId="1296" priority="35505" operator="equal">
      <formula>5</formula>
    </cfRule>
    <cfRule type="cellIs" dxfId="1295" priority="35506" operator="equal">
      <formula>4</formula>
    </cfRule>
    <cfRule type="cellIs" dxfId="1294" priority="35507" operator="equal">
      <formula>1</formula>
    </cfRule>
    <cfRule type="cellIs" dxfId="1293" priority="35508" operator="equal">
      <formula>3</formula>
    </cfRule>
    <cfRule type="cellIs" dxfId="1292" priority="35509" operator="equal">
      <formula>2</formula>
    </cfRule>
    <cfRule type="colorScale" priority="35510">
      <colorScale>
        <cfvo type="min" val="0"/>
        <cfvo type="percentile" val="50"/>
        <cfvo type="max" val="0"/>
        <color rgb="FFF8696B"/>
        <color rgb="FFFFEB84"/>
        <color rgb="FF63BE7B"/>
      </colorScale>
    </cfRule>
    <cfRule type="colorScale" priority="35511">
      <colorScale>
        <cfvo type="num" val="1"/>
        <cfvo type="num" val="2"/>
        <cfvo type="num" val="3"/>
        <color rgb="FFF8696B"/>
        <color rgb="FFFFEB84"/>
        <color rgb="FF63BE7B"/>
      </colorScale>
    </cfRule>
    <cfRule type="colorScale" priority="35512">
      <colorScale>
        <cfvo type="num" val="1"/>
        <cfvo type="num" val="2"/>
        <cfvo type="num" val="3"/>
        <color rgb="FFF8696B"/>
        <color rgb="FFFFEB84"/>
        <color rgb="FF63BE7B"/>
      </colorScale>
    </cfRule>
    <cfRule type="colorScale" priority="35513">
      <colorScale>
        <cfvo type="num" val="1"/>
        <cfvo type="num" val="2"/>
        <cfvo type="num" val="3"/>
        <color rgb="FFF8696B"/>
        <color rgb="FFFFEB84"/>
        <color rgb="FF63BE7B"/>
      </colorScale>
    </cfRule>
    <cfRule type="colorScale" priority="35514">
      <colorScale>
        <cfvo type="num" val="1"/>
        <cfvo type="num" val="2"/>
        <cfvo type="num" val="3"/>
        <color rgb="FFF8696B"/>
        <color rgb="FFFFEB84"/>
        <color rgb="FF63BE7B"/>
      </colorScale>
    </cfRule>
    <cfRule type="colorScale" priority="35515">
      <colorScale>
        <cfvo type="num" val="1"/>
        <cfvo type="num" val="2"/>
        <cfvo type="num" val="3"/>
        <color rgb="FFF8696B"/>
        <color rgb="FFFFEB84"/>
        <color rgb="FF63BE7B"/>
      </colorScale>
    </cfRule>
    <cfRule type="colorScale" priority="35516">
      <colorScale>
        <cfvo type="num" val="1"/>
        <cfvo type="num" val="2"/>
        <cfvo type="num" val="3"/>
        <color rgb="FFF8696B"/>
        <color rgb="FFFFEB84"/>
        <color rgb="FF63BE7B"/>
      </colorScale>
    </cfRule>
  </conditionalFormatting>
  <conditionalFormatting sqref="AF103">
    <cfRule type="cellIs" dxfId="1291" priority="37495" operator="equal">
      <formula>5</formula>
    </cfRule>
    <cfRule type="cellIs" dxfId="1290" priority="37496" operator="equal">
      <formula>4</formula>
    </cfRule>
    <cfRule type="cellIs" dxfId="1289" priority="37497" operator="equal">
      <formula>1</formula>
    </cfRule>
    <cfRule type="cellIs" dxfId="1288" priority="37498" operator="equal">
      <formula>3</formula>
    </cfRule>
    <cfRule type="cellIs" dxfId="1287" priority="37499" operator="equal">
      <formula>2</formula>
    </cfRule>
    <cfRule type="colorScale" priority="37500">
      <colorScale>
        <cfvo type="min" val="0"/>
        <cfvo type="percentile" val="50"/>
        <cfvo type="max" val="0"/>
        <color rgb="FFF8696B"/>
        <color rgb="FFFFEB84"/>
        <color rgb="FF63BE7B"/>
      </colorScale>
    </cfRule>
    <cfRule type="colorScale" priority="37501">
      <colorScale>
        <cfvo type="num" val="1"/>
        <cfvo type="num" val="2"/>
        <cfvo type="num" val="3"/>
        <color rgb="FFF8696B"/>
        <color rgb="FFFFEB84"/>
        <color rgb="FF63BE7B"/>
      </colorScale>
    </cfRule>
    <cfRule type="colorScale" priority="37502">
      <colorScale>
        <cfvo type="num" val="1"/>
        <cfvo type="num" val="2"/>
        <cfvo type="num" val="3"/>
        <color rgb="FFF8696B"/>
        <color rgb="FFFFEB84"/>
        <color rgb="FF63BE7B"/>
      </colorScale>
    </cfRule>
    <cfRule type="colorScale" priority="37503">
      <colorScale>
        <cfvo type="num" val="1"/>
        <cfvo type="num" val="2"/>
        <cfvo type="num" val="3"/>
        <color rgb="FFF8696B"/>
        <color rgb="FFFFEB84"/>
        <color rgb="FF63BE7B"/>
      </colorScale>
    </cfRule>
    <cfRule type="colorScale" priority="37504">
      <colorScale>
        <cfvo type="num" val="1"/>
        <cfvo type="num" val="2"/>
        <cfvo type="num" val="3"/>
        <color rgb="FFF8696B"/>
        <color rgb="FFFFEB84"/>
        <color rgb="FF63BE7B"/>
      </colorScale>
    </cfRule>
    <cfRule type="colorScale" priority="37505">
      <colorScale>
        <cfvo type="num" val="1"/>
        <cfvo type="num" val="2"/>
        <cfvo type="num" val="3"/>
        <color rgb="FFF8696B"/>
        <color rgb="FFFFEB84"/>
        <color rgb="FF63BE7B"/>
      </colorScale>
    </cfRule>
    <cfRule type="colorScale" priority="37506">
      <colorScale>
        <cfvo type="num" val="1"/>
        <cfvo type="num" val="2"/>
        <cfvo type="num" val="3"/>
        <color rgb="FFF8696B"/>
        <color rgb="FFFFEB84"/>
        <color rgb="FF63BE7B"/>
      </colorScale>
    </cfRule>
  </conditionalFormatting>
  <conditionalFormatting sqref="AF136">
    <cfRule type="cellIs" dxfId="1286" priority="26205" operator="equal">
      <formula>5</formula>
    </cfRule>
    <cfRule type="cellIs" dxfId="1285" priority="26206" operator="equal">
      <formula>4</formula>
    </cfRule>
    <cfRule type="cellIs" dxfId="1284" priority="26207" operator="equal">
      <formula>1</formula>
    </cfRule>
    <cfRule type="cellIs" dxfId="1283" priority="26208" operator="equal">
      <formula>3</formula>
    </cfRule>
    <cfRule type="cellIs" dxfId="1282" priority="26209" operator="equal">
      <formula>2</formula>
    </cfRule>
    <cfRule type="colorScale" priority="26210">
      <colorScale>
        <cfvo type="min" val="0"/>
        <cfvo type="percentile" val="50"/>
        <cfvo type="max" val="0"/>
        <color rgb="FFF8696B"/>
        <color rgb="FFFFEB84"/>
        <color rgb="FF63BE7B"/>
      </colorScale>
    </cfRule>
    <cfRule type="colorScale" priority="26211">
      <colorScale>
        <cfvo type="num" val="1"/>
        <cfvo type="num" val="2"/>
        <cfvo type="num" val="3"/>
        <color rgb="FFF8696B"/>
        <color rgb="FFFFEB84"/>
        <color rgb="FF63BE7B"/>
      </colorScale>
    </cfRule>
    <cfRule type="colorScale" priority="26212">
      <colorScale>
        <cfvo type="num" val="1"/>
        <cfvo type="num" val="2"/>
        <cfvo type="num" val="3"/>
        <color rgb="FFF8696B"/>
        <color rgb="FFFFEB84"/>
        <color rgb="FF63BE7B"/>
      </colorScale>
    </cfRule>
    <cfRule type="colorScale" priority="26213">
      <colorScale>
        <cfvo type="num" val="1"/>
        <cfvo type="num" val="2"/>
        <cfvo type="num" val="3"/>
        <color rgb="FFF8696B"/>
        <color rgb="FFFFEB84"/>
        <color rgb="FF63BE7B"/>
      </colorScale>
    </cfRule>
    <cfRule type="colorScale" priority="26214">
      <colorScale>
        <cfvo type="num" val="1"/>
        <cfvo type="num" val="2"/>
        <cfvo type="num" val="3"/>
        <color rgb="FFF8696B"/>
        <color rgb="FFFFEB84"/>
        <color rgb="FF63BE7B"/>
      </colorScale>
    </cfRule>
    <cfRule type="colorScale" priority="26215">
      <colorScale>
        <cfvo type="num" val="1"/>
        <cfvo type="num" val="2"/>
        <cfvo type="num" val="3"/>
        <color rgb="FFF8696B"/>
        <color rgb="FFFFEB84"/>
        <color rgb="FF63BE7B"/>
      </colorScale>
    </cfRule>
    <cfRule type="colorScale" priority="26216">
      <colorScale>
        <cfvo type="num" val="1"/>
        <cfvo type="num" val="2"/>
        <cfvo type="num" val="3"/>
        <color rgb="FFF8696B"/>
        <color rgb="FFFFEB84"/>
        <color rgb="FF63BE7B"/>
      </colorScale>
    </cfRule>
  </conditionalFormatting>
  <conditionalFormatting sqref="AF163">
    <cfRule type="cellIs" dxfId="1281" priority="14713" operator="equal">
      <formula>5</formula>
    </cfRule>
    <cfRule type="cellIs" dxfId="1280" priority="14714" operator="equal">
      <formula>4</formula>
    </cfRule>
    <cfRule type="cellIs" dxfId="1279" priority="14715" operator="equal">
      <formula>1</formula>
    </cfRule>
    <cfRule type="cellIs" dxfId="1278" priority="14716" operator="equal">
      <formula>3</formula>
    </cfRule>
    <cfRule type="cellIs" dxfId="1277" priority="14717" operator="equal">
      <formula>2</formula>
    </cfRule>
    <cfRule type="colorScale" priority="14718">
      <colorScale>
        <cfvo type="num" val="1"/>
        <cfvo type="num" val="2"/>
        <cfvo type="num" val="3"/>
        <color rgb="FFF8696B"/>
        <color rgb="FFFFEB84"/>
        <color rgb="FF63BE7B"/>
      </colorScale>
    </cfRule>
    <cfRule type="colorScale" priority="14719">
      <colorScale>
        <cfvo type="num" val="1"/>
        <cfvo type="num" val="2"/>
        <cfvo type="num" val="3"/>
        <color rgb="FFF8696B"/>
        <color rgb="FFFFEB84"/>
        <color rgb="FF63BE7B"/>
      </colorScale>
    </cfRule>
    <cfRule type="colorScale" priority="14720">
      <colorScale>
        <cfvo type="min" val="0"/>
        <cfvo type="percentile" val="50"/>
        <cfvo type="max" val="0"/>
        <color rgb="FFF8696B"/>
        <color rgb="FFFFEB84"/>
        <color rgb="FF63BE7B"/>
      </colorScale>
    </cfRule>
  </conditionalFormatting>
  <conditionalFormatting sqref="AF167">
    <cfRule type="cellIs" dxfId="1276" priority="14729" operator="equal">
      <formula>5</formula>
    </cfRule>
    <cfRule type="cellIs" dxfId="1275" priority="14730" operator="equal">
      <formula>4</formula>
    </cfRule>
    <cfRule type="cellIs" dxfId="1274" priority="14731" operator="equal">
      <formula>1</formula>
    </cfRule>
    <cfRule type="cellIs" dxfId="1273" priority="14732" operator="equal">
      <formula>3</formula>
    </cfRule>
    <cfRule type="cellIs" dxfId="1272" priority="14733" operator="equal">
      <formula>2</formula>
    </cfRule>
    <cfRule type="colorScale" priority="14734">
      <colorScale>
        <cfvo type="num" val="1"/>
        <cfvo type="num" val="2"/>
        <cfvo type="num" val="3"/>
        <color rgb="FFF8696B"/>
        <color rgb="FFFFEB84"/>
        <color rgb="FF63BE7B"/>
      </colorScale>
    </cfRule>
    <cfRule type="colorScale" priority="14735">
      <colorScale>
        <cfvo type="num" val="1"/>
        <cfvo type="num" val="2"/>
        <cfvo type="num" val="3"/>
        <color rgb="FFF8696B"/>
        <color rgb="FFFFEB84"/>
        <color rgb="FF63BE7B"/>
      </colorScale>
    </cfRule>
    <cfRule type="colorScale" priority="14736">
      <colorScale>
        <cfvo type="min" val="0"/>
        <cfvo type="percentile" val="50"/>
        <cfvo type="max" val="0"/>
        <color rgb="FFF8696B"/>
        <color rgb="FFFFEB84"/>
        <color rgb="FF63BE7B"/>
      </colorScale>
    </cfRule>
  </conditionalFormatting>
  <conditionalFormatting sqref="AF171">
    <cfRule type="cellIs" dxfId="1271" priority="14721" operator="equal">
      <formula>5</formula>
    </cfRule>
    <cfRule type="cellIs" dxfId="1270" priority="14722" operator="equal">
      <formula>4</formula>
    </cfRule>
    <cfRule type="cellIs" dxfId="1269" priority="14723" operator="equal">
      <formula>1</formula>
    </cfRule>
    <cfRule type="cellIs" dxfId="1268" priority="14724" operator="equal">
      <formula>3</formula>
    </cfRule>
    <cfRule type="cellIs" dxfId="1267" priority="14725" operator="equal">
      <formula>2</formula>
    </cfRule>
    <cfRule type="colorScale" priority="14726">
      <colorScale>
        <cfvo type="num" val="1"/>
        <cfvo type="num" val="2"/>
        <cfvo type="num" val="3"/>
        <color rgb="FFF8696B"/>
        <color rgb="FFFFEB84"/>
        <color rgb="FF63BE7B"/>
      </colorScale>
    </cfRule>
    <cfRule type="colorScale" priority="14727">
      <colorScale>
        <cfvo type="num" val="1"/>
        <cfvo type="num" val="2"/>
        <cfvo type="num" val="3"/>
        <color rgb="FFF8696B"/>
        <color rgb="FFFFEB84"/>
        <color rgb="FF63BE7B"/>
      </colorScale>
    </cfRule>
    <cfRule type="colorScale" priority="14728">
      <colorScale>
        <cfvo type="min" val="0"/>
        <cfvo type="percentile" val="50"/>
        <cfvo type="max" val="0"/>
        <color rgb="FFF8696B"/>
        <color rgb="FFFFEB84"/>
        <color rgb="FF63BE7B"/>
      </colorScale>
    </cfRule>
  </conditionalFormatting>
  <conditionalFormatting sqref="AF222">
    <cfRule type="cellIs" dxfId="1266" priority="16624" operator="equal">
      <formula>5</formula>
    </cfRule>
    <cfRule type="cellIs" dxfId="1265" priority="16625" operator="equal">
      <formula>4</formula>
    </cfRule>
    <cfRule type="cellIs" dxfId="1264" priority="16626" operator="equal">
      <formula>1</formula>
    </cfRule>
    <cfRule type="cellIs" dxfId="1263" priority="16627" operator="equal">
      <formula>3</formula>
    </cfRule>
    <cfRule type="cellIs" dxfId="1262" priority="16628" operator="equal">
      <formula>2</formula>
    </cfRule>
    <cfRule type="colorScale" priority="16629">
      <colorScale>
        <cfvo type="min" val="0"/>
        <cfvo type="percentile" val="50"/>
        <cfvo type="max" val="0"/>
        <color rgb="FFF8696B"/>
        <color rgb="FFFFEB84"/>
        <color rgb="FF63BE7B"/>
      </colorScale>
    </cfRule>
    <cfRule type="colorScale" priority="16630">
      <colorScale>
        <cfvo type="num" val="1"/>
        <cfvo type="num" val="2"/>
        <cfvo type="num" val="3"/>
        <color rgb="FFF8696B"/>
        <color rgb="FFFFEB84"/>
        <color rgb="FF63BE7B"/>
      </colorScale>
    </cfRule>
    <cfRule type="colorScale" priority="16631">
      <colorScale>
        <cfvo type="num" val="1"/>
        <cfvo type="num" val="2"/>
        <cfvo type="num" val="3"/>
        <color rgb="FFF8696B"/>
        <color rgb="FFFFEB84"/>
        <color rgb="FF63BE7B"/>
      </colorScale>
    </cfRule>
  </conditionalFormatting>
  <conditionalFormatting sqref="AF230">
    <cfRule type="cellIs" dxfId="1261" priority="16175" operator="equal">
      <formula>5</formula>
    </cfRule>
    <cfRule type="cellIs" dxfId="1260" priority="16176" operator="equal">
      <formula>4</formula>
    </cfRule>
    <cfRule type="cellIs" dxfId="1259" priority="16177" operator="equal">
      <formula>1</formula>
    </cfRule>
    <cfRule type="cellIs" dxfId="1258" priority="16178" operator="equal">
      <formula>3</formula>
    </cfRule>
    <cfRule type="cellIs" dxfId="1257" priority="16179" operator="equal">
      <formula>2</formula>
    </cfRule>
    <cfRule type="colorScale" priority="16180">
      <colorScale>
        <cfvo type="min" val="0"/>
        <cfvo type="percentile" val="50"/>
        <cfvo type="max" val="0"/>
        <color rgb="FFF8696B"/>
        <color rgb="FFFFEB84"/>
        <color rgb="FF63BE7B"/>
      </colorScale>
    </cfRule>
    <cfRule type="colorScale" priority="16181">
      <colorScale>
        <cfvo type="num" val="1"/>
        <cfvo type="num" val="2"/>
        <cfvo type="num" val="3"/>
        <color rgb="FFF8696B"/>
        <color rgb="FFFFEB84"/>
        <color rgb="FF63BE7B"/>
      </colorScale>
    </cfRule>
    <cfRule type="colorScale" priority="16182">
      <colorScale>
        <cfvo type="num" val="1"/>
        <cfvo type="num" val="2"/>
        <cfvo type="num" val="3"/>
        <color rgb="FFF8696B"/>
        <color rgb="FFFFEB84"/>
        <color rgb="FF63BE7B"/>
      </colorScale>
    </cfRule>
    <cfRule type="colorScale" priority="16183">
      <colorScale>
        <cfvo type="num" val="1"/>
        <cfvo type="num" val="2"/>
        <cfvo type="num" val="3"/>
        <color rgb="FFF8696B"/>
        <color rgb="FFFFEB84"/>
        <color rgb="FF63BE7B"/>
      </colorScale>
    </cfRule>
    <cfRule type="colorScale" priority="16184">
      <colorScale>
        <cfvo type="num" val="1"/>
        <cfvo type="num" val="2"/>
        <cfvo type="num" val="3"/>
        <color rgb="FFF8696B"/>
        <color rgb="FFFFEB84"/>
        <color rgb="FF63BE7B"/>
      </colorScale>
    </cfRule>
    <cfRule type="colorScale" priority="16185">
      <colorScale>
        <cfvo type="num" val="1"/>
        <cfvo type="num" val="2"/>
        <cfvo type="num" val="3"/>
        <color rgb="FFF8696B"/>
        <color rgb="FFFFEB84"/>
        <color rgb="FF63BE7B"/>
      </colorScale>
    </cfRule>
    <cfRule type="colorScale" priority="16186">
      <colorScale>
        <cfvo type="num" val="1"/>
        <cfvo type="num" val="2"/>
        <cfvo type="num" val="3"/>
        <color rgb="FFF8696B"/>
        <color rgb="FFFFEB84"/>
        <color rgb="FF63BE7B"/>
      </colorScale>
    </cfRule>
  </conditionalFormatting>
  <conditionalFormatting sqref="AF308">
    <cfRule type="cellIs" dxfId="1256" priority="20117" operator="equal">
      <formula>5</formula>
    </cfRule>
    <cfRule type="cellIs" dxfId="1255" priority="20118" operator="equal">
      <formula>4</formula>
    </cfRule>
    <cfRule type="cellIs" dxfId="1254" priority="20119" operator="equal">
      <formula>1</formula>
    </cfRule>
    <cfRule type="cellIs" dxfId="1253" priority="20120" operator="equal">
      <formula>3</formula>
    </cfRule>
    <cfRule type="cellIs" dxfId="1252" priority="20121" operator="equal">
      <formula>2</formula>
    </cfRule>
    <cfRule type="colorScale" priority="20122">
      <colorScale>
        <cfvo type="min" val="0"/>
        <cfvo type="percentile" val="50"/>
        <cfvo type="max" val="0"/>
        <color rgb="FFF8696B"/>
        <color rgb="FFFFEB84"/>
        <color rgb="FF63BE7B"/>
      </colorScale>
    </cfRule>
    <cfRule type="colorScale" priority="20123">
      <colorScale>
        <cfvo type="num" val="1"/>
        <cfvo type="num" val="2"/>
        <cfvo type="num" val="3"/>
        <color rgb="FFF8696B"/>
        <color rgb="FFFFEB84"/>
        <color rgb="FF63BE7B"/>
      </colorScale>
    </cfRule>
    <cfRule type="colorScale" priority="20124">
      <colorScale>
        <cfvo type="num" val="1"/>
        <cfvo type="num" val="2"/>
        <cfvo type="num" val="3"/>
        <color rgb="FFF8696B"/>
        <color rgb="FFFFEB84"/>
        <color rgb="FF63BE7B"/>
      </colorScale>
    </cfRule>
    <cfRule type="colorScale" priority="20125">
      <colorScale>
        <cfvo type="num" val="1"/>
        <cfvo type="num" val="2"/>
        <cfvo type="num" val="3"/>
        <color rgb="FFF8696B"/>
        <color rgb="FFFFEB84"/>
        <color rgb="FF63BE7B"/>
      </colorScale>
    </cfRule>
    <cfRule type="colorScale" priority="20126">
      <colorScale>
        <cfvo type="num" val="1"/>
        <cfvo type="num" val="2"/>
        <cfvo type="num" val="3"/>
        <color rgb="FFF8696B"/>
        <color rgb="FFFFEB84"/>
        <color rgb="FF63BE7B"/>
      </colorScale>
    </cfRule>
    <cfRule type="colorScale" priority="20127">
      <colorScale>
        <cfvo type="num" val="1"/>
        <cfvo type="num" val="2"/>
        <cfvo type="num" val="3"/>
        <color rgb="FFF8696B"/>
        <color rgb="FFFFEB84"/>
        <color rgb="FF63BE7B"/>
      </colorScale>
    </cfRule>
    <cfRule type="colorScale" priority="20128">
      <colorScale>
        <cfvo type="num" val="1"/>
        <cfvo type="num" val="2"/>
        <cfvo type="num" val="3"/>
        <color rgb="FFF8696B"/>
        <color rgb="FFFFEB84"/>
        <color rgb="FF63BE7B"/>
      </colorScale>
    </cfRule>
  </conditionalFormatting>
  <conditionalFormatting sqref="AF329">
    <cfRule type="cellIs" dxfId="1251" priority="21276" operator="equal">
      <formula>5</formula>
    </cfRule>
    <cfRule type="cellIs" dxfId="1250" priority="21277" operator="equal">
      <formula>4</formula>
    </cfRule>
    <cfRule type="cellIs" dxfId="1249" priority="21278" operator="equal">
      <formula>1</formula>
    </cfRule>
    <cfRule type="cellIs" dxfId="1248" priority="21279" operator="equal">
      <formula>3</formula>
    </cfRule>
    <cfRule type="cellIs" dxfId="1247" priority="21280" operator="equal">
      <formula>2</formula>
    </cfRule>
    <cfRule type="colorScale" priority="21281">
      <colorScale>
        <cfvo type="min" val="0"/>
        <cfvo type="percentile" val="50"/>
        <cfvo type="max" val="0"/>
        <color rgb="FFF8696B"/>
        <color rgb="FFFFEB84"/>
        <color rgb="FF63BE7B"/>
      </colorScale>
    </cfRule>
    <cfRule type="colorScale" priority="21282">
      <colorScale>
        <cfvo type="num" val="1"/>
        <cfvo type="num" val="2"/>
        <cfvo type="num" val="3"/>
        <color rgb="FFF8696B"/>
        <color rgb="FFFFEB84"/>
        <color rgb="FF63BE7B"/>
      </colorScale>
    </cfRule>
    <cfRule type="colorScale" priority="21283">
      <colorScale>
        <cfvo type="num" val="1"/>
        <cfvo type="num" val="2"/>
        <cfvo type="num" val="3"/>
        <color rgb="FFF8696B"/>
        <color rgb="FFFFEB84"/>
        <color rgb="FF63BE7B"/>
      </colorScale>
    </cfRule>
  </conditionalFormatting>
  <conditionalFormatting sqref="AF335">
    <cfRule type="cellIs" dxfId="1246" priority="21284" operator="equal">
      <formula>5</formula>
    </cfRule>
    <cfRule type="cellIs" dxfId="1245" priority="21285" operator="equal">
      <formula>4</formula>
    </cfRule>
    <cfRule type="cellIs" dxfId="1244" priority="21286" operator="equal">
      <formula>1</formula>
    </cfRule>
    <cfRule type="cellIs" dxfId="1243" priority="21287" operator="equal">
      <formula>3</formula>
    </cfRule>
    <cfRule type="cellIs" dxfId="1242" priority="21288" operator="equal">
      <formula>2</formula>
    </cfRule>
    <cfRule type="colorScale" priority="21289">
      <colorScale>
        <cfvo type="min" val="0"/>
        <cfvo type="percentile" val="50"/>
        <cfvo type="max" val="0"/>
        <color rgb="FFF8696B"/>
        <color rgb="FFFFEB84"/>
        <color rgb="FF63BE7B"/>
      </colorScale>
    </cfRule>
    <cfRule type="colorScale" priority="21290">
      <colorScale>
        <cfvo type="num" val="1"/>
        <cfvo type="num" val="2"/>
        <cfvo type="num" val="3"/>
        <color rgb="FFF8696B"/>
        <color rgb="FFFFEB84"/>
        <color rgb="FF63BE7B"/>
      </colorScale>
    </cfRule>
    <cfRule type="colorScale" priority="21291">
      <colorScale>
        <cfvo type="num" val="1"/>
        <cfvo type="num" val="2"/>
        <cfvo type="num" val="3"/>
        <color rgb="FFF8696B"/>
        <color rgb="FFFFEB84"/>
        <color rgb="FF63BE7B"/>
      </colorScale>
    </cfRule>
    <cfRule type="colorScale" priority="21292">
      <colorScale>
        <cfvo type="num" val="1"/>
        <cfvo type="num" val="2"/>
        <cfvo type="num" val="3"/>
        <color rgb="FFF8696B"/>
        <color rgb="FFFFEB84"/>
        <color rgb="FF63BE7B"/>
      </colorScale>
    </cfRule>
    <cfRule type="colorScale" priority="21293">
      <colorScale>
        <cfvo type="num" val="1"/>
        <cfvo type="num" val="2"/>
        <cfvo type="num" val="3"/>
        <color rgb="FFF8696B"/>
        <color rgb="FFFFEB84"/>
        <color rgb="FF63BE7B"/>
      </colorScale>
    </cfRule>
    <cfRule type="colorScale" priority="21294">
      <colorScale>
        <cfvo type="num" val="1"/>
        <cfvo type="num" val="2"/>
        <cfvo type="num" val="3"/>
        <color rgb="FFF8696B"/>
        <color rgb="FFFFEB84"/>
        <color rgb="FF63BE7B"/>
      </colorScale>
    </cfRule>
    <cfRule type="colorScale" priority="21295">
      <colorScale>
        <cfvo type="num" val="1"/>
        <cfvo type="num" val="2"/>
        <cfvo type="num" val="3"/>
        <color rgb="FFF8696B"/>
        <color rgb="FFFFEB84"/>
        <color rgb="FF63BE7B"/>
      </colorScale>
    </cfRule>
  </conditionalFormatting>
  <conditionalFormatting sqref="AF357">
    <cfRule type="cellIs" dxfId="1241" priority="18223" operator="equal">
      <formula>5</formula>
    </cfRule>
    <cfRule type="cellIs" dxfId="1240" priority="18224" operator="equal">
      <formula>4</formula>
    </cfRule>
    <cfRule type="cellIs" dxfId="1239" priority="18225" operator="equal">
      <formula>1</formula>
    </cfRule>
    <cfRule type="cellIs" dxfId="1238" priority="18226" operator="equal">
      <formula>3</formula>
    </cfRule>
    <cfRule type="cellIs" dxfId="1237" priority="18227" operator="equal">
      <formula>2</formula>
    </cfRule>
    <cfRule type="colorScale" priority="18228">
      <colorScale>
        <cfvo type="min" val="0"/>
        <cfvo type="percentile" val="50"/>
        <cfvo type="max" val="0"/>
        <color rgb="FFF8696B"/>
        <color rgb="FFFFEB84"/>
        <color rgb="FF63BE7B"/>
      </colorScale>
    </cfRule>
    <cfRule type="colorScale" priority="18229">
      <colorScale>
        <cfvo type="num" val="1"/>
        <cfvo type="num" val="2"/>
        <cfvo type="num" val="3"/>
        <color rgb="FFF8696B"/>
        <color rgb="FFFFEB84"/>
        <color rgb="FF63BE7B"/>
      </colorScale>
    </cfRule>
    <cfRule type="colorScale" priority="18230">
      <colorScale>
        <cfvo type="num" val="1"/>
        <cfvo type="num" val="2"/>
        <cfvo type="num" val="3"/>
        <color rgb="FFF8696B"/>
        <color rgb="FFFFEB84"/>
        <color rgb="FF63BE7B"/>
      </colorScale>
    </cfRule>
  </conditionalFormatting>
  <conditionalFormatting sqref="AF363">
    <cfRule type="cellIs" dxfId="1236" priority="18231" operator="equal">
      <formula>5</formula>
    </cfRule>
    <cfRule type="cellIs" dxfId="1235" priority="18232" operator="equal">
      <formula>4</formula>
    </cfRule>
    <cfRule type="cellIs" dxfId="1234" priority="18233" operator="equal">
      <formula>1</formula>
    </cfRule>
    <cfRule type="cellIs" dxfId="1233" priority="18234" operator="equal">
      <formula>3</formula>
    </cfRule>
    <cfRule type="cellIs" dxfId="1232" priority="18235" operator="equal">
      <formula>2</formula>
    </cfRule>
    <cfRule type="colorScale" priority="18236">
      <colorScale>
        <cfvo type="min" val="0"/>
        <cfvo type="percentile" val="50"/>
        <cfvo type="max" val="0"/>
        <color rgb="FFF8696B"/>
        <color rgb="FFFFEB84"/>
        <color rgb="FF63BE7B"/>
      </colorScale>
    </cfRule>
    <cfRule type="colorScale" priority="18237">
      <colorScale>
        <cfvo type="num" val="1"/>
        <cfvo type="num" val="2"/>
        <cfvo type="num" val="3"/>
        <color rgb="FFF8696B"/>
        <color rgb="FFFFEB84"/>
        <color rgb="FF63BE7B"/>
      </colorScale>
    </cfRule>
    <cfRule type="colorScale" priority="18238">
      <colorScale>
        <cfvo type="num" val="1"/>
        <cfvo type="num" val="2"/>
        <cfvo type="num" val="3"/>
        <color rgb="FFF8696B"/>
        <color rgb="FFFFEB84"/>
        <color rgb="FF63BE7B"/>
      </colorScale>
    </cfRule>
    <cfRule type="colorScale" priority="18239">
      <colorScale>
        <cfvo type="num" val="1"/>
        <cfvo type="num" val="2"/>
        <cfvo type="num" val="3"/>
        <color rgb="FFF8696B"/>
        <color rgb="FFFFEB84"/>
        <color rgb="FF63BE7B"/>
      </colorScale>
    </cfRule>
    <cfRule type="colorScale" priority="18240">
      <colorScale>
        <cfvo type="num" val="1"/>
        <cfvo type="num" val="2"/>
        <cfvo type="num" val="3"/>
        <color rgb="FFF8696B"/>
        <color rgb="FFFFEB84"/>
        <color rgb="FF63BE7B"/>
      </colorScale>
    </cfRule>
    <cfRule type="colorScale" priority="18241">
      <colorScale>
        <cfvo type="num" val="1"/>
        <cfvo type="num" val="2"/>
        <cfvo type="num" val="3"/>
        <color rgb="FFF8696B"/>
        <color rgb="FFFFEB84"/>
        <color rgb="FF63BE7B"/>
      </colorScale>
    </cfRule>
    <cfRule type="colorScale" priority="18242">
      <colorScale>
        <cfvo type="num" val="1"/>
        <cfvo type="num" val="2"/>
        <cfvo type="num" val="3"/>
        <color rgb="FFF8696B"/>
        <color rgb="FFFFEB84"/>
        <color rgb="FF63BE7B"/>
      </colorScale>
    </cfRule>
  </conditionalFormatting>
  <conditionalFormatting sqref="AF389">
    <cfRule type="cellIs" dxfId="1231" priority="11602" operator="equal">
      <formula>5</formula>
    </cfRule>
    <cfRule type="cellIs" dxfId="1230" priority="11603" operator="equal">
      <formula>4</formula>
    </cfRule>
    <cfRule type="cellIs" dxfId="1229" priority="11604" operator="equal">
      <formula>1</formula>
    </cfRule>
    <cfRule type="cellIs" dxfId="1228" priority="11605" operator="equal">
      <formula>3</formula>
    </cfRule>
    <cfRule type="cellIs" dxfId="1227" priority="11606" operator="equal">
      <formula>2</formula>
    </cfRule>
    <cfRule type="colorScale" priority="11607">
      <colorScale>
        <cfvo type="min" val="0"/>
        <cfvo type="percentile" val="50"/>
        <cfvo type="max" val="0"/>
        <color rgb="FFF8696B"/>
        <color rgb="FFFFEB84"/>
        <color rgb="FF63BE7B"/>
      </colorScale>
    </cfRule>
    <cfRule type="colorScale" priority="11608">
      <colorScale>
        <cfvo type="num" val="1"/>
        <cfvo type="num" val="2"/>
        <cfvo type="num" val="3"/>
        <color rgb="FFF8696B"/>
        <color rgb="FFFFEB84"/>
        <color rgb="FF63BE7B"/>
      </colorScale>
    </cfRule>
    <cfRule type="colorScale" priority="11609">
      <colorScale>
        <cfvo type="num" val="1"/>
        <cfvo type="num" val="2"/>
        <cfvo type="num" val="3"/>
        <color rgb="FFF8696B"/>
        <color rgb="FFFFEB84"/>
        <color rgb="FF63BE7B"/>
      </colorScale>
    </cfRule>
  </conditionalFormatting>
  <conditionalFormatting sqref="AF395">
    <cfRule type="cellIs" dxfId="1226" priority="11610" operator="equal">
      <formula>5</formula>
    </cfRule>
    <cfRule type="cellIs" dxfId="1225" priority="11611" operator="equal">
      <formula>4</formula>
    </cfRule>
    <cfRule type="cellIs" dxfId="1224" priority="11612" operator="equal">
      <formula>1</formula>
    </cfRule>
    <cfRule type="cellIs" dxfId="1223" priority="11613" operator="equal">
      <formula>3</formula>
    </cfRule>
    <cfRule type="cellIs" dxfId="1222" priority="11614" operator="equal">
      <formula>2</formula>
    </cfRule>
    <cfRule type="colorScale" priority="11615">
      <colorScale>
        <cfvo type="min" val="0"/>
        <cfvo type="percentile" val="50"/>
        <cfvo type="max" val="0"/>
        <color rgb="FFF8696B"/>
        <color rgb="FFFFEB84"/>
        <color rgb="FF63BE7B"/>
      </colorScale>
    </cfRule>
    <cfRule type="colorScale" priority="11616">
      <colorScale>
        <cfvo type="num" val="1"/>
        <cfvo type="num" val="2"/>
        <cfvo type="num" val="3"/>
        <color rgb="FFF8696B"/>
        <color rgb="FFFFEB84"/>
        <color rgb="FF63BE7B"/>
      </colorScale>
    </cfRule>
    <cfRule type="colorScale" priority="11617">
      <colorScale>
        <cfvo type="num" val="1"/>
        <cfvo type="num" val="2"/>
        <cfvo type="num" val="3"/>
        <color rgb="FFF8696B"/>
        <color rgb="FFFFEB84"/>
        <color rgb="FF63BE7B"/>
      </colorScale>
    </cfRule>
    <cfRule type="colorScale" priority="11618">
      <colorScale>
        <cfvo type="num" val="1"/>
        <cfvo type="num" val="2"/>
        <cfvo type="num" val="3"/>
        <color rgb="FFF8696B"/>
        <color rgb="FFFFEB84"/>
        <color rgb="FF63BE7B"/>
      </colorScale>
    </cfRule>
    <cfRule type="colorScale" priority="11619">
      <colorScale>
        <cfvo type="num" val="1"/>
        <cfvo type="num" val="2"/>
        <cfvo type="num" val="3"/>
        <color rgb="FFF8696B"/>
        <color rgb="FFFFEB84"/>
        <color rgb="FF63BE7B"/>
      </colorScale>
    </cfRule>
    <cfRule type="colorScale" priority="11620">
      <colorScale>
        <cfvo type="num" val="1"/>
        <cfvo type="num" val="2"/>
        <cfvo type="num" val="3"/>
        <color rgb="FFF8696B"/>
        <color rgb="FFFFEB84"/>
        <color rgb="FF63BE7B"/>
      </colorScale>
    </cfRule>
    <cfRule type="colorScale" priority="11621">
      <colorScale>
        <cfvo type="num" val="1"/>
        <cfvo type="num" val="2"/>
        <cfvo type="num" val="3"/>
        <color rgb="FFF8696B"/>
        <color rgb="FFFFEB84"/>
        <color rgb="FF63BE7B"/>
      </colorScale>
    </cfRule>
  </conditionalFormatting>
  <conditionalFormatting sqref="AF414">
    <cfRule type="cellIs" dxfId="1221" priority="10465" operator="equal">
      <formula>5</formula>
    </cfRule>
    <cfRule type="cellIs" dxfId="1220" priority="10466" operator="equal">
      <formula>4</formula>
    </cfRule>
    <cfRule type="cellIs" dxfId="1219" priority="10467" operator="equal">
      <formula>1</formula>
    </cfRule>
    <cfRule type="cellIs" dxfId="1218" priority="10468" operator="equal">
      <formula>3</formula>
    </cfRule>
    <cfRule type="cellIs" dxfId="1217" priority="10469" operator="equal">
      <formula>2</formula>
    </cfRule>
    <cfRule type="colorScale" priority="10470">
      <colorScale>
        <cfvo type="min" val="0"/>
        <cfvo type="percentile" val="50"/>
        <cfvo type="max" val="0"/>
        <color rgb="FFF8696B"/>
        <color rgb="FFFFEB84"/>
        <color rgb="FF63BE7B"/>
      </colorScale>
    </cfRule>
    <cfRule type="colorScale" priority="10471">
      <colorScale>
        <cfvo type="num" val="1"/>
        <cfvo type="num" val="2"/>
        <cfvo type="num" val="3"/>
        <color rgb="FFF8696B"/>
        <color rgb="FFFFEB84"/>
        <color rgb="FF63BE7B"/>
      </colorScale>
    </cfRule>
    <cfRule type="colorScale" priority="10472">
      <colorScale>
        <cfvo type="num" val="1"/>
        <cfvo type="num" val="2"/>
        <cfvo type="num" val="3"/>
        <color rgb="FFF8696B"/>
        <color rgb="FFFFEB84"/>
        <color rgb="FF63BE7B"/>
      </colorScale>
    </cfRule>
  </conditionalFormatting>
  <conditionalFormatting sqref="AF420">
    <cfRule type="cellIs" dxfId="1216" priority="10473" operator="equal">
      <formula>5</formula>
    </cfRule>
    <cfRule type="cellIs" dxfId="1215" priority="10474" operator="equal">
      <formula>4</formula>
    </cfRule>
    <cfRule type="cellIs" dxfId="1214" priority="10475" operator="equal">
      <formula>1</formula>
    </cfRule>
    <cfRule type="cellIs" dxfId="1213" priority="10476" operator="equal">
      <formula>3</formula>
    </cfRule>
    <cfRule type="cellIs" dxfId="1212" priority="10477" operator="equal">
      <formula>2</formula>
    </cfRule>
    <cfRule type="colorScale" priority="10478">
      <colorScale>
        <cfvo type="min" val="0"/>
        <cfvo type="percentile" val="50"/>
        <cfvo type="max" val="0"/>
        <color rgb="FFF8696B"/>
        <color rgb="FFFFEB84"/>
        <color rgb="FF63BE7B"/>
      </colorScale>
    </cfRule>
    <cfRule type="colorScale" priority="10479">
      <colorScale>
        <cfvo type="num" val="1"/>
        <cfvo type="num" val="2"/>
        <cfvo type="num" val="3"/>
        <color rgb="FFF8696B"/>
        <color rgb="FFFFEB84"/>
        <color rgb="FF63BE7B"/>
      </colorScale>
    </cfRule>
    <cfRule type="colorScale" priority="10480">
      <colorScale>
        <cfvo type="num" val="1"/>
        <cfvo type="num" val="2"/>
        <cfvo type="num" val="3"/>
        <color rgb="FFF8696B"/>
        <color rgb="FFFFEB84"/>
        <color rgb="FF63BE7B"/>
      </colorScale>
    </cfRule>
    <cfRule type="colorScale" priority="10481">
      <colorScale>
        <cfvo type="num" val="1"/>
        <cfvo type="num" val="2"/>
        <cfvo type="num" val="3"/>
        <color rgb="FFF8696B"/>
        <color rgb="FFFFEB84"/>
        <color rgb="FF63BE7B"/>
      </colorScale>
    </cfRule>
    <cfRule type="colorScale" priority="10482">
      <colorScale>
        <cfvo type="num" val="1"/>
        <cfvo type="num" val="2"/>
        <cfvo type="num" val="3"/>
        <color rgb="FFF8696B"/>
        <color rgb="FFFFEB84"/>
        <color rgb="FF63BE7B"/>
      </colorScale>
    </cfRule>
    <cfRule type="colorScale" priority="10483">
      <colorScale>
        <cfvo type="num" val="1"/>
        <cfvo type="num" val="2"/>
        <cfvo type="num" val="3"/>
        <color rgb="FFF8696B"/>
        <color rgb="FFFFEB84"/>
        <color rgb="FF63BE7B"/>
      </colorScale>
    </cfRule>
    <cfRule type="colorScale" priority="10484">
      <colorScale>
        <cfvo type="num" val="1"/>
        <cfvo type="num" val="2"/>
        <cfvo type="num" val="3"/>
        <color rgb="FFF8696B"/>
        <color rgb="FFFFEB84"/>
        <color rgb="FF63BE7B"/>
      </colorScale>
    </cfRule>
  </conditionalFormatting>
  <conditionalFormatting sqref="AF442">
    <cfRule type="cellIs" dxfId="1211" priority="9339" operator="equal">
      <formula>5</formula>
    </cfRule>
    <cfRule type="cellIs" dxfId="1210" priority="9340" operator="equal">
      <formula>4</formula>
    </cfRule>
    <cfRule type="cellIs" dxfId="1209" priority="9341" operator="equal">
      <formula>1</formula>
    </cfRule>
    <cfRule type="cellIs" dxfId="1208" priority="9342" operator="equal">
      <formula>3</formula>
    </cfRule>
    <cfRule type="cellIs" dxfId="1207" priority="9343" operator="equal">
      <formula>2</formula>
    </cfRule>
    <cfRule type="colorScale" priority="9344">
      <colorScale>
        <cfvo type="min" val="0"/>
        <cfvo type="percentile" val="50"/>
        <cfvo type="max" val="0"/>
        <color rgb="FFF8696B"/>
        <color rgb="FFFFEB84"/>
        <color rgb="FF63BE7B"/>
      </colorScale>
    </cfRule>
    <cfRule type="colorScale" priority="9345">
      <colorScale>
        <cfvo type="num" val="1"/>
        <cfvo type="num" val="2"/>
        <cfvo type="num" val="3"/>
        <color rgb="FFF8696B"/>
        <color rgb="FFFFEB84"/>
        <color rgb="FF63BE7B"/>
      </colorScale>
    </cfRule>
    <cfRule type="colorScale" priority="9346">
      <colorScale>
        <cfvo type="num" val="1"/>
        <cfvo type="num" val="2"/>
        <cfvo type="num" val="3"/>
        <color rgb="FFF8696B"/>
        <color rgb="FFFFEB84"/>
        <color rgb="FF63BE7B"/>
      </colorScale>
    </cfRule>
  </conditionalFormatting>
  <conditionalFormatting sqref="AF448">
    <cfRule type="cellIs" dxfId="1206" priority="9347" operator="equal">
      <formula>5</formula>
    </cfRule>
    <cfRule type="cellIs" dxfId="1205" priority="9348" operator="equal">
      <formula>4</formula>
    </cfRule>
    <cfRule type="cellIs" dxfId="1204" priority="9349" operator="equal">
      <formula>1</formula>
    </cfRule>
    <cfRule type="cellIs" dxfId="1203" priority="9350" operator="equal">
      <formula>3</formula>
    </cfRule>
    <cfRule type="cellIs" dxfId="1202" priority="9351" operator="equal">
      <formula>2</formula>
    </cfRule>
    <cfRule type="colorScale" priority="9352">
      <colorScale>
        <cfvo type="min" val="0"/>
        <cfvo type="percentile" val="50"/>
        <cfvo type="max" val="0"/>
        <color rgb="FFF8696B"/>
        <color rgb="FFFFEB84"/>
        <color rgb="FF63BE7B"/>
      </colorScale>
    </cfRule>
    <cfRule type="colorScale" priority="9353">
      <colorScale>
        <cfvo type="num" val="1"/>
        <cfvo type="num" val="2"/>
        <cfvo type="num" val="3"/>
        <color rgb="FFF8696B"/>
        <color rgb="FFFFEB84"/>
        <color rgb="FF63BE7B"/>
      </colorScale>
    </cfRule>
    <cfRule type="colorScale" priority="9354">
      <colorScale>
        <cfvo type="num" val="1"/>
        <cfvo type="num" val="2"/>
        <cfvo type="num" val="3"/>
        <color rgb="FFF8696B"/>
        <color rgb="FFFFEB84"/>
        <color rgb="FF63BE7B"/>
      </colorScale>
    </cfRule>
    <cfRule type="colorScale" priority="9355">
      <colorScale>
        <cfvo type="num" val="1"/>
        <cfvo type="num" val="2"/>
        <cfvo type="num" val="3"/>
        <color rgb="FFF8696B"/>
        <color rgb="FFFFEB84"/>
        <color rgb="FF63BE7B"/>
      </colorScale>
    </cfRule>
    <cfRule type="colorScale" priority="9356">
      <colorScale>
        <cfvo type="num" val="1"/>
        <cfvo type="num" val="2"/>
        <cfvo type="num" val="3"/>
        <color rgb="FFF8696B"/>
        <color rgb="FFFFEB84"/>
        <color rgb="FF63BE7B"/>
      </colorScale>
    </cfRule>
    <cfRule type="colorScale" priority="9357">
      <colorScale>
        <cfvo type="num" val="1"/>
        <cfvo type="num" val="2"/>
        <cfvo type="num" val="3"/>
        <color rgb="FFF8696B"/>
        <color rgb="FFFFEB84"/>
        <color rgb="FF63BE7B"/>
      </colorScale>
    </cfRule>
    <cfRule type="colorScale" priority="9358">
      <colorScale>
        <cfvo type="num" val="1"/>
        <cfvo type="num" val="2"/>
        <cfvo type="num" val="3"/>
        <color rgb="FFF8696B"/>
        <color rgb="FFFFEB84"/>
        <color rgb="FF63BE7B"/>
      </colorScale>
    </cfRule>
  </conditionalFormatting>
  <conditionalFormatting sqref="AF470">
    <cfRule type="cellIs" dxfId="1201" priority="8202" operator="equal">
      <formula>5</formula>
    </cfRule>
    <cfRule type="cellIs" dxfId="1200" priority="8203" operator="equal">
      <formula>4</formula>
    </cfRule>
    <cfRule type="cellIs" dxfId="1199" priority="8204" operator="equal">
      <formula>1</formula>
    </cfRule>
    <cfRule type="cellIs" dxfId="1198" priority="8205" operator="equal">
      <formula>3</formula>
    </cfRule>
    <cfRule type="cellIs" dxfId="1197" priority="8206" operator="equal">
      <formula>2</formula>
    </cfRule>
    <cfRule type="colorScale" priority="8207">
      <colorScale>
        <cfvo type="min" val="0"/>
        <cfvo type="percentile" val="50"/>
        <cfvo type="max" val="0"/>
        <color rgb="FFF8696B"/>
        <color rgb="FFFFEB84"/>
        <color rgb="FF63BE7B"/>
      </colorScale>
    </cfRule>
    <cfRule type="colorScale" priority="8208">
      <colorScale>
        <cfvo type="num" val="1"/>
        <cfvo type="num" val="2"/>
        <cfvo type="num" val="3"/>
        <color rgb="FFF8696B"/>
        <color rgb="FFFFEB84"/>
        <color rgb="FF63BE7B"/>
      </colorScale>
    </cfRule>
    <cfRule type="colorScale" priority="8209">
      <colorScale>
        <cfvo type="num" val="1"/>
        <cfvo type="num" val="2"/>
        <cfvo type="num" val="3"/>
        <color rgb="FFF8696B"/>
        <color rgb="FFFFEB84"/>
        <color rgb="FF63BE7B"/>
      </colorScale>
    </cfRule>
  </conditionalFormatting>
  <conditionalFormatting sqref="AF476">
    <cfRule type="cellIs" dxfId="1196" priority="8210" operator="equal">
      <formula>5</formula>
    </cfRule>
    <cfRule type="cellIs" dxfId="1195" priority="8211" operator="equal">
      <formula>4</formula>
    </cfRule>
    <cfRule type="cellIs" dxfId="1194" priority="8212" operator="equal">
      <formula>1</formula>
    </cfRule>
    <cfRule type="cellIs" dxfId="1193" priority="8213" operator="equal">
      <formula>3</formula>
    </cfRule>
    <cfRule type="cellIs" dxfId="1192" priority="8214" operator="equal">
      <formula>2</formula>
    </cfRule>
    <cfRule type="colorScale" priority="8215">
      <colorScale>
        <cfvo type="min" val="0"/>
        <cfvo type="percentile" val="50"/>
        <cfvo type="max" val="0"/>
        <color rgb="FFF8696B"/>
        <color rgb="FFFFEB84"/>
        <color rgb="FF63BE7B"/>
      </colorScale>
    </cfRule>
    <cfRule type="colorScale" priority="8216">
      <colorScale>
        <cfvo type="num" val="1"/>
        <cfvo type="num" val="2"/>
        <cfvo type="num" val="3"/>
        <color rgb="FFF8696B"/>
        <color rgb="FFFFEB84"/>
        <color rgb="FF63BE7B"/>
      </colorScale>
    </cfRule>
    <cfRule type="colorScale" priority="8217">
      <colorScale>
        <cfvo type="num" val="1"/>
        <cfvo type="num" val="2"/>
        <cfvo type="num" val="3"/>
        <color rgb="FFF8696B"/>
        <color rgb="FFFFEB84"/>
        <color rgb="FF63BE7B"/>
      </colorScale>
    </cfRule>
    <cfRule type="colorScale" priority="8218">
      <colorScale>
        <cfvo type="num" val="1"/>
        <cfvo type="num" val="2"/>
        <cfvo type="num" val="3"/>
        <color rgb="FFF8696B"/>
        <color rgb="FFFFEB84"/>
        <color rgb="FF63BE7B"/>
      </colorScale>
    </cfRule>
    <cfRule type="colorScale" priority="8219">
      <colorScale>
        <cfvo type="num" val="1"/>
        <cfvo type="num" val="2"/>
        <cfvo type="num" val="3"/>
        <color rgb="FFF8696B"/>
        <color rgb="FFFFEB84"/>
        <color rgb="FF63BE7B"/>
      </colorScale>
    </cfRule>
    <cfRule type="colorScale" priority="8220">
      <colorScale>
        <cfvo type="num" val="1"/>
        <cfvo type="num" val="2"/>
        <cfvo type="num" val="3"/>
        <color rgb="FFF8696B"/>
        <color rgb="FFFFEB84"/>
        <color rgb="FF63BE7B"/>
      </colorScale>
    </cfRule>
    <cfRule type="colorScale" priority="8221">
      <colorScale>
        <cfvo type="num" val="1"/>
        <cfvo type="num" val="2"/>
        <cfvo type="num" val="3"/>
        <color rgb="FFF8696B"/>
        <color rgb="FFFFEB84"/>
        <color rgb="FF63BE7B"/>
      </colorScale>
    </cfRule>
  </conditionalFormatting>
  <conditionalFormatting sqref="AF497">
    <cfRule type="cellIs" dxfId="1191" priority="7087" operator="equal">
      <formula>5</formula>
    </cfRule>
    <cfRule type="cellIs" dxfId="1190" priority="7088" operator="equal">
      <formula>4</formula>
    </cfRule>
    <cfRule type="cellIs" dxfId="1189" priority="7089" operator="equal">
      <formula>1</formula>
    </cfRule>
    <cfRule type="cellIs" dxfId="1188" priority="7090" operator="equal">
      <formula>3</formula>
    </cfRule>
    <cfRule type="cellIs" dxfId="1187" priority="7091" operator="equal">
      <formula>2</formula>
    </cfRule>
    <cfRule type="colorScale" priority="7092">
      <colorScale>
        <cfvo type="min" val="0"/>
        <cfvo type="percentile" val="50"/>
        <cfvo type="max" val="0"/>
        <color rgb="FFF8696B"/>
        <color rgb="FFFFEB84"/>
        <color rgb="FF63BE7B"/>
      </colorScale>
    </cfRule>
    <cfRule type="colorScale" priority="7093">
      <colorScale>
        <cfvo type="num" val="1"/>
        <cfvo type="num" val="2"/>
        <cfvo type="num" val="3"/>
        <color rgb="FFF8696B"/>
        <color rgb="FFFFEB84"/>
        <color rgb="FF63BE7B"/>
      </colorScale>
    </cfRule>
    <cfRule type="colorScale" priority="7094">
      <colorScale>
        <cfvo type="num" val="1"/>
        <cfvo type="num" val="2"/>
        <cfvo type="num" val="3"/>
        <color rgb="FFF8696B"/>
        <color rgb="FFFFEB84"/>
        <color rgb="FF63BE7B"/>
      </colorScale>
    </cfRule>
  </conditionalFormatting>
  <conditionalFormatting sqref="AF503">
    <cfRule type="cellIs" dxfId="1186" priority="7095" operator="equal">
      <formula>5</formula>
    </cfRule>
    <cfRule type="cellIs" dxfId="1185" priority="7096" operator="equal">
      <formula>4</formula>
    </cfRule>
    <cfRule type="cellIs" dxfId="1184" priority="7097" operator="equal">
      <formula>1</formula>
    </cfRule>
    <cfRule type="cellIs" dxfId="1183" priority="7098" operator="equal">
      <formula>3</formula>
    </cfRule>
    <cfRule type="cellIs" dxfId="1182" priority="7099" operator="equal">
      <formula>2</formula>
    </cfRule>
    <cfRule type="colorScale" priority="7100">
      <colorScale>
        <cfvo type="min" val="0"/>
        <cfvo type="percentile" val="50"/>
        <cfvo type="max" val="0"/>
        <color rgb="FFF8696B"/>
        <color rgb="FFFFEB84"/>
        <color rgb="FF63BE7B"/>
      </colorScale>
    </cfRule>
    <cfRule type="colorScale" priority="7101">
      <colorScale>
        <cfvo type="num" val="1"/>
        <cfvo type="num" val="2"/>
        <cfvo type="num" val="3"/>
        <color rgb="FFF8696B"/>
        <color rgb="FFFFEB84"/>
        <color rgb="FF63BE7B"/>
      </colorScale>
    </cfRule>
    <cfRule type="colorScale" priority="7102">
      <colorScale>
        <cfvo type="num" val="1"/>
        <cfvo type="num" val="2"/>
        <cfvo type="num" val="3"/>
        <color rgb="FFF8696B"/>
        <color rgb="FFFFEB84"/>
        <color rgb="FF63BE7B"/>
      </colorScale>
    </cfRule>
    <cfRule type="colorScale" priority="7103">
      <colorScale>
        <cfvo type="num" val="1"/>
        <cfvo type="num" val="2"/>
        <cfvo type="num" val="3"/>
        <color rgb="FFF8696B"/>
        <color rgb="FFFFEB84"/>
        <color rgb="FF63BE7B"/>
      </colorScale>
    </cfRule>
    <cfRule type="colorScale" priority="7104">
      <colorScale>
        <cfvo type="num" val="1"/>
        <cfvo type="num" val="2"/>
        <cfvo type="num" val="3"/>
        <color rgb="FFF8696B"/>
        <color rgb="FFFFEB84"/>
        <color rgb="FF63BE7B"/>
      </colorScale>
    </cfRule>
    <cfRule type="colorScale" priority="7105">
      <colorScale>
        <cfvo type="num" val="1"/>
        <cfvo type="num" val="2"/>
        <cfvo type="num" val="3"/>
        <color rgb="FFF8696B"/>
        <color rgb="FFFFEB84"/>
        <color rgb="FF63BE7B"/>
      </colorScale>
    </cfRule>
    <cfRule type="colorScale" priority="7106">
      <colorScale>
        <cfvo type="num" val="1"/>
        <cfvo type="num" val="2"/>
        <cfvo type="num" val="3"/>
        <color rgb="FFF8696B"/>
        <color rgb="FFFFEB84"/>
        <color rgb="FF63BE7B"/>
      </colorScale>
    </cfRule>
  </conditionalFormatting>
  <conditionalFormatting sqref="H304:I304">
    <cfRule type="cellIs" dxfId="1181" priority="6921" operator="equal">
      <formula>5</formula>
    </cfRule>
    <cfRule type="cellIs" dxfId="1180" priority="6922" operator="equal">
      <formula>4</formula>
    </cfRule>
    <cfRule type="cellIs" dxfId="1179" priority="6923" operator="equal">
      <formula>1</formula>
    </cfRule>
    <cfRule type="cellIs" dxfId="1178" priority="6924" operator="equal">
      <formula>3</formula>
    </cfRule>
    <cfRule type="cellIs" dxfId="1177" priority="6925" operator="equal">
      <formula>2</formula>
    </cfRule>
    <cfRule type="colorScale" priority="6926">
      <colorScale>
        <cfvo type="min" val="0"/>
        <cfvo type="percentile" val="50"/>
        <cfvo type="max" val="0"/>
        <color rgb="FFF8696B"/>
        <color rgb="FFFFEB84"/>
        <color rgb="FF63BE7B"/>
      </colorScale>
    </cfRule>
    <cfRule type="colorScale" priority="6927">
      <colorScale>
        <cfvo type="num" val="1"/>
        <cfvo type="num" val="2"/>
        <cfvo type="num" val="3"/>
        <color rgb="FFF8696B"/>
        <color rgb="FFFFEB84"/>
        <color rgb="FF63BE7B"/>
      </colorScale>
    </cfRule>
    <cfRule type="colorScale" priority="6928">
      <colorScale>
        <cfvo type="num" val="1"/>
        <cfvo type="num" val="2"/>
        <cfvo type="num" val="3"/>
        <color rgb="FFF8696B"/>
        <color rgb="FFFFEB84"/>
        <color rgb="FF63BE7B"/>
      </colorScale>
    </cfRule>
    <cfRule type="colorScale" priority="6929">
      <colorScale>
        <cfvo type="num" val="1"/>
        <cfvo type="num" val="2"/>
        <cfvo type="num" val="3"/>
        <color rgb="FFF8696B"/>
        <color rgb="FFFFEB84"/>
        <color rgb="FF63BE7B"/>
      </colorScale>
    </cfRule>
    <cfRule type="colorScale" priority="6930">
      <colorScale>
        <cfvo type="num" val="1"/>
        <cfvo type="num" val="2"/>
        <cfvo type="num" val="3"/>
        <color rgb="FFF8696B"/>
        <color rgb="FFFFEB84"/>
        <color rgb="FF63BE7B"/>
      </colorScale>
    </cfRule>
    <cfRule type="colorScale" priority="6931">
      <colorScale>
        <cfvo type="num" val="1"/>
        <cfvo type="num" val="2"/>
        <cfvo type="num" val="3"/>
        <color rgb="FFF8696B"/>
        <color rgb="FFFFEB84"/>
        <color rgb="FF63BE7B"/>
      </colorScale>
    </cfRule>
    <cfRule type="colorScale" priority="6932">
      <colorScale>
        <cfvo type="num" val="1"/>
        <cfvo type="num" val="2"/>
        <cfvo type="num" val="3"/>
        <color rgb="FFF8696B"/>
        <color rgb="FFFFEB84"/>
        <color rgb="FF63BE7B"/>
      </colorScale>
    </cfRule>
  </conditionalFormatting>
  <conditionalFormatting sqref="M304:N304">
    <cfRule type="cellIs" dxfId="1176" priority="6907" operator="equal">
      <formula>5</formula>
    </cfRule>
    <cfRule type="cellIs" dxfId="1175" priority="6908" operator="equal">
      <formula>4</formula>
    </cfRule>
    <cfRule type="cellIs" dxfId="1174" priority="6909" operator="equal">
      <formula>1</formula>
    </cfRule>
    <cfRule type="cellIs" dxfId="1173" priority="6910" operator="equal">
      <formula>3</formula>
    </cfRule>
    <cfRule type="cellIs" dxfId="1172" priority="6911" operator="equal">
      <formula>2</formula>
    </cfRule>
    <cfRule type="colorScale" priority="6912">
      <colorScale>
        <cfvo type="min" val="0"/>
        <cfvo type="percentile" val="50"/>
        <cfvo type="max" val="0"/>
        <color rgb="FFF8696B"/>
        <color rgb="FFFFEB84"/>
        <color rgb="FF63BE7B"/>
      </colorScale>
    </cfRule>
    <cfRule type="colorScale" priority="6913">
      <colorScale>
        <cfvo type="num" val="1"/>
        <cfvo type="num" val="2"/>
        <cfvo type="num" val="3"/>
        <color rgb="FFF8696B"/>
        <color rgb="FFFFEB84"/>
        <color rgb="FF63BE7B"/>
      </colorScale>
    </cfRule>
    <cfRule type="colorScale" priority="6914">
      <colorScale>
        <cfvo type="num" val="1"/>
        <cfvo type="num" val="2"/>
        <cfvo type="num" val="3"/>
        <color rgb="FFF8696B"/>
        <color rgb="FFFFEB84"/>
        <color rgb="FF63BE7B"/>
      </colorScale>
    </cfRule>
    <cfRule type="colorScale" priority="6915">
      <colorScale>
        <cfvo type="num" val="1"/>
        <cfvo type="num" val="2"/>
        <cfvo type="num" val="3"/>
        <color rgb="FFF8696B"/>
        <color rgb="FFFFEB84"/>
        <color rgb="FF63BE7B"/>
      </colorScale>
    </cfRule>
    <cfRule type="colorScale" priority="6916">
      <colorScale>
        <cfvo type="num" val="1"/>
        <cfvo type="num" val="2"/>
        <cfvo type="num" val="3"/>
        <color rgb="FFF8696B"/>
        <color rgb="FFFFEB84"/>
        <color rgb="FF63BE7B"/>
      </colorScale>
    </cfRule>
    <cfRule type="colorScale" priority="6917">
      <colorScale>
        <cfvo type="num" val="1"/>
        <cfvo type="num" val="2"/>
        <cfvo type="num" val="3"/>
        <color rgb="FFF8696B"/>
        <color rgb="FFFFEB84"/>
        <color rgb="FF63BE7B"/>
      </colorScale>
    </cfRule>
    <cfRule type="colorScale" priority="6918">
      <colorScale>
        <cfvo type="num" val="1"/>
        <cfvo type="num" val="2"/>
        <cfvo type="num" val="3"/>
        <color rgb="FFF8696B"/>
        <color rgb="FFFFEB84"/>
        <color rgb="FF63BE7B"/>
      </colorScale>
    </cfRule>
  </conditionalFormatting>
  <conditionalFormatting sqref="R304:S304">
    <cfRule type="cellIs" dxfId="1171" priority="6893" operator="equal">
      <formula>5</formula>
    </cfRule>
    <cfRule type="cellIs" dxfId="1170" priority="6894" operator="equal">
      <formula>4</formula>
    </cfRule>
    <cfRule type="cellIs" dxfId="1169" priority="6895" operator="equal">
      <formula>1</formula>
    </cfRule>
    <cfRule type="cellIs" dxfId="1168" priority="6896" operator="equal">
      <formula>3</formula>
    </cfRule>
    <cfRule type="cellIs" dxfId="1167" priority="6897" operator="equal">
      <formula>2</formula>
    </cfRule>
    <cfRule type="colorScale" priority="6898">
      <colorScale>
        <cfvo type="min" val="0"/>
        <cfvo type="percentile" val="50"/>
        <cfvo type="max" val="0"/>
        <color rgb="FFF8696B"/>
        <color rgb="FFFFEB84"/>
        <color rgb="FF63BE7B"/>
      </colorScale>
    </cfRule>
    <cfRule type="colorScale" priority="6899">
      <colorScale>
        <cfvo type="num" val="1"/>
        <cfvo type="num" val="2"/>
        <cfvo type="num" val="3"/>
        <color rgb="FFF8696B"/>
        <color rgb="FFFFEB84"/>
        <color rgb="FF63BE7B"/>
      </colorScale>
    </cfRule>
    <cfRule type="colorScale" priority="6900">
      <colorScale>
        <cfvo type="num" val="1"/>
        <cfvo type="num" val="2"/>
        <cfvo type="num" val="3"/>
        <color rgb="FFF8696B"/>
        <color rgb="FFFFEB84"/>
        <color rgb="FF63BE7B"/>
      </colorScale>
    </cfRule>
    <cfRule type="colorScale" priority="6901">
      <colorScale>
        <cfvo type="num" val="1"/>
        <cfvo type="num" val="2"/>
        <cfvo type="num" val="3"/>
        <color rgb="FFF8696B"/>
        <color rgb="FFFFEB84"/>
        <color rgb="FF63BE7B"/>
      </colorScale>
    </cfRule>
    <cfRule type="colorScale" priority="6902">
      <colorScale>
        <cfvo type="num" val="1"/>
        <cfvo type="num" val="2"/>
        <cfvo type="num" val="3"/>
        <color rgb="FFF8696B"/>
        <color rgb="FFFFEB84"/>
        <color rgb="FF63BE7B"/>
      </colorScale>
    </cfRule>
    <cfRule type="colorScale" priority="6903">
      <colorScale>
        <cfvo type="num" val="1"/>
        <cfvo type="num" val="2"/>
        <cfvo type="num" val="3"/>
        <color rgb="FFF8696B"/>
        <color rgb="FFFFEB84"/>
        <color rgb="FF63BE7B"/>
      </colorScale>
    </cfRule>
    <cfRule type="colorScale" priority="6904">
      <colorScale>
        <cfvo type="num" val="1"/>
        <cfvo type="num" val="2"/>
        <cfvo type="num" val="3"/>
        <color rgb="FFF8696B"/>
        <color rgb="FFFFEB84"/>
        <color rgb="FF63BE7B"/>
      </colorScale>
    </cfRule>
  </conditionalFormatting>
  <conditionalFormatting sqref="W304:X304">
    <cfRule type="cellIs" dxfId="1166" priority="6879" operator="equal">
      <formula>5</formula>
    </cfRule>
    <cfRule type="cellIs" dxfId="1165" priority="6880" operator="equal">
      <formula>4</formula>
    </cfRule>
    <cfRule type="cellIs" dxfId="1164" priority="6881" operator="equal">
      <formula>1</formula>
    </cfRule>
    <cfRule type="cellIs" dxfId="1163" priority="6882" operator="equal">
      <formula>3</formula>
    </cfRule>
    <cfRule type="cellIs" dxfId="1162" priority="6883" operator="equal">
      <formula>2</formula>
    </cfRule>
    <cfRule type="colorScale" priority="6884">
      <colorScale>
        <cfvo type="min" val="0"/>
        <cfvo type="percentile" val="50"/>
        <cfvo type="max" val="0"/>
        <color rgb="FFF8696B"/>
        <color rgb="FFFFEB84"/>
        <color rgb="FF63BE7B"/>
      </colorScale>
    </cfRule>
    <cfRule type="colorScale" priority="6885">
      <colorScale>
        <cfvo type="num" val="1"/>
        <cfvo type="num" val="2"/>
        <cfvo type="num" val="3"/>
        <color rgb="FFF8696B"/>
        <color rgb="FFFFEB84"/>
        <color rgb="FF63BE7B"/>
      </colorScale>
    </cfRule>
    <cfRule type="colorScale" priority="6886">
      <colorScale>
        <cfvo type="num" val="1"/>
        <cfvo type="num" val="2"/>
        <cfvo type="num" val="3"/>
        <color rgb="FFF8696B"/>
        <color rgb="FFFFEB84"/>
        <color rgb="FF63BE7B"/>
      </colorScale>
    </cfRule>
    <cfRule type="colorScale" priority="6887">
      <colorScale>
        <cfvo type="num" val="1"/>
        <cfvo type="num" val="2"/>
        <cfvo type="num" val="3"/>
        <color rgb="FFF8696B"/>
        <color rgb="FFFFEB84"/>
        <color rgb="FF63BE7B"/>
      </colorScale>
    </cfRule>
    <cfRule type="colorScale" priority="6888">
      <colorScale>
        <cfvo type="num" val="1"/>
        <cfvo type="num" val="2"/>
        <cfvo type="num" val="3"/>
        <color rgb="FFF8696B"/>
        <color rgb="FFFFEB84"/>
        <color rgb="FF63BE7B"/>
      </colorScale>
    </cfRule>
    <cfRule type="colorScale" priority="6889">
      <colorScale>
        <cfvo type="num" val="1"/>
        <cfvo type="num" val="2"/>
        <cfvo type="num" val="3"/>
        <color rgb="FFF8696B"/>
        <color rgb="FFFFEB84"/>
        <color rgb="FF63BE7B"/>
      </colorScale>
    </cfRule>
    <cfRule type="colorScale" priority="6890">
      <colorScale>
        <cfvo type="num" val="1"/>
        <cfvo type="num" val="2"/>
        <cfvo type="num" val="3"/>
        <color rgb="FFF8696B"/>
        <color rgb="FFFFEB84"/>
        <color rgb="FF63BE7B"/>
      </colorScale>
    </cfRule>
  </conditionalFormatting>
  <conditionalFormatting sqref="AB304:AC304">
    <cfRule type="cellIs" dxfId="1161" priority="6865" operator="equal">
      <formula>5</formula>
    </cfRule>
    <cfRule type="cellIs" dxfId="1160" priority="6866" operator="equal">
      <formula>4</formula>
    </cfRule>
    <cfRule type="cellIs" dxfId="1159" priority="6867" operator="equal">
      <formula>1</formula>
    </cfRule>
    <cfRule type="cellIs" dxfId="1158" priority="6868" operator="equal">
      <formula>3</formula>
    </cfRule>
    <cfRule type="cellIs" dxfId="1157" priority="6869" operator="equal">
      <formula>2</formula>
    </cfRule>
    <cfRule type="colorScale" priority="6870">
      <colorScale>
        <cfvo type="min" val="0"/>
        <cfvo type="percentile" val="50"/>
        <cfvo type="max" val="0"/>
        <color rgb="FFF8696B"/>
        <color rgb="FFFFEB84"/>
        <color rgb="FF63BE7B"/>
      </colorScale>
    </cfRule>
    <cfRule type="colorScale" priority="6871">
      <colorScale>
        <cfvo type="num" val="1"/>
        <cfvo type="num" val="2"/>
        <cfvo type="num" val="3"/>
        <color rgb="FFF8696B"/>
        <color rgb="FFFFEB84"/>
        <color rgb="FF63BE7B"/>
      </colorScale>
    </cfRule>
    <cfRule type="colorScale" priority="6872">
      <colorScale>
        <cfvo type="num" val="1"/>
        <cfvo type="num" val="2"/>
        <cfvo type="num" val="3"/>
        <color rgb="FFF8696B"/>
        <color rgb="FFFFEB84"/>
        <color rgb="FF63BE7B"/>
      </colorScale>
    </cfRule>
    <cfRule type="colorScale" priority="6873">
      <colorScale>
        <cfvo type="num" val="1"/>
        <cfvo type="num" val="2"/>
        <cfvo type="num" val="3"/>
        <color rgb="FFF8696B"/>
        <color rgb="FFFFEB84"/>
        <color rgb="FF63BE7B"/>
      </colorScale>
    </cfRule>
    <cfRule type="colorScale" priority="6874">
      <colorScale>
        <cfvo type="num" val="1"/>
        <cfvo type="num" val="2"/>
        <cfvo type="num" val="3"/>
        <color rgb="FFF8696B"/>
        <color rgb="FFFFEB84"/>
        <color rgb="FF63BE7B"/>
      </colorScale>
    </cfRule>
    <cfRule type="colorScale" priority="6875">
      <colorScale>
        <cfvo type="num" val="1"/>
        <cfvo type="num" val="2"/>
        <cfvo type="num" val="3"/>
        <color rgb="FFF8696B"/>
        <color rgb="FFFFEB84"/>
        <color rgb="FF63BE7B"/>
      </colorScale>
    </cfRule>
    <cfRule type="colorScale" priority="6876">
      <colorScale>
        <cfvo type="num" val="1"/>
        <cfvo type="num" val="2"/>
        <cfvo type="num" val="3"/>
        <color rgb="FFF8696B"/>
        <color rgb="FFFFEB84"/>
        <color rgb="FF63BE7B"/>
      </colorScale>
    </cfRule>
  </conditionalFormatting>
  <conditionalFormatting sqref="H306:J306">
    <cfRule type="cellIs" dxfId="1156" priority="6853" operator="equal">
      <formula>5</formula>
    </cfRule>
    <cfRule type="cellIs" dxfId="1155" priority="6854" operator="equal">
      <formula>4</formula>
    </cfRule>
    <cfRule type="cellIs" dxfId="1154" priority="6855" operator="equal">
      <formula>1</formula>
    </cfRule>
    <cfRule type="cellIs" dxfId="1153" priority="6856" operator="equal">
      <formula>3</formula>
    </cfRule>
    <cfRule type="cellIs" dxfId="1152" priority="6857" operator="equal">
      <formula>2</formula>
    </cfRule>
    <cfRule type="colorScale" priority="6858">
      <colorScale>
        <cfvo type="min" val="0"/>
        <cfvo type="percentile" val="50"/>
        <cfvo type="max" val="0"/>
        <color rgb="FFF8696B"/>
        <color rgb="FFFFEB84"/>
        <color rgb="FF63BE7B"/>
      </colorScale>
    </cfRule>
    <cfRule type="colorScale" priority="6859">
      <colorScale>
        <cfvo type="num" val="1"/>
        <cfvo type="num" val="2"/>
        <cfvo type="num" val="3"/>
        <color rgb="FFF8696B"/>
        <color rgb="FFFFEB84"/>
        <color rgb="FF63BE7B"/>
      </colorScale>
    </cfRule>
    <cfRule type="colorScale" priority="6860">
      <colorScale>
        <cfvo type="num" val="1"/>
        <cfvo type="num" val="2"/>
        <cfvo type="num" val="3"/>
        <color rgb="FFF8696B"/>
        <color rgb="FFFFEB84"/>
        <color rgb="FF63BE7B"/>
      </colorScale>
    </cfRule>
    <cfRule type="colorScale" priority="6861">
      <colorScale>
        <cfvo type="num" val="1"/>
        <cfvo type="num" val="2"/>
        <cfvo type="num" val="3"/>
        <color rgb="FFF8696B"/>
        <color rgb="FFFFEB84"/>
        <color rgb="FF63BE7B"/>
      </colorScale>
    </cfRule>
    <cfRule type="colorScale" priority="6862">
      <colorScale>
        <cfvo type="num" val="1"/>
        <cfvo type="num" val="2"/>
        <cfvo type="num" val="3"/>
        <color rgb="FFF8696B"/>
        <color rgb="FFFFEB84"/>
        <color rgb="FF63BE7B"/>
      </colorScale>
    </cfRule>
    <cfRule type="colorScale" priority="6863">
      <colorScale>
        <cfvo type="num" val="1"/>
        <cfvo type="num" val="2"/>
        <cfvo type="num" val="3"/>
        <color rgb="FFF8696B"/>
        <color rgb="FFFFEB84"/>
        <color rgb="FF63BE7B"/>
      </colorScale>
    </cfRule>
    <cfRule type="colorScale" priority="6864">
      <colorScale>
        <cfvo type="num" val="1"/>
        <cfvo type="num" val="2"/>
        <cfvo type="num" val="3"/>
        <color rgb="FFF8696B"/>
        <color rgb="FFFFEB84"/>
        <color rgb="FF63BE7B"/>
      </colorScale>
    </cfRule>
  </conditionalFormatting>
  <conditionalFormatting sqref="N306">
    <cfRule type="cellIs" dxfId="1151" priority="6841" operator="equal">
      <formula>5</formula>
    </cfRule>
    <cfRule type="cellIs" dxfId="1150" priority="6842" operator="equal">
      <formula>4</formula>
    </cfRule>
    <cfRule type="cellIs" dxfId="1149" priority="6843" operator="equal">
      <formula>1</formula>
    </cfRule>
    <cfRule type="cellIs" dxfId="1148" priority="6844" operator="equal">
      <formula>3</formula>
    </cfRule>
    <cfRule type="colorScale" priority="6845">
      <colorScale>
        <cfvo type="min" val="0"/>
        <cfvo type="percentile" val="50"/>
        <cfvo type="max" val="0"/>
        <color rgb="FFF8696B"/>
        <color rgb="FFFFEB84"/>
        <color rgb="FF63BE7B"/>
      </colorScale>
    </cfRule>
    <cfRule type="colorScale" priority="6846">
      <colorScale>
        <cfvo type="num" val="1"/>
        <cfvo type="num" val="2"/>
        <cfvo type="num" val="3"/>
        <color rgb="FFF8696B"/>
        <color rgb="FFFFEB84"/>
        <color rgb="FF63BE7B"/>
      </colorScale>
    </cfRule>
    <cfRule type="colorScale" priority="6847">
      <colorScale>
        <cfvo type="num" val="1"/>
        <cfvo type="num" val="2"/>
        <cfvo type="num" val="3"/>
        <color rgb="FFF8696B"/>
        <color rgb="FFFFEB84"/>
        <color rgb="FF63BE7B"/>
      </colorScale>
    </cfRule>
  </conditionalFormatting>
  <conditionalFormatting sqref="O306">
    <cfRule type="cellIs" dxfId="1147" priority="6834" operator="equal">
      <formula>5</formula>
    </cfRule>
    <cfRule type="cellIs" dxfId="1146" priority="6835" operator="equal">
      <formula>4</formula>
    </cfRule>
    <cfRule type="cellIs" dxfId="1145" priority="6836" operator="equal">
      <formula>1</formula>
    </cfRule>
    <cfRule type="cellIs" dxfId="1144" priority="6837" operator="equal">
      <formula>3</formula>
    </cfRule>
    <cfRule type="colorScale" priority="6838">
      <colorScale>
        <cfvo type="min" val="0"/>
        <cfvo type="percentile" val="50"/>
        <cfvo type="max" val="0"/>
        <color rgb="FFF8696B"/>
        <color rgb="FFFFEB84"/>
        <color rgb="FF63BE7B"/>
      </colorScale>
    </cfRule>
    <cfRule type="colorScale" priority="6839">
      <colorScale>
        <cfvo type="num" val="1"/>
        <cfvo type="num" val="2"/>
        <cfvo type="num" val="3"/>
        <color rgb="FFF8696B"/>
        <color rgb="FFFFEB84"/>
        <color rgb="FF63BE7B"/>
      </colorScale>
    </cfRule>
    <cfRule type="colorScale" priority="6840">
      <colorScale>
        <cfvo type="num" val="1"/>
        <cfvo type="num" val="2"/>
        <cfvo type="num" val="3"/>
        <color rgb="FFF8696B"/>
        <color rgb="FFFFEB84"/>
        <color rgb="FF63BE7B"/>
      </colorScale>
    </cfRule>
  </conditionalFormatting>
  <conditionalFormatting sqref="M306:O306">
    <cfRule type="cellIs" dxfId="1143" priority="6822" operator="equal">
      <formula>5</formula>
    </cfRule>
    <cfRule type="cellIs" dxfId="1142" priority="6823" operator="equal">
      <formula>4</formula>
    </cfRule>
    <cfRule type="cellIs" dxfId="1141" priority="6824" operator="equal">
      <formula>1</formula>
    </cfRule>
    <cfRule type="cellIs" dxfId="1140" priority="6825" operator="equal">
      <formula>3</formula>
    </cfRule>
    <cfRule type="cellIs" dxfId="1139" priority="6826" operator="equal">
      <formula>2</formula>
    </cfRule>
    <cfRule type="colorScale" priority="6827">
      <colorScale>
        <cfvo type="min" val="0"/>
        <cfvo type="percentile" val="50"/>
        <cfvo type="max" val="0"/>
        <color rgb="FFF8696B"/>
        <color rgb="FFFFEB84"/>
        <color rgb="FF63BE7B"/>
      </colorScale>
    </cfRule>
    <cfRule type="colorScale" priority="6828">
      <colorScale>
        <cfvo type="num" val="1"/>
        <cfvo type="num" val="2"/>
        <cfvo type="num" val="3"/>
        <color rgb="FFF8696B"/>
        <color rgb="FFFFEB84"/>
        <color rgb="FF63BE7B"/>
      </colorScale>
    </cfRule>
    <cfRule type="colorScale" priority="6829">
      <colorScale>
        <cfvo type="num" val="1"/>
        <cfvo type="num" val="2"/>
        <cfvo type="num" val="3"/>
        <color rgb="FFF8696B"/>
        <color rgb="FFFFEB84"/>
        <color rgb="FF63BE7B"/>
      </colorScale>
    </cfRule>
    <cfRule type="colorScale" priority="6830">
      <colorScale>
        <cfvo type="num" val="1"/>
        <cfvo type="num" val="2"/>
        <cfvo type="num" val="3"/>
        <color rgb="FFF8696B"/>
        <color rgb="FFFFEB84"/>
        <color rgb="FF63BE7B"/>
      </colorScale>
    </cfRule>
    <cfRule type="colorScale" priority="6831">
      <colorScale>
        <cfvo type="num" val="1"/>
        <cfvo type="num" val="2"/>
        <cfvo type="num" val="3"/>
        <color rgb="FFF8696B"/>
        <color rgb="FFFFEB84"/>
        <color rgb="FF63BE7B"/>
      </colorScale>
    </cfRule>
    <cfRule type="colorScale" priority="6832">
      <colorScale>
        <cfvo type="num" val="1"/>
        <cfvo type="num" val="2"/>
        <cfvo type="num" val="3"/>
        <color rgb="FFF8696B"/>
        <color rgb="FFFFEB84"/>
        <color rgb="FF63BE7B"/>
      </colorScale>
    </cfRule>
    <cfRule type="colorScale" priority="6833">
      <colorScale>
        <cfvo type="num" val="1"/>
        <cfvo type="num" val="2"/>
        <cfvo type="num" val="3"/>
        <color rgb="FFF8696B"/>
        <color rgb="FFFFEB84"/>
        <color rgb="FF63BE7B"/>
      </colorScale>
    </cfRule>
  </conditionalFormatting>
  <conditionalFormatting sqref="S306">
    <cfRule type="cellIs" dxfId="1138" priority="6797" operator="equal">
      <formula>5</formula>
    </cfRule>
    <cfRule type="cellIs" dxfId="1137" priority="6798" operator="equal">
      <formula>4</formula>
    </cfRule>
    <cfRule type="cellIs" dxfId="1136" priority="6799" operator="equal">
      <formula>1</formula>
    </cfRule>
    <cfRule type="cellIs" dxfId="1135" priority="6800" operator="equal">
      <formula>3</formula>
    </cfRule>
    <cfRule type="colorScale" priority="6801">
      <colorScale>
        <cfvo type="min" val="0"/>
        <cfvo type="percentile" val="50"/>
        <cfvo type="max" val="0"/>
        <color rgb="FFF8696B"/>
        <color rgb="FFFFEB84"/>
        <color rgb="FF63BE7B"/>
      </colorScale>
    </cfRule>
    <cfRule type="colorScale" priority="6802">
      <colorScale>
        <cfvo type="num" val="1"/>
        <cfvo type="num" val="2"/>
        <cfvo type="num" val="3"/>
        <color rgb="FFF8696B"/>
        <color rgb="FFFFEB84"/>
        <color rgb="FF63BE7B"/>
      </colorScale>
    </cfRule>
    <cfRule type="colorScale" priority="6803">
      <colorScale>
        <cfvo type="num" val="1"/>
        <cfvo type="num" val="2"/>
        <cfvo type="num" val="3"/>
        <color rgb="FFF8696B"/>
        <color rgb="FFFFEB84"/>
        <color rgb="FF63BE7B"/>
      </colorScale>
    </cfRule>
  </conditionalFormatting>
  <conditionalFormatting sqref="T306">
    <cfRule type="cellIs" dxfId="1134" priority="6790" operator="equal">
      <formula>5</formula>
    </cfRule>
    <cfRule type="cellIs" dxfId="1133" priority="6791" operator="equal">
      <formula>4</formula>
    </cfRule>
    <cfRule type="cellIs" dxfId="1132" priority="6792" operator="equal">
      <formula>1</formula>
    </cfRule>
    <cfRule type="cellIs" dxfId="1131" priority="6793" operator="equal">
      <formula>3</formula>
    </cfRule>
    <cfRule type="colorScale" priority="6794">
      <colorScale>
        <cfvo type="min" val="0"/>
        <cfvo type="percentile" val="50"/>
        <cfvo type="max" val="0"/>
        <color rgb="FFF8696B"/>
        <color rgb="FFFFEB84"/>
        <color rgb="FF63BE7B"/>
      </colorScale>
    </cfRule>
    <cfRule type="colorScale" priority="6795">
      <colorScale>
        <cfvo type="num" val="1"/>
        <cfvo type="num" val="2"/>
        <cfvo type="num" val="3"/>
        <color rgb="FFF8696B"/>
        <color rgb="FFFFEB84"/>
        <color rgb="FF63BE7B"/>
      </colorScale>
    </cfRule>
    <cfRule type="colorScale" priority="6796">
      <colorScale>
        <cfvo type="num" val="1"/>
        <cfvo type="num" val="2"/>
        <cfvo type="num" val="3"/>
        <color rgb="FFF8696B"/>
        <color rgb="FFFFEB84"/>
        <color rgb="FF63BE7B"/>
      </colorScale>
    </cfRule>
  </conditionalFormatting>
  <conditionalFormatting sqref="R306:T306">
    <cfRule type="cellIs" dxfId="1130" priority="6778" operator="equal">
      <formula>5</formula>
    </cfRule>
    <cfRule type="cellIs" dxfId="1129" priority="6779" operator="equal">
      <formula>4</formula>
    </cfRule>
    <cfRule type="cellIs" dxfId="1128" priority="6780" operator="equal">
      <formula>1</formula>
    </cfRule>
    <cfRule type="cellIs" dxfId="1127" priority="6781" operator="equal">
      <formula>3</formula>
    </cfRule>
    <cfRule type="cellIs" dxfId="1126" priority="6782" operator="equal">
      <formula>2</formula>
    </cfRule>
    <cfRule type="colorScale" priority="6783">
      <colorScale>
        <cfvo type="min" val="0"/>
        <cfvo type="percentile" val="50"/>
        <cfvo type="max" val="0"/>
        <color rgb="FFF8696B"/>
        <color rgb="FFFFEB84"/>
        <color rgb="FF63BE7B"/>
      </colorScale>
    </cfRule>
    <cfRule type="colorScale" priority="6784">
      <colorScale>
        <cfvo type="num" val="1"/>
        <cfvo type="num" val="2"/>
        <cfvo type="num" val="3"/>
        <color rgb="FFF8696B"/>
        <color rgb="FFFFEB84"/>
        <color rgb="FF63BE7B"/>
      </colorScale>
    </cfRule>
    <cfRule type="colorScale" priority="6785">
      <colorScale>
        <cfvo type="num" val="1"/>
        <cfvo type="num" val="2"/>
        <cfvo type="num" val="3"/>
        <color rgb="FFF8696B"/>
        <color rgb="FFFFEB84"/>
        <color rgb="FF63BE7B"/>
      </colorScale>
    </cfRule>
    <cfRule type="colorScale" priority="6786">
      <colorScale>
        <cfvo type="num" val="1"/>
        <cfvo type="num" val="2"/>
        <cfvo type="num" val="3"/>
        <color rgb="FFF8696B"/>
        <color rgb="FFFFEB84"/>
        <color rgb="FF63BE7B"/>
      </colorScale>
    </cfRule>
    <cfRule type="colorScale" priority="6787">
      <colorScale>
        <cfvo type="num" val="1"/>
        <cfvo type="num" val="2"/>
        <cfvo type="num" val="3"/>
        <color rgb="FFF8696B"/>
        <color rgb="FFFFEB84"/>
        <color rgb="FF63BE7B"/>
      </colorScale>
    </cfRule>
    <cfRule type="colorScale" priority="6788">
      <colorScale>
        <cfvo type="num" val="1"/>
        <cfvo type="num" val="2"/>
        <cfvo type="num" val="3"/>
        <color rgb="FFF8696B"/>
        <color rgb="FFFFEB84"/>
        <color rgb="FF63BE7B"/>
      </colorScale>
    </cfRule>
    <cfRule type="colorScale" priority="6789">
      <colorScale>
        <cfvo type="num" val="1"/>
        <cfvo type="num" val="2"/>
        <cfvo type="num" val="3"/>
        <color rgb="FFF8696B"/>
        <color rgb="FFFFEB84"/>
        <color rgb="FF63BE7B"/>
      </colorScale>
    </cfRule>
  </conditionalFormatting>
  <conditionalFormatting sqref="X306">
    <cfRule type="cellIs" dxfId="1125" priority="6739" operator="equal">
      <formula>5</formula>
    </cfRule>
    <cfRule type="cellIs" dxfId="1124" priority="6740" operator="equal">
      <formula>4</formula>
    </cfRule>
    <cfRule type="cellIs" dxfId="1123" priority="6741" operator="equal">
      <formula>1</formula>
    </cfRule>
    <cfRule type="cellIs" dxfId="1122" priority="6742" operator="equal">
      <formula>3</formula>
    </cfRule>
    <cfRule type="colorScale" priority="6743">
      <colorScale>
        <cfvo type="min" val="0"/>
        <cfvo type="percentile" val="50"/>
        <cfvo type="max" val="0"/>
        <color rgb="FFF8696B"/>
        <color rgb="FFFFEB84"/>
        <color rgb="FF63BE7B"/>
      </colorScale>
    </cfRule>
    <cfRule type="colorScale" priority="6744">
      <colorScale>
        <cfvo type="num" val="1"/>
        <cfvo type="num" val="2"/>
        <cfvo type="num" val="3"/>
        <color rgb="FFF8696B"/>
        <color rgb="FFFFEB84"/>
        <color rgb="FF63BE7B"/>
      </colorScale>
    </cfRule>
    <cfRule type="colorScale" priority="6745">
      <colorScale>
        <cfvo type="num" val="1"/>
        <cfvo type="num" val="2"/>
        <cfvo type="num" val="3"/>
        <color rgb="FFF8696B"/>
        <color rgb="FFFFEB84"/>
        <color rgb="FF63BE7B"/>
      </colorScale>
    </cfRule>
  </conditionalFormatting>
  <conditionalFormatting sqref="Y306">
    <cfRule type="cellIs" dxfId="1121" priority="6732" operator="equal">
      <formula>5</formula>
    </cfRule>
    <cfRule type="cellIs" dxfId="1120" priority="6733" operator="equal">
      <formula>4</formula>
    </cfRule>
    <cfRule type="cellIs" dxfId="1119" priority="6734" operator="equal">
      <formula>1</formula>
    </cfRule>
    <cfRule type="cellIs" dxfId="1118" priority="6735" operator="equal">
      <formula>3</formula>
    </cfRule>
    <cfRule type="colorScale" priority="6736">
      <colorScale>
        <cfvo type="min" val="0"/>
        <cfvo type="percentile" val="50"/>
        <cfvo type="max" val="0"/>
        <color rgb="FFF8696B"/>
        <color rgb="FFFFEB84"/>
        <color rgb="FF63BE7B"/>
      </colorScale>
    </cfRule>
    <cfRule type="colorScale" priority="6737">
      <colorScale>
        <cfvo type="num" val="1"/>
        <cfvo type="num" val="2"/>
        <cfvo type="num" val="3"/>
        <color rgb="FFF8696B"/>
        <color rgb="FFFFEB84"/>
        <color rgb="FF63BE7B"/>
      </colorScale>
    </cfRule>
    <cfRule type="colorScale" priority="6738">
      <colorScale>
        <cfvo type="num" val="1"/>
        <cfvo type="num" val="2"/>
        <cfvo type="num" val="3"/>
        <color rgb="FFF8696B"/>
        <color rgb="FFFFEB84"/>
        <color rgb="FF63BE7B"/>
      </colorScale>
    </cfRule>
  </conditionalFormatting>
  <conditionalFormatting sqref="W306:Y306">
    <cfRule type="cellIs" dxfId="1117" priority="6720" operator="equal">
      <formula>5</formula>
    </cfRule>
    <cfRule type="cellIs" dxfId="1116" priority="6721" operator="equal">
      <formula>4</formula>
    </cfRule>
    <cfRule type="cellIs" dxfId="1115" priority="6722" operator="equal">
      <formula>1</formula>
    </cfRule>
    <cfRule type="cellIs" dxfId="1114" priority="6723" operator="equal">
      <formula>3</formula>
    </cfRule>
    <cfRule type="cellIs" dxfId="1113" priority="6724" operator="equal">
      <formula>2</formula>
    </cfRule>
    <cfRule type="colorScale" priority="6725">
      <colorScale>
        <cfvo type="min" val="0"/>
        <cfvo type="percentile" val="50"/>
        <cfvo type="max" val="0"/>
        <color rgb="FFF8696B"/>
        <color rgb="FFFFEB84"/>
        <color rgb="FF63BE7B"/>
      </colorScale>
    </cfRule>
    <cfRule type="colorScale" priority="6726">
      <colorScale>
        <cfvo type="num" val="1"/>
        <cfvo type="num" val="2"/>
        <cfvo type="num" val="3"/>
        <color rgb="FFF8696B"/>
        <color rgb="FFFFEB84"/>
        <color rgb="FF63BE7B"/>
      </colorScale>
    </cfRule>
    <cfRule type="colorScale" priority="6727">
      <colorScale>
        <cfvo type="num" val="1"/>
        <cfvo type="num" val="2"/>
        <cfvo type="num" val="3"/>
        <color rgb="FFF8696B"/>
        <color rgb="FFFFEB84"/>
        <color rgb="FF63BE7B"/>
      </colorScale>
    </cfRule>
    <cfRule type="colorScale" priority="6728">
      <colorScale>
        <cfvo type="num" val="1"/>
        <cfvo type="num" val="2"/>
        <cfvo type="num" val="3"/>
        <color rgb="FFF8696B"/>
        <color rgb="FFFFEB84"/>
        <color rgb="FF63BE7B"/>
      </colorScale>
    </cfRule>
    <cfRule type="colorScale" priority="6729">
      <colorScale>
        <cfvo type="num" val="1"/>
        <cfvo type="num" val="2"/>
        <cfvo type="num" val="3"/>
        <color rgb="FFF8696B"/>
        <color rgb="FFFFEB84"/>
        <color rgb="FF63BE7B"/>
      </colorScale>
    </cfRule>
    <cfRule type="colorScale" priority="6730">
      <colorScale>
        <cfvo type="num" val="1"/>
        <cfvo type="num" val="2"/>
        <cfvo type="num" val="3"/>
        <color rgb="FFF8696B"/>
        <color rgb="FFFFEB84"/>
        <color rgb="FF63BE7B"/>
      </colorScale>
    </cfRule>
    <cfRule type="colorScale" priority="6731">
      <colorScale>
        <cfvo type="num" val="1"/>
        <cfvo type="num" val="2"/>
        <cfvo type="num" val="3"/>
        <color rgb="FFF8696B"/>
        <color rgb="FFFFEB84"/>
        <color rgb="FF63BE7B"/>
      </colorScale>
    </cfRule>
  </conditionalFormatting>
  <conditionalFormatting sqref="AB306">
    <cfRule type="cellIs" dxfId="1112" priority="6700" operator="equal">
      <formula>5</formula>
    </cfRule>
    <cfRule type="cellIs" dxfId="1111" priority="6701" operator="equal">
      <formula>4</formula>
    </cfRule>
    <cfRule type="cellIs" dxfId="1110" priority="6702" operator="equal">
      <formula>1</formula>
    </cfRule>
    <cfRule type="cellIs" dxfId="1109" priority="6703" operator="equal">
      <formula>3</formula>
    </cfRule>
    <cfRule type="cellIs" dxfId="1108" priority="6704" operator="equal">
      <formula>2</formula>
    </cfRule>
    <cfRule type="colorScale" priority="6705">
      <colorScale>
        <cfvo type="min" val="0"/>
        <cfvo type="percentile" val="50"/>
        <cfvo type="max" val="0"/>
        <color rgb="FFF8696B"/>
        <color rgb="FFFFEB84"/>
        <color rgb="FF63BE7B"/>
      </colorScale>
    </cfRule>
    <cfRule type="colorScale" priority="6706">
      <colorScale>
        <cfvo type="num" val="1"/>
        <cfvo type="num" val="2"/>
        <cfvo type="num" val="3"/>
        <color rgb="FFF8696B"/>
        <color rgb="FFFFEB84"/>
        <color rgb="FF63BE7B"/>
      </colorScale>
    </cfRule>
    <cfRule type="colorScale" priority="6707">
      <colorScale>
        <cfvo type="num" val="1"/>
        <cfvo type="num" val="2"/>
        <cfvo type="num" val="3"/>
        <color rgb="FFF8696B"/>
        <color rgb="FFFFEB84"/>
        <color rgb="FF63BE7B"/>
      </colorScale>
    </cfRule>
  </conditionalFormatting>
  <conditionalFormatting sqref="AC306">
    <cfRule type="cellIs" dxfId="1107" priority="6661" operator="equal">
      <formula>5</formula>
    </cfRule>
    <cfRule type="cellIs" dxfId="1106" priority="6662" operator="equal">
      <formula>4</formula>
    </cfRule>
    <cfRule type="cellIs" dxfId="1105" priority="6663" operator="equal">
      <formula>1</formula>
    </cfRule>
    <cfRule type="cellIs" dxfId="1104" priority="6664" operator="equal">
      <formula>3</formula>
    </cfRule>
    <cfRule type="colorScale" priority="6665">
      <colorScale>
        <cfvo type="min" val="0"/>
        <cfvo type="percentile" val="50"/>
        <cfvo type="max" val="0"/>
        <color rgb="FFF8696B"/>
        <color rgb="FFFFEB84"/>
        <color rgb="FF63BE7B"/>
      </colorScale>
    </cfRule>
    <cfRule type="colorScale" priority="6666">
      <colorScale>
        <cfvo type="num" val="1"/>
        <cfvo type="num" val="2"/>
        <cfvo type="num" val="3"/>
        <color rgb="FFF8696B"/>
        <color rgb="FFFFEB84"/>
        <color rgb="FF63BE7B"/>
      </colorScale>
    </cfRule>
    <cfRule type="colorScale" priority="6667">
      <colorScale>
        <cfvo type="num" val="1"/>
        <cfvo type="num" val="2"/>
        <cfvo type="num" val="3"/>
        <color rgb="FFF8696B"/>
        <color rgb="FFFFEB84"/>
        <color rgb="FF63BE7B"/>
      </colorScale>
    </cfRule>
  </conditionalFormatting>
  <conditionalFormatting sqref="AD306">
    <cfRule type="cellIs" dxfId="1103" priority="6654" operator="equal">
      <formula>5</formula>
    </cfRule>
    <cfRule type="cellIs" dxfId="1102" priority="6655" operator="equal">
      <formula>4</formula>
    </cfRule>
    <cfRule type="cellIs" dxfId="1101" priority="6656" operator="equal">
      <formula>1</formula>
    </cfRule>
    <cfRule type="cellIs" dxfId="1100" priority="6657" operator="equal">
      <formula>3</formula>
    </cfRule>
    <cfRule type="colorScale" priority="6658">
      <colorScale>
        <cfvo type="min" val="0"/>
        <cfvo type="percentile" val="50"/>
        <cfvo type="max" val="0"/>
        <color rgb="FFF8696B"/>
        <color rgb="FFFFEB84"/>
        <color rgb="FF63BE7B"/>
      </colorScale>
    </cfRule>
    <cfRule type="colorScale" priority="6659">
      <colorScale>
        <cfvo type="num" val="1"/>
        <cfvo type="num" val="2"/>
        <cfvo type="num" val="3"/>
        <color rgb="FFF8696B"/>
        <color rgb="FFFFEB84"/>
        <color rgb="FF63BE7B"/>
      </colorScale>
    </cfRule>
    <cfRule type="colorScale" priority="6660">
      <colorScale>
        <cfvo type="num" val="1"/>
        <cfvo type="num" val="2"/>
        <cfvo type="num" val="3"/>
        <color rgb="FFF8696B"/>
        <color rgb="FFFFEB84"/>
        <color rgb="FF63BE7B"/>
      </colorScale>
    </cfRule>
  </conditionalFormatting>
  <conditionalFormatting sqref="AB306:AD306">
    <cfRule type="cellIs" dxfId="1099" priority="6642" operator="equal">
      <formula>5</formula>
    </cfRule>
    <cfRule type="cellIs" dxfId="1098" priority="6643" operator="equal">
      <formula>4</formula>
    </cfRule>
    <cfRule type="cellIs" dxfId="1097" priority="6644" operator="equal">
      <formula>1</formula>
    </cfRule>
    <cfRule type="cellIs" dxfId="1096" priority="6645" operator="equal">
      <formula>3</formula>
    </cfRule>
    <cfRule type="cellIs" dxfId="1095" priority="6646" operator="equal">
      <formula>2</formula>
    </cfRule>
    <cfRule type="colorScale" priority="6647">
      <colorScale>
        <cfvo type="min" val="0"/>
        <cfvo type="percentile" val="50"/>
        <cfvo type="max" val="0"/>
        <color rgb="FFF8696B"/>
        <color rgb="FFFFEB84"/>
        <color rgb="FF63BE7B"/>
      </colorScale>
    </cfRule>
    <cfRule type="colorScale" priority="6648">
      <colorScale>
        <cfvo type="num" val="1"/>
        <cfvo type="num" val="2"/>
        <cfvo type="num" val="3"/>
        <color rgb="FFF8696B"/>
        <color rgb="FFFFEB84"/>
        <color rgb="FF63BE7B"/>
      </colorScale>
    </cfRule>
    <cfRule type="colorScale" priority="6649">
      <colorScale>
        <cfvo type="num" val="1"/>
        <cfvo type="num" val="2"/>
        <cfvo type="num" val="3"/>
        <color rgb="FFF8696B"/>
        <color rgb="FFFFEB84"/>
        <color rgb="FF63BE7B"/>
      </colorScale>
    </cfRule>
    <cfRule type="colorScale" priority="6650">
      <colorScale>
        <cfvo type="num" val="1"/>
        <cfvo type="num" val="2"/>
        <cfvo type="num" val="3"/>
        <color rgb="FFF8696B"/>
        <color rgb="FFFFEB84"/>
        <color rgb="FF63BE7B"/>
      </colorScale>
    </cfRule>
    <cfRule type="colorScale" priority="6651">
      <colorScale>
        <cfvo type="num" val="1"/>
        <cfvo type="num" val="2"/>
        <cfvo type="num" val="3"/>
        <color rgb="FFF8696B"/>
        <color rgb="FFFFEB84"/>
        <color rgb="FF63BE7B"/>
      </colorScale>
    </cfRule>
    <cfRule type="colorScale" priority="6652">
      <colorScale>
        <cfvo type="num" val="1"/>
        <cfvo type="num" val="2"/>
        <cfvo type="num" val="3"/>
        <color rgb="FFF8696B"/>
        <color rgb="FFFFEB84"/>
        <color rgb="FF63BE7B"/>
      </colorScale>
    </cfRule>
    <cfRule type="colorScale" priority="6653">
      <colorScale>
        <cfvo type="num" val="1"/>
        <cfvo type="num" val="2"/>
        <cfvo type="num" val="3"/>
        <color rgb="FFF8696B"/>
        <color rgb="FFFFEB84"/>
        <color rgb="FF63BE7B"/>
      </colorScale>
    </cfRule>
  </conditionalFormatting>
  <conditionalFormatting sqref="K308">
    <cfRule type="cellIs" dxfId="1094" priority="6551" operator="equal">
      <formula>5</formula>
    </cfRule>
    <cfRule type="cellIs" dxfId="1093" priority="6552" operator="equal">
      <formula>4</formula>
    </cfRule>
    <cfRule type="cellIs" dxfId="1092" priority="6553" operator="equal">
      <formula>1</formula>
    </cfRule>
    <cfRule type="cellIs" dxfId="1091" priority="6554" operator="equal">
      <formula>3</formula>
    </cfRule>
    <cfRule type="cellIs" dxfId="1090" priority="6555" operator="equal">
      <formula>2</formula>
    </cfRule>
    <cfRule type="colorScale" priority="6556">
      <colorScale>
        <cfvo type="min" val="0"/>
        <cfvo type="percentile" val="50"/>
        <cfvo type="max" val="0"/>
        <color rgb="FFF8696B"/>
        <color rgb="FFFFEB84"/>
        <color rgb="FF63BE7B"/>
      </colorScale>
    </cfRule>
    <cfRule type="colorScale" priority="6557">
      <colorScale>
        <cfvo type="num" val="1"/>
        <cfvo type="num" val="2"/>
        <cfvo type="num" val="3"/>
        <color rgb="FFF8696B"/>
        <color rgb="FFFFEB84"/>
        <color rgb="FF63BE7B"/>
      </colorScale>
    </cfRule>
    <cfRule type="colorScale" priority="6558">
      <colorScale>
        <cfvo type="num" val="1"/>
        <cfvo type="num" val="2"/>
        <cfvo type="num" val="3"/>
        <color rgb="FFF8696B"/>
        <color rgb="FFFFEB84"/>
        <color rgb="FF63BE7B"/>
      </colorScale>
    </cfRule>
    <cfRule type="colorScale" priority="6559">
      <colorScale>
        <cfvo type="num" val="1"/>
        <cfvo type="num" val="2"/>
        <cfvo type="num" val="3"/>
        <color rgb="FFF8696B"/>
        <color rgb="FFFFEB84"/>
        <color rgb="FF63BE7B"/>
      </colorScale>
    </cfRule>
    <cfRule type="colorScale" priority="6560">
      <colorScale>
        <cfvo type="num" val="1"/>
        <cfvo type="num" val="2"/>
        <cfvo type="num" val="3"/>
        <color rgb="FFF8696B"/>
        <color rgb="FFFFEB84"/>
        <color rgb="FF63BE7B"/>
      </colorScale>
    </cfRule>
    <cfRule type="colorScale" priority="6561">
      <colorScale>
        <cfvo type="num" val="1"/>
        <cfvo type="num" val="2"/>
        <cfvo type="num" val="3"/>
        <color rgb="FFF8696B"/>
        <color rgb="FFFFEB84"/>
        <color rgb="FF63BE7B"/>
      </colorScale>
    </cfRule>
    <cfRule type="colorScale" priority="6562">
      <colorScale>
        <cfvo type="num" val="1"/>
        <cfvo type="num" val="2"/>
        <cfvo type="num" val="3"/>
        <color rgb="FFF8696B"/>
        <color rgb="FFFFEB84"/>
        <color rgb="FF63BE7B"/>
      </colorScale>
    </cfRule>
  </conditionalFormatting>
  <conditionalFormatting sqref="P308">
    <cfRule type="cellIs" dxfId="1089" priority="6538" operator="equal">
      <formula>5</formula>
    </cfRule>
    <cfRule type="cellIs" dxfId="1088" priority="6539" operator="equal">
      <formula>4</formula>
    </cfRule>
    <cfRule type="cellIs" dxfId="1087" priority="6540" operator="equal">
      <formula>1</formula>
    </cfRule>
    <cfRule type="cellIs" dxfId="1086" priority="6541" operator="equal">
      <formula>3</formula>
    </cfRule>
    <cfRule type="cellIs" dxfId="1085" priority="6542" operator="equal">
      <formula>2</formula>
    </cfRule>
    <cfRule type="colorScale" priority="6543">
      <colorScale>
        <cfvo type="min" val="0"/>
        <cfvo type="percentile" val="50"/>
        <cfvo type="max" val="0"/>
        <color rgb="FFF8696B"/>
        <color rgb="FFFFEB84"/>
        <color rgb="FF63BE7B"/>
      </colorScale>
    </cfRule>
    <cfRule type="colorScale" priority="6544">
      <colorScale>
        <cfvo type="num" val="1"/>
        <cfvo type="num" val="2"/>
        <cfvo type="num" val="3"/>
        <color rgb="FFF8696B"/>
        <color rgb="FFFFEB84"/>
        <color rgb="FF63BE7B"/>
      </colorScale>
    </cfRule>
    <cfRule type="colorScale" priority="6545">
      <colorScale>
        <cfvo type="num" val="1"/>
        <cfvo type="num" val="2"/>
        <cfvo type="num" val="3"/>
        <color rgb="FFF8696B"/>
        <color rgb="FFFFEB84"/>
        <color rgb="FF63BE7B"/>
      </colorScale>
    </cfRule>
    <cfRule type="colorScale" priority="6546">
      <colorScale>
        <cfvo type="num" val="1"/>
        <cfvo type="num" val="2"/>
        <cfvo type="num" val="3"/>
        <color rgb="FFF8696B"/>
        <color rgb="FFFFEB84"/>
        <color rgb="FF63BE7B"/>
      </colorScale>
    </cfRule>
    <cfRule type="colorScale" priority="6547">
      <colorScale>
        <cfvo type="num" val="1"/>
        <cfvo type="num" val="2"/>
        <cfvo type="num" val="3"/>
        <color rgb="FFF8696B"/>
        <color rgb="FFFFEB84"/>
        <color rgb="FF63BE7B"/>
      </colorScale>
    </cfRule>
    <cfRule type="colorScale" priority="6548">
      <colorScale>
        <cfvo type="num" val="1"/>
        <cfvo type="num" val="2"/>
        <cfvo type="num" val="3"/>
        <color rgb="FFF8696B"/>
        <color rgb="FFFFEB84"/>
        <color rgb="FF63BE7B"/>
      </colorScale>
    </cfRule>
    <cfRule type="colorScale" priority="6549">
      <colorScale>
        <cfvo type="num" val="1"/>
        <cfvo type="num" val="2"/>
        <cfvo type="num" val="3"/>
        <color rgb="FFF8696B"/>
        <color rgb="FFFFEB84"/>
        <color rgb="FF63BE7B"/>
      </colorScale>
    </cfRule>
  </conditionalFormatting>
  <conditionalFormatting sqref="U308">
    <cfRule type="cellIs" dxfId="1084" priority="6525" operator="equal">
      <formula>5</formula>
    </cfRule>
    <cfRule type="cellIs" dxfId="1083" priority="6526" operator="equal">
      <formula>4</formula>
    </cfRule>
    <cfRule type="cellIs" dxfId="1082" priority="6527" operator="equal">
      <formula>1</formula>
    </cfRule>
    <cfRule type="cellIs" dxfId="1081" priority="6528" operator="equal">
      <formula>3</formula>
    </cfRule>
    <cfRule type="cellIs" dxfId="1080" priority="6529" operator="equal">
      <formula>2</formula>
    </cfRule>
    <cfRule type="colorScale" priority="6530">
      <colorScale>
        <cfvo type="min" val="0"/>
        <cfvo type="percentile" val="50"/>
        <cfvo type="max" val="0"/>
        <color rgb="FFF8696B"/>
        <color rgb="FFFFEB84"/>
        <color rgb="FF63BE7B"/>
      </colorScale>
    </cfRule>
    <cfRule type="colorScale" priority="6531">
      <colorScale>
        <cfvo type="num" val="1"/>
        <cfvo type="num" val="2"/>
        <cfvo type="num" val="3"/>
        <color rgb="FFF8696B"/>
        <color rgb="FFFFEB84"/>
        <color rgb="FF63BE7B"/>
      </colorScale>
    </cfRule>
    <cfRule type="colorScale" priority="6532">
      <colorScale>
        <cfvo type="num" val="1"/>
        <cfvo type="num" val="2"/>
        <cfvo type="num" val="3"/>
        <color rgb="FFF8696B"/>
        <color rgb="FFFFEB84"/>
        <color rgb="FF63BE7B"/>
      </colorScale>
    </cfRule>
    <cfRule type="colorScale" priority="6533">
      <colorScale>
        <cfvo type="num" val="1"/>
        <cfvo type="num" val="2"/>
        <cfvo type="num" val="3"/>
        <color rgb="FFF8696B"/>
        <color rgb="FFFFEB84"/>
        <color rgb="FF63BE7B"/>
      </colorScale>
    </cfRule>
    <cfRule type="colorScale" priority="6534">
      <colorScale>
        <cfvo type="num" val="1"/>
        <cfvo type="num" val="2"/>
        <cfvo type="num" val="3"/>
        <color rgb="FFF8696B"/>
        <color rgb="FFFFEB84"/>
        <color rgb="FF63BE7B"/>
      </colorScale>
    </cfRule>
    <cfRule type="colorScale" priority="6535">
      <colorScale>
        <cfvo type="num" val="1"/>
        <cfvo type="num" val="2"/>
        <cfvo type="num" val="3"/>
        <color rgb="FFF8696B"/>
        <color rgb="FFFFEB84"/>
        <color rgb="FF63BE7B"/>
      </colorScale>
    </cfRule>
    <cfRule type="colorScale" priority="6536">
      <colorScale>
        <cfvo type="num" val="1"/>
        <cfvo type="num" val="2"/>
        <cfvo type="num" val="3"/>
        <color rgb="FFF8696B"/>
        <color rgb="FFFFEB84"/>
        <color rgb="FF63BE7B"/>
      </colorScale>
    </cfRule>
  </conditionalFormatting>
  <conditionalFormatting sqref="Z308">
    <cfRule type="cellIs" dxfId="1079" priority="6513" operator="equal">
      <formula>5</formula>
    </cfRule>
    <cfRule type="cellIs" dxfId="1078" priority="6514" operator="equal">
      <formula>4</formula>
    </cfRule>
    <cfRule type="cellIs" dxfId="1077" priority="6515" operator="equal">
      <formula>1</formula>
    </cfRule>
    <cfRule type="cellIs" dxfId="1076" priority="6516" operator="equal">
      <formula>3</formula>
    </cfRule>
    <cfRule type="cellIs" dxfId="1075" priority="6517" operator="equal">
      <formula>2</formula>
    </cfRule>
    <cfRule type="colorScale" priority="6518">
      <colorScale>
        <cfvo type="min" val="0"/>
        <cfvo type="percentile" val="50"/>
        <cfvo type="max" val="0"/>
        <color rgb="FFF8696B"/>
        <color rgb="FFFFEB84"/>
        <color rgb="FF63BE7B"/>
      </colorScale>
    </cfRule>
    <cfRule type="colorScale" priority="6519">
      <colorScale>
        <cfvo type="num" val="1"/>
        <cfvo type="num" val="2"/>
        <cfvo type="num" val="3"/>
        <color rgb="FFF8696B"/>
        <color rgb="FFFFEB84"/>
        <color rgb="FF63BE7B"/>
      </colorScale>
    </cfRule>
    <cfRule type="colorScale" priority="6520">
      <colorScale>
        <cfvo type="num" val="1"/>
        <cfvo type="num" val="2"/>
        <cfvo type="num" val="3"/>
        <color rgb="FFF8696B"/>
        <color rgb="FFFFEB84"/>
        <color rgb="FF63BE7B"/>
      </colorScale>
    </cfRule>
    <cfRule type="colorScale" priority="6521">
      <colorScale>
        <cfvo type="num" val="1"/>
        <cfvo type="num" val="2"/>
        <cfvo type="num" val="3"/>
        <color rgb="FFF8696B"/>
        <color rgb="FFFFEB84"/>
        <color rgb="FF63BE7B"/>
      </colorScale>
    </cfRule>
    <cfRule type="colorScale" priority="6522">
      <colorScale>
        <cfvo type="num" val="1"/>
        <cfvo type="num" val="2"/>
        <cfvo type="num" val="3"/>
        <color rgb="FFF8696B"/>
        <color rgb="FFFFEB84"/>
        <color rgb="FF63BE7B"/>
      </colorScale>
    </cfRule>
    <cfRule type="colorScale" priority="6523">
      <colorScale>
        <cfvo type="num" val="1"/>
        <cfvo type="num" val="2"/>
        <cfvo type="num" val="3"/>
        <color rgb="FFF8696B"/>
        <color rgb="FFFFEB84"/>
        <color rgb="FF63BE7B"/>
      </colorScale>
    </cfRule>
    <cfRule type="colorScale" priority="6524">
      <colorScale>
        <cfvo type="num" val="1"/>
        <cfvo type="num" val="2"/>
        <cfvo type="num" val="3"/>
        <color rgb="FFF8696B"/>
        <color rgb="FFFFEB84"/>
        <color rgb="FF63BE7B"/>
      </colorScale>
    </cfRule>
  </conditionalFormatting>
  <conditionalFormatting sqref="AE308">
    <cfRule type="cellIs" dxfId="1074" priority="6501" operator="equal">
      <formula>5</formula>
    </cfRule>
    <cfRule type="cellIs" dxfId="1073" priority="6502" operator="equal">
      <formula>4</formula>
    </cfRule>
    <cfRule type="cellIs" dxfId="1072" priority="6503" operator="equal">
      <formula>1</formula>
    </cfRule>
    <cfRule type="cellIs" dxfId="1071" priority="6504" operator="equal">
      <formula>3</formula>
    </cfRule>
    <cfRule type="cellIs" dxfId="1070" priority="6505" operator="equal">
      <formula>2</formula>
    </cfRule>
    <cfRule type="colorScale" priority="6506">
      <colorScale>
        <cfvo type="min" val="0"/>
        <cfvo type="percentile" val="50"/>
        <cfvo type="max" val="0"/>
        <color rgb="FFF8696B"/>
        <color rgb="FFFFEB84"/>
        <color rgb="FF63BE7B"/>
      </colorScale>
    </cfRule>
    <cfRule type="colorScale" priority="6507">
      <colorScale>
        <cfvo type="num" val="1"/>
        <cfvo type="num" val="2"/>
        <cfvo type="num" val="3"/>
        <color rgb="FFF8696B"/>
        <color rgb="FFFFEB84"/>
        <color rgb="FF63BE7B"/>
      </colorScale>
    </cfRule>
    <cfRule type="colorScale" priority="6508">
      <colorScale>
        <cfvo type="num" val="1"/>
        <cfvo type="num" val="2"/>
        <cfvo type="num" val="3"/>
        <color rgb="FFF8696B"/>
        <color rgb="FFFFEB84"/>
        <color rgb="FF63BE7B"/>
      </colorScale>
    </cfRule>
    <cfRule type="colorScale" priority="6509">
      <colorScale>
        <cfvo type="num" val="1"/>
        <cfvo type="num" val="2"/>
        <cfvo type="num" val="3"/>
        <color rgb="FFF8696B"/>
        <color rgb="FFFFEB84"/>
        <color rgb="FF63BE7B"/>
      </colorScale>
    </cfRule>
    <cfRule type="colorScale" priority="6510">
      <colorScale>
        <cfvo type="num" val="1"/>
        <cfvo type="num" val="2"/>
        <cfvo type="num" val="3"/>
        <color rgb="FFF8696B"/>
        <color rgb="FFFFEB84"/>
        <color rgb="FF63BE7B"/>
      </colorScale>
    </cfRule>
    <cfRule type="colorScale" priority="6511">
      <colorScale>
        <cfvo type="num" val="1"/>
        <cfvo type="num" val="2"/>
        <cfvo type="num" val="3"/>
        <color rgb="FFF8696B"/>
        <color rgb="FFFFEB84"/>
        <color rgb="FF63BE7B"/>
      </colorScale>
    </cfRule>
    <cfRule type="colorScale" priority="6512">
      <colorScale>
        <cfvo type="num" val="1"/>
        <cfvo type="num" val="2"/>
        <cfvo type="num" val="3"/>
        <color rgb="FFF8696B"/>
        <color rgb="FFFFEB84"/>
        <color rgb="FF63BE7B"/>
      </colorScale>
    </cfRule>
  </conditionalFormatting>
  <conditionalFormatting sqref="F304">
    <cfRule type="cellIs" dxfId="1069" priority="6468" operator="equal">
      <formula>5</formula>
    </cfRule>
    <cfRule type="cellIs" dxfId="1068" priority="6469" operator="equal">
      <formula>4</formula>
    </cfRule>
    <cfRule type="cellIs" dxfId="1067" priority="6470" operator="equal">
      <formula>1</formula>
    </cfRule>
    <cfRule type="cellIs" dxfId="1066" priority="6471" operator="equal">
      <formula>3</formula>
    </cfRule>
    <cfRule type="colorScale" priority="6472">
      <colorScale>
        <cfvo type="min" val="0"/>
        <cfvo type="percentile" val="50"/>
        <cfvo type="max" val="0"/>
        <color rgb="FFF8696B"/>
        <color rgb="FFFFEB84"/>
        <color rgb="FF63BE7B"/>
      </colorScale>
    </cfRule>
    <cfRule type="colorScale" priority="6473">
      <colorScale>
        <cfvo type="num" val="1"/>
        <cfvo type="num" val="2"/>
        <cfvo type="num" val="3"/>
        <color rgb="FFF8696B"/>
        <color rgb="FFFFEB84"/>
        <color rgb="FF63BE7B"/>
      </colorScale>
    </cfRule>
    <cfRule type="colorScale" priority="6474">
      <colorScale>
        <cfvo type="num" val="1"/>
        <cfvo type="num" val="2"/>
        <cfvo type="num" val="3"/>
        <color rgb="FFF8696B"/>
        <color rgb="FFFFEB84"/>
        <color rgb="FF63BE7B"/>
      </colorScale>
    </cfRule>
    <cfRule type="colorScale" priority="6475">
      <colorScale>
        <cfvo type="num" val="1"/>
        <cfvo type="num" val="2"/>
        <cfvo type="num" val="3"/>
        <color rgb="FFF8696B"/>
        <color rgb="FFFFEB84"/>
        <color rgb="FF63BE7B"/>
      </colorScale>
    </cfRule>
    <cfRule type="colorScale" priority="6476">
      <colorScale>
        <cfvo type="num" val="1"/>
        <cfvo type="num" val="2"/>
        <cfvo type="num" val="3"/>
        <color rgb="FFF8696B"/>
        <color rgb="FFFFEB84"/>
        <color rgb="FF63BE7B"/>
      </colorScale>
    </cfRule>
    <cfRule type="colorScale" priority="6477">
      <colorScale>
        <cfvo type="num" val="1"/>
        <cfvo type="num" val="2"/>
        <cfvo type="num" val="3"/>
        <color rgb="FFF8696B"/>
        <color rgb="FFFFEB84"/>
        <color rgb="FF63BE7B"/>
      </colorScale>
    </cfRule>
    <cfRule type="colorScale" priority="6478">
      <colorScale>
        <cfvo type="num" val="1"/>
        <cfvo type="num" val="2"/>
        <cfvo type="num" val="3"/>
        <color rgb="FFF8696B"/>
        <color rgb="FFFFEB84"/>
        <color rgb="FF63BE7B"/>
      </colorScale>
    </cfRule>
  </conditionalFormatting>
  <conditionalFormatting sqref="J304:K304">
    <cfRule type="cellIs" dxfId="1065" priority="6456" operator="equal">
      <formula>5</formula>
    </cfRule>
    <cfRule type="cellIs" dxfId="1064" priority="6457" operator="equal">
      <formula>4</formula>
    </cfRule>
    <cfRule type="cellIs" dxfId="1063" priority="6458" operator="equal">
      <formula>1</formula>
    </cfRule>
    <cfRule type="cellIs" dxfId="1062" priority="6459" operator="equal">
      <formula>3</formula>
    </cfRule>
    <cfRule type="cellIs" dxfId="1061" priority="6460" operator="equal">
      <formula>2</formula>
    </cfRule>
    <cfRule type="colorScale" priority="6461">
      <colorScale>
        <cfvo type="min" val="0"/>
        <cfvo type="percentile" val="50"/>
        <cfvo type="max" val="0"/>
        <color rgb="FFF8696B"/>
        <color rgb="FFFFEB84"/>
        <color rgb="FF63BE7B"/>
      </colorScale>
    </cfRule>
    <cfRule type="colorScale" priority="6462">
      <colorScale>
        <cfvo type="num" val="1"/>
        <cfvo type="num" val="2"/>
        <cfvo type="num" val="3"/>
        <color rgb="FFF8696B"/>
        <color rgb="FFFFEB84"/>
        <color rgb="FF63BE7B"/>
      </colorScale>
    </cfRule>
    <cfRule type="colorScale" priority="6463">
      <colorScale>
        <cfvo type="num" val="1"/>
        <cfvo type="num" val="2"/>
        <cfvo type="num" val="3"/>
        <color rgb="FFF8696B"/>
        <color rgb="FFFFEB84"/>
        <color rgb="FF63BE7B"/>
      </colorScale>
    </cfRule>
    <cfRule type="colorScale" priority="6464">
      <colorScale>
        <cfvo type="num" val="1"/>
        <cfvo type="num" val="2"/>
        <cfvo type="num" val="3"/>
        <color rgb="FFF8696B"/>
        <color rgb="FFFFEB84"/>
        <color rgb="FF63BE7B"/>
      </colorScale>
    </cfRule>
    <cfRule type="colorScale" priority="6465">
      <colorScale>
        <cfvo type="num" val="1"/>
        <cfvo type="num" val="2"/>
        <cfvo type="num" val="3"/>
        <color rgb="FFF8696B"/>
        <color rgb="FFFFEB84"/>
        <color rgb="FF63BE7B"/>
      </colorScale>
    </cfRule>
    <cfRule type="colorScale" priority="6466">
      <colorScale>
        <cfvo type="num" val="1"/>
        <cfvo type="num" val="2"/>
        <cfvo type="num" val="3"/>
        <color rgb="FFF8696B"/>
        <color rgb="FFFFEB84"/>
        <color rgb="FF63BE7B"/>
      </colorScale>
    </cfRule>
    <cfRule type="colorScale" priority="6467">
      <colorScale>
        <cfvo type="num" val="1"/>
        <cfvo type="num" val="2"/>
        <cfvo type="num" val="3"/>
        <color rgb="FFF8696B"/>
        <color rgb="FFFFEB84"/>
        <color rgb="FF63BE7B"/>
      </colorScale>
    </cfRule>
  </conditionalFormatting>
  <conditionalFormatting sqref="K304">
    <cfRule type="cellIs" dxfId="1060" priority="6443" operator="equal">
      <formula>5</formula>
    </cfRule>
    <cfRule type="cellIs" dxfId="1059" priority="6444" operator="equal">
      <formula>4</formula>
    </cfRule>
    <cfRule type="cellIs" dxfId="1058" priority="6445" operator="equal">
      <formula>1</formula>
    </cfRule>
    <cfRule type="cellIs" dxfId="1057" priority="6446" operator="equal">
      <formula>3</formula>
    </cfRule>
    <cfRule type="colorScale" priority="6447">
      <colorScale>
        <cfvo type="min" val="0"/>
        <cfvo type="percentile" val="50"/>
        <cfvo type="max" val="0"/>
        <color rgb="FFF8696B"/>
        <color rgb="FFFFEB84"/>
        <color rgb="FF63BE7B"/>
      </colorScale>
    </cfRule>
    <cfRule type="colorScale" priority="6448">
      <colorScale>
        <cfvo type="num" val="1"/>
        <cfvo type="num" val="2"/>
        <cfvo type="num" val="3"/>
        <color rgb="FFF8696B"/>
        <color rgb="FFFFEB84"/>
        <color rgb="FF63BE7B"/>
      </colorScale>
    </cfRule>
    <cfRule type="colorScale" priority="6449">
      <colorScale>
        <cfvo type="num" val="1"/>
        <cfvo type="num" val="2"/>
        <cfvo type="num" val="3"/>
        <color rgb="FFF8696B"/>
        <color rgb="FFFFEB84"/>
        <color rgb="FF63BE7B"/>
      </colorScale>
    </cfRule>
    <cfRule type="colorScale" priority="6450">
      <colorScale>
        <cfvo type="num" val="1"/>
        <cfvo type="num" val="2"/>
        <cfvo type="num" val="3"/>
        <color rgb="FFF8696B"/>
        <color rgb="FFFFEB84"/>
        <color rgb="FF63BE7B"/>
      </colorScale>
    </cfRule>
    <cfRule type="colorScale" priority="6451">
      <colorScale>
        <cfvo type="num" val="1"/>
        <cfvo type="num" val="2"/>
        <cfvo type="num" val="3"/>
        <color rgb="FFF8696B"/>
        <color rgb="FFFFEB84"/>
        <color rgb="FF63BE7B"/>
      </colorScale>
    </cfRule>
    <cfRule type="colorScale" priority="6452">
      <colorScale>
        <cfvo type="num" val="1"/>
        <cfvo type="num" val="2"/>
        <cfvo type="num" val="3"/>
        <color rgb="FFF8696B"/>
        <color rgb="FFFFEB84"/>
        <color rgb="FF63BE7B"/>
      </colorScale>
    </cfRule>
    <cfRule type="colorScale" priority="6453">
      <colorScale>
        <cfvo type="num" val="1"/>
        <cfvo type="num" val="2"/>
        <cfvo type="num" val="3"/>
        <color rgb="FFF8696B"/>
        <color rgb="FFFFEB84"/>
        <color rgb="FF63BE7B"/>
      </colorScale>
    </cfRule>
  </conditionalFormatting>
  <conditionalFormatting sqref="O304:P304">
    <cfRule type="cellIs" dxfId="1056" priority="6431" operator="equal">
      <formula>5</formula>
    </cfRule>
    <cfRule type="cellIs" dxfId="1055" priority="6432" operator="equal">
      <formula>4</formula>
    </cfRule>
    <cfRule type="cellIs" dxfId="1054" priority="6433" operator="equal">
      <formula>1</formula>
    </cfRule>
    <cfRule type="cellIs" dxfId="1053" priority="6434" operator="equal">
      <formula>3</formula>
    </cfRule>
    <cfRule type="cellIs" dxfId="1052" priority="6435" operator="equal">
      <formula>2</formula>
    </cfRule>
    <cfRule type="colorScale" priority="6436">
      <colorScale>
        <cfvo type="min" val="0"/>
        <cfvo type="percentile" val="50"/>
        <cfvo type="max" val="0"/>
        <color rgb="FFF8696B"/>
        <color rgb="FFFFEB84"/>
        <color rgb="FF63BE7B"/>
      </colorScale>
    </cfRule>
    <cfRule type="colorScale" priority="6437">
      <colorScale>
        <cfvo type="num" val="1"/>
        <cfvo type="num" val="2"/>
        <cfvo type="num" val="3"/>
        <color rgb="FFF8696B"/>
        <color rgb="FFFFEB84"/>
        <color rgb="FF63BE7B"/>
      </colorScale>
    </cfRule>
    <cfRule type="colorScale" priority="6438">
      <colorScale>
        <cfvo type="num" val="1"/>
        <cfvo type="num" val="2"/>
        <cfvo type="num" val="3"/>
        <color rgb="FFF8696B"/>
        <color rgb="FFFFEB84"/>
        <color rgb="FF63BE7B"/>
      </colorScale>
    </cfRule>
    <cfRule type="colorScale" priority="6439">
      <colorScale>
        <cfvo type="num" val="1"/>
        <cfvo type="num" val="2"/>
        <cfvo type="num" val="3"/>
        <color rgb="FFF8696B"/>
        <color rgb="FFFFEB84"/>
        <color rgb="FF63BE7B"/>
      </colorScale>
    </cfRule>
    <cfRule type="colorScale" priority="6440">
      <colorScale>
        <cfvo type="num" val="1"/>
        <cfvo type="num" val="2"/>
        <cfvo type="num" val="3"/>
        <color rgb="FFF8696B"/>
        <color rgb="FFFFEB84"/>
        <color rgb="FF63BE7B"/>
      </colorScale>
    </cfRule>
    <cfRule type="colorScale" priority="6441">
      <colorScale>
        <cfvo type="num" val="1"/>
        <cfvo type="num" val="2"/>
        <cfvo type="num" val="3"/>
        <color rgb="FFF8696B"/>
        <color rgb="FFFFEB84"/>
        <color rgb="FF63BE7B"/>
      </colorScale>
    </cfRule>
    <cfRule type="colorScale" priority="6442">
      <colorScale>
        <cfvo type="num" val="1"/>
        <cfvo type="num" val="2"/>
        <cfvo type="num" val="3"/>
        <color rgb="FFF8696B"/>
        <color rgb="FFFFEB84"/>
        <color rgb="FF63BE7B"/>
      </colorScale>
    </cfRule>
  </conditionalFormatting>
  <conditionalFormatting sqref="P304">
    <cfRule type="cellIs" dxfId="1051" priority="6418" operator="equal">
      <formula>5</formula>
    </cfRule>
    <cfRule type="cellIs" dxfId="1050" priority="6419" operator="equal">
      <formula>4</formula>
    </cfRule>
    <cfRule type="cellIs" dxfId="1049" priority="6420" operator="equal">
      <formula>1</formula>
    </cfRule>
    <cfRule type="cellIs" dxfId="1048" priority="6421" operator="equal">
      <formula>3</formula>
    </cfRule>
    <cfRule type="colorScale" priority="6422">
      <colorScale>
        <cfvo type="min" val="0"/>
        <cfvo type="percentile" val="50"/>
        <cfvo type="max" val="0"/>
        <color rgb="FFF8696B"/>
        <color rgb="FFFFEB84"/>
        <color rgb="FF63BE7B"/>
      </colorScale>
    </cfRule>
    <cfRule type="colorScale" priority="6423">
      <colorScale>
        <cfvo type="num" val="1"/>
        <cfvo type="num" val="2"/>
        <cfvo type="num" val="3"/>
        <color rgb="FFF8696B"/>
        <color rgb="FFFFEB84"/>
        <color rgb="FF63BE7B"/>
      </colorScale>
    </cfRule>
    <cfRule type="colorScale" priority="6424">
      <colorScale>
        <cfvo type="num" val="1"/>
        <cfvo type="num" val="2"/>
        <cfvo type="num" val="3"/>
        <color rgb="FFF8696B"/>
        <color rgb="FFFFEB84"/>
        <color rgb="FF63BE7B"/>
      </colorScale>
    </cfRule>
    <cfRule type="colorScale" priority="6425">
      <colorScale>
        <cfvo type="num" val="1"/>
        <cfvo type="num" val="2"/>
        <cfvo type="num" val="3"/>
        <color rgb="FFF8696B"/>
        <color rgb="FFFFEB84"/>
        <color rgb="FF63BE7B"/>
      </colorScale>
    </cfRule>
    <cfRule type="colorScale" priority="6426">
      <colorScale>
        <cfvo type="num" val="1"/>
        <cfvo type="num" val="2"/>
        <cfvo type="num" val="3"/>
        <color rgb="FFF8696B"/>
        <color rgb="FFFFEB84"/>
        <color rgb="FF63BE7B"/>
      </colorScale>
    </cfRule>
    <cfRule type="colorScale" priority="6427">
      <colorScale>
        <cfvo type="num" val="1"/>
        <cfvo type="num" val="2"/>
        <cfvo type="num" val="3"/>
        <color rgb="FFF8696B"/>
        <color rgb="FFFFEB84"/>
        <color rgb="FF63BE7B"/>
      </colorScale>
    </cfRule>
    <cfRule type="colorScale" priority="6428">
      <colorScale>
        <cfvo type="num" val="1"/>
        <cfvo type="num" val="2"/>
        <cfvo type="num" val="3"/>
        <color rgb="FFF8696B"/>
        <color rgb="FFFFEB84"/>
        <color rgb="FF63BE7B"/>
      </colorScale>
    </cfRule>
  </conditionalFormatting>
  <conditionalFormatting sqref="T304:U304">
    <cfRule type="cellIs" dxfId="1047" priority="6406" operator="equal">
      <formula>5</formula>
    </cfRule>
    <cfRule type="cellIs" dxfId="1046" priority="6407" operator="equal">
      <formula>4</formula>
    </cfRule>
    <cfRule type="cellIs" dxfId="1045" priority="6408" operator="equal">
      <formula>1</formula>
    </cfRule>
    <cfRule type="cellIs" dxfId="1044" priority="6409" operator="equal">
      <formula>3</formula>
    </cfRule>
    <cfRule type="cellIs" dxfId="1043" priority="6410" operator="equal">
      <formula>2</formula>
    </cfRule>
    <cfRule type="colorScale" priority="6411">
      <colorScale>
        <cfvo type="min" val="0"/>
        <cfvo type="percentile" val="50"/>
        <cfvo type="max" val="0"/>
        <color rgb="FFF8696B"/>
        <color rgb="FFFFEB84"/>
        <color rgb="FF63BE7B"/>
      </colorScale>
    </cfRule>
    <cfRule type="colorScale" priority="6412">
      <colorScale>
        <cfvo type="num" val="1"/>
        <cfvo type="num" val="2"/>
        <cfvo type="num" val="3"/>
        <color rgb="FFF8696B"/>
        <color rgb="FFFFEB84"/>
        <color rgb="FF63BE7B"/>
      </colorScale>
    </cfRule>
    <cfRule type="colorScale" priority="6413">
      <colorScale>
        <cfvo type="num" val="1"/>
        <cfvo type="num" val="2"/>
        <cfvo type="num" val="3"/>
        <color rgb="FFF8696B"/>
        <color rgb="FFFFEB84"/>
        <color rgb="FF63BE7B"/>
      </colorScale>
    </cfRule>
    <cfRule type="colorScale" priority="6414">
      <colorScale>
        <cfvo type="num" val="1"/>
        <cfvo type="num" val="2"/>
        <cfvo type="num" val="3"/>
        <color rgb="FFF8696B"/>
        <color rgb="FFFFEB84"/>
        <color rgb="FF63BE7B"/>
      </colorScale>
    </cfRule>
    <cfRule type="colorScale" priority="6415">
      <colorScale>
        <cfvo type="num" val="1"/>
        <cfvo type="num" val="2"/>
        <cfvo type="num" val="3"/>
        <color rgb="FFF8696B"/>
        <color rgb="FFFFEB84"/>
        <color rgb="FF63BE7B"/>
      </colorScale>
    </cfRule>
    <cfRule type="colorScale" priority="6416">
      <colorScale>
        <cfvo type="num" val="1"/>
        <cfvo type="num" val="2"/>
        <cfvo type="num" val="3"/>
        <color rgb="FFF8696B"/>
        <color rgb="FFFFEB84"/>
        <color rgb="FF63BE7B"/>
      </colorScale>
    </cfRule>
    <cfRule type="colorScale" priority="6417">
      <colorScale>
        <cfvo type="num" val="1"/>
        <cfvo type="num" val="2"/>
        <cfvo type="num" val="3"/>
        <color rgb="FFF8696B"/>
        <color rgb="FFFFEB84"/>
        <color rgb="FF63BE7B"/>
      </colorScale>
    </cfRule>
  </conditionalFormatting>
  <conditionalFormatting sqref="U304">
    <cfRule type="cellIs" dxfId="1042" priority="6393" operator="equal">
      <formula>5</formula>
    </cfRule>
    <cfRule type="cellIs" dxfId="1041" priority="6394" operator="equal">
      <formula>4</formula>
    </cfRule>
    <cfRule type="cellIs" dxfId="1040" priority="6395" operator="equal">
      <formula>1</formula>
    </cfRule>
    <cfRule type="cellIs" dxfId="1039" priority="6396" operator="equal">
      <formula>3</formula>
    </cfRule>
    <cfRule type="colorScale" priority="6397">
      <colorScale>
        <cfvo type="min" val="0"/>
        <cfvo type="percentile" val="50"/>
        <cfvo type="max" val="0"/>
        <color rgb="FFF8696B"/>
        <color rgb="FFFFEB84"/>
        <color rgb="FF63BE7B"/>
      </colorScale>
    </cfRule>
    <cfRule type="colorScale" priority="6398">
      <colorScale>
        <cfvo type="num" val="1"/>
        <cfvo type="num" val="2"/>
        <cfvo type="num" val="3"/>
        <color rgb="FFF8696B"/>
        <color rgb="FFFFEB84"/>
        <color rgb="FF63BE7B"/>
      </colorScale>
    </cfRule>
    <cfRule type="colorScale" priority="6399">
      <colorScale>
        <cfvo type="num" val="1"/>
        <cfvo type="num" val="2"/>
        <cfvo type="num" val="3"/>
        <color rgb="FFF8696B"/>
        <color rgb="FFFFEB84"/>
        <color rgb="FF63BE7B"/>
      </colorScale>
    </cfRule>
    <cfRule type="colorScale" priority="6400">
      <colorScale>
        <cfvo type="num" val="1"/>
        <cfvo type="num" val="2"/>
        <cfvo type="num" val="3"/>
        <color rgb="FFF8696B"/>
        <color rgb="FFFFEB84"/>
        <color rgb="FF63BE7B"/>
      </colorScale>
    </cfRule>
    <cfRule type="colorScale" priority="6401">
      <colorScale>
        <cfvo type="num" val="1"/>
        <cfvo type="num" val="2"/>
        <cfvo type="num" val="3"/>
        <color rgb="FFF8696B"/>
        <color rgb="FFFFEB84"/>
        <color rgb="FF63BE7B"/>
      </colorScale>
    </cfRule>
    <cfRule type="colorScale" priority="6402">
      <colorScale>
        <cfvo type="num" val="1"/>
        <cfvo type="num" val="2"/>
        <cfvo type="num" val="3"/>
        <color rgb="FFF8696B"/>
        <color rgb="FFFFEB84"/>
        <color rgb="FF63BE7B"/>
      </colorScale>
    </cfRule>
    <cfRule type="colorScale" priority="6403">
      <colorScale>
        <cfvo type="num" val="1"/>
        <cfvo type="num" val="2"/>
        <cfvo type="num" val="3"/>
        <color rgb="FFF8696B"/>
        <color rgb="FFFFEB84"/>
        <color rgb="FF63BE7B"/>
      </colorScale>
    </cfRule>
  </conditionalFormatting>
  <conditionalFormatting sqref="Y304:Z304">
    <cfRule type="cellIs" dxfId="1038" priority="6381" operator="equal">
      <formula>5</formula>
    </cfRule>
    <cfRule type="cellIs" dxfId="1037" priority="6382" operator="equal">
      <formula>4</formula>
    </cfRule>
    <cfRule type="cellIs" dxfId="1036" priority="6383" operator="equal">
      <formula>1</formula>
    </cfRule>
    <cfRule type="cellIs" dxfId="1035" priority="6384" operator="equal">
      <formula>3</formula>
    </cfRule>
    <cfRule type="cellIs" dxfId="1034" priority="6385" operator="equal">
      <formula>2</formula>
    </cfRule>
    <cfRule type="colorScale" priority="6386">
      <colorScale>
        <cfvo type="min" val="0"/>
        <cfvo type="percentile" val="50"/>
        <cfvo type="max" val="0"/>
        <color rgb="FFF8696B"/>
        <color rgb="FFFFEB84"/>
        <color rgb="FF63BE7B"/>
      </colorScale>
    </cfRule>
    <cfRule type="colorScale" priority="6387">
      <colorScale>
        <cfvo type="num" val="1"/>
        <cfvo type="num" val="2"/>
        <cfvo type="num" val="3"/>
        <color rgb="FFF8696B"/>
        <color rgb="FFFFEB84"/>
        <color rgb="FF63BE7B"/>
      </colorScale>
    </cfRule>
    <cfRule type="colorScale" priority="6388">
      <colorScale>
        <cfvo type="num" val="1"/>
        <cfvo type="num" val="2"/>
        <cfvo type="num" val="3"/>
        <color rgb="FFF8696B"/>
        <color rgb="FFFFEB84"/>
        <color rgb="FF63BE7B"/>
      </colorScale>
    </cfRule>
    <cfRule type="colorScale" priority="6389">
      <colorScale>
        <cfvo type="num" val="1"/>
        <cfvo type="num" val="2"/>
        <cfvo type="num" val="3"/>
        <color rgb="FFF8696B"/>
        <color rgb="FFFFEB84"/>
        <color rgb="FF63BE7B"/>
      </colorScale>
    </cfRule>
    <cfRule type="colorScale" priority="6390">
      <colorScale>
        <cfvo type="num" val="1"/>
        <cfvo type="num" val="2"/>
        <cfvo type="num" val="3"/>
        <color rgb="FFF8696B"/>
        <color rgb="FFFFEB84"/>
        <color rgb="FF63BE7B"/>
      </colorScale>
    </cfRule>
    <cfRule type="colorScale" priority="6391">
      <colorScale>
        <cfvo type="num" val="1"/>
        <cfvo type="num" val="2"/>
        <cfvo type="num" val="3"/>
        <color rgb="FFF8696B"/>
        <color rgb="FFFFEB84"/>
        <color rgb="FF63BE7B"/>
      </colorScale>
    </cfRule>
    <cfRule type="colorScale" priority="6392">
      <colorScale>
        <cfvo type="num" val="1"/>
        <cfvo type="num" val="2"/>
        <cfvo type="num" val="3"/>
        <color rgb="FFF8696B"/>
        <color rgb="FFFFEB84"/>
        <color rgb="FF63BE7B"/>
      </colorScale>
    </cfRule>
  </conditionalFormatting>
  <conditionalFormatting sqref="Z304">
    <cfRule type="cellIs" dxfId="1033" priority="6368" operator="equal">
      <formula>5</formula>
    </cfRule>
    <cfRule type="cellIs" dxfId="1032" priority="6369" operator="equal">
      <formula>4</formula>
    </cfRule>
    <cfRule type="cellIs" dxfId="1031" priority="6370" operator="equal">
      <formula>1</formula>
    </cfRule>
    <cfRule type="cellIs" dxfId="1030" priority="6371" operator="equal">
      <formula>3</formula>
    </cfRule>
    <cfRule type="colorScale" priority="6372">
      <colorScale>
        <cfvo type="min" val="0"/>
        <cfvo type="percentile" val="50"/>
        <cfvo type="max" val="0"/>
        <color rgb="FFF8696B"/>
        <color rgb="FFFFEB84"/>
        <color rgb="FF63BE7B"/>
      </colorScale>
    </cfRule>
    <cfRule type="colorScale" priority="6373">
      <colorScale>
        <cfvo type="num" val="1"/>
        <cfvo type="num" val="2"/>
        <cfvo type="num" val="3"/>
        <color rgb="FFF8696B"/>
        <color rgb="FFFFEB84"/>
        <color rgb="FF63BE7B"/>
      </colorScale>
    </cfRule>
    <cfRule type="colorScale" priority="6374">
      <colorScale>
        <cfvo type="num" val="1"/>
        <cfvo type="num" val="2"/>
        <cfvo type="num" val="3"/>
        <color rgb="FFF8696B"/>
        <color rgb="FFFFEB84"/>
        <color rgb="FF63BE7B"/>
      </colorScale>
    </cfRule>
    <cfRule type="colorScale" priority="6375">
      <colorScale>
        <cfvo type="num" val="1"/>
        <cfvo type="num" val="2"/>
        <cfvo type="num" val="3"/>
        <color rgb="FFF8696B"/>
        <color rgb="FFFFEB84"/>
        <color rgb="FF63BE7B"/>
      </colorScale>
    </cfRule>
    <cfRule type="colorScale" priority="6376">
      <colorScale>
        <cfvo type="num" val="1"/>
        <cfvo type="num" val="2"/>
        <cfvo type="num" val="3"/>
        <color rgb="FFF8696B"/>
        <color rgb="FFFFEB84"/>
        <color rgb="FF63BE7B"/>
      </colorScale>
    </cfRule>
    <cfRule type="colorScale" priority="6377">
      <colorScale>
        <cfvo type="num" val="1"/>
        <cfvo type="num" val="2"/>
        <cfvo type="num" val="3"/>
        <color rgb="FFF8696B"/>
        <color rgb="FFFFEB84"/>
        <color rgb="FF63BE7B"/>
      </colorScale>
    </cfRule>
    <cfRule type="colorScale" priority="6378">
      <colorScale>
        <cfvo type="num" val="1"/>
        <cfvo type="num" val="2"/>
        <cfvo type="num" val="3"/>
        <color rgb="FFF8696B"/>
        <color rgb="FFFFEB84"/>
        <color rgb="FF63BE7B"/>
      </colorScale>
    </cfRule>
  </conditionalFormatting>
  <conditionalFormatting sqref="AD304:AE304">
    <cfRule type="cellIs" dxfId="1029" priority="6356" operator="equal">
      <formula>5</formula>
    </cfRule>
    <cfRule type="cellIs" dxfId="1028" priority="6357" operator="equal">
      <formula>4</formula>
    </cfRule>
    <cfRule type="cellIs" dxfId="1027" priority="6358" operator="equal">
      <formula>1</formula>
    </cfRule>
    <cfRule type="cellIs" dxfId="1026" priority="6359" operator="equal">
      <formula>3</formula>
    </cfRule>
    <cfRule type="cellIs" dxfId="1025" priority="6360" operator="equal">
      <formula>2</formula>
    </cfRule>
    <cfRule type="colorScale" priority="6361">
      <colorScale>
        <cfvo type="min" val="0"/>
        <cfvo type="percentile" val="50"/>
        <cfvo type="max" val="0"/>
        <color rgb="FFF8696B"/>
        <color rgb="FFFFEB84"/>
        <color rgb="FF63BE7B"/>
      </colorScale>
    </cfRule>
    <cfRule type="colorScale" priority="6362">
      <colorScale>
        <cfvo type="num" val="1"/>
        <cfvo type="num" val="2"/>
        <cfvo type="num" val="3"/>
        <color rgb="FFF8696B"/>
        <color rgb="FFFFEB84"/>
        <color rgb="FF63BE7B"/>
      </colorScale>
    </cfRule>
    <cfRule type="colorScale" priority="6363">
      <colorScale>
        <cfvo type="num" val="1"/>
        <cfvo type="num" val="2"/>
        <cfvo type="num" val="3"/>
        <color rgb="FFF8696B"/>
        <color rgb="FFFFEB84"/>
        <color rgb="FF63BE7B"/>
      </colorScale>
    </cfRule>
    <cfRule type="colorScale" priority="6364">
      <colorScale>
        <cfvo type="num" val="1"/>
        <cfvo type="num" val="2"/>
        <cfvo type="num" val="3"/>
        <color rgb="FFF8696B"/>
        <color rgb="FFFFEB84"/>
        <color rgb="FF63BE7B"/>
      </colorScale>
    </cfRule>
    <cfRule type="colorScale" priority="6365">
      <colorScale>
        <cfvo type="num" val="1"/>
        <cfvo type="num" val="2"/>
        <cfvo type="num" val="3"/>
        <color rgb="FFF8696B"/>
        <color rgb="FFFFEB84"/>
        <color rgb="FF63BE7B"/>
      </colorScale>
    </cfRule>
    <cfRule type="colorScale" priority="6366">
      <colorScale>
        <cfvo type="num" val="1"/>
        <cfvo type="num" val="2"/>
        <cfvo type="num" val="3"/>
        <color rgb="FFF8696B"/>
        <color rgb="FFFFEB84"/>
        <color rgb="FF63BE7B"/>
      </colorScale>
    </cfRule>
    <cfRule type="colorScale" priority="6367">
      <colorScale>
        <cfvo type="num" val="1"/>
        <cfvo type="num" val="2"/>
        <cfvo type="num" val="3"/>
        <color rgb="FFF8696B"/>
        <color rgb="FFFFEB84"/>
        <color rgb="FF63BE7B"/>
      </colorScale>
    </cfRule>
  </conditionalFormatting>
  <conditionalFormatting sqref="AE304">
    <cfRule type="cellIs" dxfId="1024" priority="6343" operator="equal">
      <formula>5</formula>
    </cfRule>
    <cfRule type="cellIs" dxfId="1023" priority="6344" operator="equal">
      <formula>4</formula>
    </cfRule>
    <cfRule type="cellIs" dxfId="1022" priority="6345" operator="equal">
      <formula>1</formula>
    </cfRule>
    <cfRule type="cellIs" dxfId="1021" priority="6346" operator="equal">
      <formula>3</formula>
    </cfRule>
    <cfRule type="colorScale" priority="6347">
      <colorScale>
        <cfvo type="min" val="0"/>
        <cfvo type="percentile" val="50"/>
        <cfvo type="max" val="0"/>
        <color rgb="FFF8696B"/>
        <color rgb="FFFFEB84"/>
        <color rgb="FF63BE7B"/>
      </colorScale>
    </cfRule>
    <cfRule type="colorScale" priority="6348">
      <colorScale>
        <cfvo type="num" val="1"/>
        <cfvo type="num" val="2"/>
        <cfvo type="num" val="3"/>
        <color rgb="FFF8696B"/>
        <color rgb="FFFFEB84"/>
        <color rgb="FF63BE7B"/>
      </colorScale>
    </cfRule>
    <cfRule type="colorScale" priority="6349">
      <colorScale>
        <cfvo type="num" val="1"/>
        <cfvo type="num" val="2"/>
        <cfvo type="num" val="3"/>
        <color rgb="FFF8696B"/>
        <color rgb="FFFFEB84"/>
        <color rgb="FF63BE7B"/>
      </colorScale>
    </cfRule>
    <cfRule type="colorScale" priority="6350">
      <colorScale>
        <cfvo type="num" val="1"/>
        <cfvo type="num" val="2"/>
        <cfvo type="num" val="3"/>
        <color rgb="FFF8696B"/>
        <color rgb="FFFFEB84"/>
        <color rgb="FF63BE7B"/>
      </colorScale>
    </cfRule>
    <cfRule type="colorScale" priority="6351">
      <colorScale>
        <cfvo type="num" val="1"/>
        <cfvo type="num" val="2"/>
        <cfvo type="num" val="3"/>
        <color rgb="FFF8696B"/>
        <color rgb="FFFFEB84"/>
        <color rgb="FF63BE7B"/>
      </colorScale>
    </cfRule>
    <cfRule type="colorScale" priority="6352">
      <colorScale>
        <cfvo type="num" val="1"/>
        <cfvo type="num" val="2"/>
        <cfvo type="num" val="3"/>
        <color rgb="FFF8696B"/>
        <color rgb="FFFFEB84"/>
        <color rgb="FF63BE7B"/>
      </colorScale>
    </cfRule>
    <cfRule type="colorScale" priority="6353">
      <colorScale>
        <cfvo type="num" val="1"/>
        <cfvo type="num" val="2"/>
        <cfvo type="num" val="3"/>
        <color rgb="FFF8696B"/>
        <color rgb="FFFFEB84"/>
        <color rgb="FF63BE7B"/>
      </colorScale>
    </cfRule>
  </conditionalFormatting>
  <conditionalFormatting sqref="F306:G306">
    <cfRule type="cellIs" dxfId="1020" priority="6331" operator="equal">
      <formula>5</formula>
    </cfRule>
    <cfRule type="cellIs" dxfId="1019" priority="6332" operator="equal">
      <formula>4</formula>
    </cfRule>
    <cfRule type="cellIs" dxfId="1018" priority="6333" operator="equal">
      <formula>1</formula>
    </cfRule>
    <cfRule type="cellIs" dxfId="1017" priority="6334" operator="equal">
      <formula>3</formula>
    </cfRule>
    <cfRule type="cellIs" dxfId="1016" priority="6335" operator="equal">
      <formula>2</formula>
    </cfRule>
    <cfRule type="colorScale" priority="6336">
      <colorScale>
        <cfvo type="min" val="0"/>
        <cfvo type="percentile" val="50"/>
        <cfvo type="max" val="0"/>
        <color rgb="FFF8696B"/>
        <color rgb="FFFFEB84"/>
        <color rgb="FF63BE7B"/>
      </colorScale>
    </cfRule>
    <cfRule type="colorScale" priority="6337">
      <colorScale>
        <cfvo type="num" val="1"/>
        <cfvo type="num" val="2"/>
        <cfvo type="num" val="3"/>
        <color rgb="FFF8696B"/>
        <color rgb="FFFFEB84"/>
        <color rgb="FF63BE7B"/>
      </colorScale>
    </cfRule>
    <cfRule type="colorScale" priority="6338">
      <colorScale>
        <cfvo type="num" val="1"/>
        <cfvo type="num" val="2"/>
        <cfvo type="num" val="3"/>
        <color rgb="FFF8696B"/>
        <color rgb="FFFFEB84"/>
        <color rgb="FF63BE7B"/>
      </colorScale>
    </cfRule>
    <cfRule type="colorScale" priority="6339">
      <colorScale>
        <cfvo type="num" val="1"/>
        <cfvo type="num" val="2"/>
        <cfvo type="num" val="3"/>
        <color rgb="FFF8696B"/>
        <color rgb="FFFFEB84"/>
        <color rgb="FF63BE7B"/>
      </colorScale>
    </cfRule>
    <cfRule type="colorScale" priority="6340">
      <colorScale>
        <cfvo type="num" val="1"/>
        <cfvo type="num" val="2"/>
        <cfvo type="num" val="3"/>
        <color rgb="FFF8696B"/>
        <color rgb="FFFFEB84"/>
        <color rgb="FF63BE7B"/>
      </colorScale>
    </cfRule>
    <cfRule type="colorScale" priority="6341">
      <colorScale>
        <cfvo type="num" val="1"/>
        <cfvo type="num" val="2"/>
        <cfvo type="num" val="3"/>
        <color rgb="FFF8696B"/>
        <color rgb="FFFFEB84"/>
        <color rgb="FF63BE7B"/>
      </colorScale>
    </cfRule>
    <cfRule type="colorScale" priority="6342">
      <colorScale>
        <cfvo type="num" val="1"/>
        <cfvo type="num" val="2"/>
        <cfvo type="num" val="3"/>
        <color rgb="FFF8696B"/>
        <color rgb="FFFFEB84"/>
        <color rgb="FF63BE7B"/>
      </colorScale>
    </cfRule>
  </conditionalFormatting>
  <conditionalFormatting sqref="G306">
    <cfRule type="cellIs" dxfId="1015" priority="6318" operator="equal">
      <formula>5</formula>
    </cfRule>
    <cfRule type="cellIs" dxfId="1014" priority="6319" operator="equal">
      <formula>4</formula>
    </cfRule>
    <cfRule type="cellIs" dxfId="1013" priority="6320" operator="equal">
      <formula>1</formula>
    </cfRule>
    <cfRule type="cellIs" dxfId="1012" priority="6321" operator="equal">
      <formula>3</formula>
    </cfRule>
    <cfRule type="colorScale" priority="6322">
      <colorScale>
        <cfvo type="min" val="0"/>
        <cfvo type="percentile" val="50"/>
        <cfvo type="max" val="0"/>
        <color rgb="FFF8696B"/>
        <color rgb="FFFFEB84"/>
        <color rgb="FF63BE7B"/>
      </colorScale>
    </cfRule>
    <cfRule type="colorScale" priority="6323">
      <colorScale>
        <cfvo type="num" val="1"/>
        <cfvo type="num" val="2"/>
        <cfvo type="num" val="3"/>
        <color rgb="FFF8696B"/>
        <color rgb="FFFFEB84"/>
        <color rgb="FF63BE7B"/>
      </colorScale>
    </cfRule>
    <cfRule type="colorScale" priority="6324">
      <colorScale>
        <cfvo type="num" val="1"/>
        <cfvo type="num" val="2"/>
        <cfvo type="num" val="3"/>
        <color rgb="FFF8696B"/>
        <color rgb="FFFFEB84"/>
        <color rgb="FF63BE7B"/>
      </colorScale>
    </cfRule>
    <cfRule type="colorScale" priority="6325">
      <colorScale>
        <cfvo type="num" val="1"/>
        <cfvo type="num" val="2"/>
        <cfvo type="num" val="3"/>
        <color rgb="FFF8696B"/>
        <color rgb="FFFFEB84"/>
        <color rgb="FF63BE7B"/>
      </colorScale>
    </cfRule>
    <cfRule type="colorScale" priority="6326">
      <colorScale>
        <cfvo type="num" val="1"/>
        <cfvo type="num" val="2"/>
        <cfvo type="num" val="3"/>
        <color rgb="FFF8696B"/>
        <color rgb="FFFFEB84"/>
        <color rgb="FF63BE7B"/>
      </colorScale>
    </cfRule>
    <cfRule type="colorScale" priority="6327">
      <colorScale>
        <cfvo type="num" val="1"/>
        <cfvo type="num" val="2"/>
        <cfvo type="num" val="3"/>
        <color rgb="FFF8696B"/>
        <color rgb="FFFFEB84"/>
        <color rgb="FF63BE7B"/>
      </colorScale>
    </cfRule>
    <cfRule type="colorScale" priority="6328">
      <colorScale>
        <cfvo type="num" val="1"/>
        <cfvo type="num" val="2"/>
        <cfvo type="num" val="3"/>
        <color rgb="FFF8696B"/>
        <color rgb="FFFFEB84"/>
        <color rgb="FF63BE7B"/>
      </colorScale>
    </cfRule>
  </conditionalFormatting>
  <conditionalFormatting sqref="K306:L306">
    <cfRule type="cellIs" dxfId="1011" priority="6306" operator="equal">
      <formula>5</formula>
    </cfRule>
    <cfRule type="cellIs" dxfId="1010" priority="6307" operator="equal">
      <formula>4</formula>
    </cfRule>
    <cfRule type="cellIs" dxfId="1009" priority="6308" operator="equal">
      <formula>1</formula>
    </cfRule>
    <cfRule type="cellIs" dxfId="1008" priority="6309" operator="equal">
      <formula>3</formula>
    </cfRule>
    <cfRule type="cellIs" dxfId="1007" priority="6310" operator="equal">
      <formula>2</formula>
    </cfRule>
    <cfRule type="colorScale" priority="6311">
      <colorScale>
        <cfvo type="min" val="0"/>
        <cfvo type="percentile" val="50"/>
        <cfvo type="max" val="0"/>
        <color rgb="FFF8696B"/>
        <color rgb="FFFFEB84"/>
        <color rgb="FF63BE7B"/>
      </colorScale>
    </cfRule>
    <cfRule type="colorScale" priority="6312">
      <colorScale>
        <cfvo type="num" val="1"/>
        <cfvo type="num" val="2"/>
        <cfvo type="num" val="3"/>
        <color rgb="FFF8696B"/>
        <color rgb="FFFFEB84"/>
        <color rgb="FF63BE7B"/>
      </colorScale>
    </cfRule>
    <cfRule type="colorScale" priority="6313">
      <colorScale>
        <cfvo type="num" val="1"/>
        <cfvo type="num" val="2"/>
        <cfvo type="num" val="3"/>
        <color rgb="FFF8696B"/>
        <color rgb="FFFFEB84"/>
        <color rgb="FF63BE7B"/>
      </colorScale>
    </cfRule>
    <cfRule type="colorScale" priority="6314">
      <colorScale>
        <cfvo type="num" val="1"/>
        <cfvo type="num" val="2"/>
        <cfvo type="num" val="3"/>
        <color rgb="FFF8696B"/>
        <color rgb="FFFFEB84"/>
        <color rgb="FF63BE7B"/>
      </colorScale>
    </cfRule>
    <cfRule type="colorScale" priority="6315">
      <colorScale>
        <cfvo type="num" val="1"/>
        <cfvo type="num" val="2"/>
        <cfvo type="num" val="3"/>
        <color rgb="FFF8696B"/>
        <color rgb="FFFFEB84"/>
        <color rgb="FF63BE7B"/>
      </colorScale>
    </cfRule>
    <cfRule type="colorScale" priority="6316">
      <colorScale>
        <cfvo type="num" val="1"/>
        <cfvo type="num" val="2"/>
        <cfvo type="num" val="3"/>
        <color rgb="FFF8696B"/>
        <color rgb="FFFFEB84"/>
        <color rgb="FF63BE7B"/>
      </colorScale>
    </cfRule>
    <cfRule type="colorScale" priority="6317">
      <colorScale>
        <cfvo type="num" val="1"/>
        <cfvo type="num" val="2"/>
        <cfvo type="num" val="3"/>
        <color rgb="FFF8696B"/>
        <color rgb="FFFFEB84"/>
        <color rgb="FF63BE7B"/>
      </colorScale>
    </cfRule>
  </conditionalFormatting>
  <conditionalFormatting sqref="L306">
    <cfRule type="cellIs" dxfId="1006" priority="6293" operator="equal">
      <formula>5</formula>
    </cfRule>
    <cfRule type="cellIs" dxfId="1005" priority="6294" operator="equal">
      <formula>4</formula>
    </cfRule>
    <cfRule type="cellIs" dxfId="1004" priority="6295" operator="equal">
      <formula>1</formula>
    </cfRule>
    <cfRule type="cellIs" dxfId="1003" priority="6296" operator="equal">
      <formula>3</formula>
    </cfRule>
    <cfRule type="colorScale" priority="6297">
      <colorScale>
        <cfvo type="min" val="0"/>
        <cfvo type="percentile" val="50"/>
        <cfvo type="max" val="0"/>
        <color rgb="FFF8696B"/>
        <color rgb="FFFFEB84"/>
        <color rgb="FF63BE7B"/>
      </colorScale>
    </cfRule>
    <cfRule type="colorScale" priority="6298">
      <colorScale>
        <cfvo type="num" val="1"/>
        <cfvo type="num" val="2"/>
        <cfvo type="num" val="3"/>
        <color rgb="FFF8696B"/>
        <color rgb="FFFFEB84"/>
        <color rgb="FF63BE7B"/>
      </colorScale>
    </cfRule>
    <cfRule type="colorScale" priority="6299">
      <colorScale>
        <cfvo type="num" val="1"/>
        <cfvo type="num" val="2"/>
        <cfvo type="num" val="3"/>
        <color rgb="FFF8696B"/>
        <color rgb="FFFFEB84"/>
        <color rgb="FF63BE7B"/>
      </colorScale>
    </cfRule>
    <cfRule type="colorScale" priority="6300">
      <colorScale>
        <cfvo type="num" val="1"/>
        <cfvo type="num" val="2"/>
        <cfvo type="num" val="3"/>
        <color rgb="FFF8696B"/>
        <color rgb="FFFFEB84"/>
        <color rgb="FF63BE7B"/>
      </colorScale>
    </cfRule>
    <cfRule type="colorScale" priority="6301">
      <colorScale>
        <cfvo type="num" val="1"/>
        <cfvo type="num" val="2"/>
        <cfvo type="num" val="3"/>
        <color rgb="FFF8696B"/>
        <color rgb="FFFFEB84"/>
        <color rgb="FF63BE7B"/>
      </colorScale>
    </cfRule>
    <cfRule type="colorScale" priority="6302">
      <colorScale>
        <cfvo type="num" val="1"/>
        <cfvo type="num" val="2"/>
        <cfvo type="num" val="3"/>
        <color rgb="FFF8696B"/>
        <color rgb="FFFFEB84"/>
        <color rgb="FF63BE7B"/>
      </colorScale>
    </cfRule>
    <cfRule type="colorScale" priority="6303">
      <colorScale>
        <cfvo type="num" val="1"/>
        <cfvo type="num" val="2"/>
        <cfvo type="num" val="3"/>
        <color rgb="FFF8696B"/>
        <color rgb="FFFFEB84"/>
        <color rgb="FF63BE7B"/>
      </colorScale>
    </cfRule>
  </conditionalFormatting>
  <conditionalFormatting sqref="P306:Q306">
    <cfRule type="cellIs" dxfId="1002" priority="6281" operator="equal">
      <formula>5</formula>
    </cfRule>
    <cfRule type="cellIs" dxfId="1001" priority="6282" operator="equal">
      <formula>4</formula>
    </cfRule>
    <cfRule type="cellIs" dxfId="1000" priority="6283" operator="equal">
      <formula>1</formula>
    </cfRule>
    <cfRule type="cellIs" dxfId="999" priority="6284" operator="equal">
      <formula>3</formula>
    </cfRule>
    <cfRule type="cellIs" dxfId="998" priority="6285" operator="equal">
      <formula>2</formula>
    </cfRule>
    <cfRule type="colorScale" priority="6286">
      <colorScale>
        <cfvo type="min" val="0"/>
        <cfvo type="percentile" val="50"/>
        <cfvo type="max" val="0"/>
        <color rgb="FFF8696B"/>
        <color rgb="FFFFEB84"/>
        <color rgb="FF63BE7B"/>
      </colorScale>
    </cfRule>
    <cfRule type="colorScale" priority="6287">
      <colorScale>
        <cfvo type="num" val="1"/>
        <cfvo type="num" val="2"/>
        <cfvo type="num" val="3"/>
        <color rgb="FFF8696B"/>
        <color rgb="FFFFEB84"/>
        <color rgb="FF63BE7B"/>
      </colorScale>
    </cfRule>
    <cfRule type="colorScale" priority="6288">
      <colorScale>
        <cfvo type="num" val="1"/>
        <cfvo type="num" val="2"/>
        <cfvo type="num" val="3"/>
        <color rgb="FFF8696B"/>
        <color rgb="FFFFEB84"/>
        <color rgb="FF63BE7B"/>
      </colorScale>
    </cfRule>
    <cfRule type="colorScale" priority="6289">
      <colorScale>
        <cfvo type="num" val="1"/>
        <cfvo type="num" val="2"/>
        <cfvo type="num" val="3"/>
        <color rgb="FFF8696B"/>
        <color rgb="FFFFEB84"/>
        <color rgb="FF63BE7B"/>
      </colorScale>
    </cfRule>
    <cfRule type="colorScale" priority="6290">
      <colorScale>
        <cfvo type="num" val="1"/>
        <cfvo type="num" val="2"/>
        <cfvo type="num" val="3"/>
        <color rgb="FFF8696B"/>
        <color rgb="FFFFEB84"/>
        <color rgb="FF63BE7B"/>
      </colorScale>
    </cfRule>
    <cfRule type="colorScale" priority="6291">
      <colorScale>
        <cfvo type="num" val="1"/>
        <cfvo type="num" val="2"/>
        <cfvo type="num" val="3"/>
        <color rgb="FFF8696B"/>
        <color rgb="FFFFEB84"/>
        <color rgb="FF63BE7B"/>
      </colorScale>
    </cfRule>
    <cfRule type="colorScale" priority="6292">
      <colorScale>
        <cfvo type="num" val="1"/>
        <cfvo type="num" val="2"/>
        <cfvo type="num" val="3"/>
        <color rgb="FFF8696B"/>
        <color rgb="FFFFEB84"/>
        <color rgb="FF63BE7B"/>
      </colorScale>
    </cfRule>
  </conditionalFormatting>
  <conditionalFormatting sqref="Q306">
    <cfRule type="cellIs" dxfId="997" priority="6268" operator="equal">
      <formula>5</formula>
    </cfRule>
    <cfRule type="cellIs" dxfId="996" priority="6269" operator="equal">
      <formula>4</formula>
    </cfRule>
    <cfRule type="cellIs" dxfId="995" priority="6270" operator="equal">
      <formula>1</formula>
    </cfRule>
    <cfRule type="cellIs" dxfId="994" priority="6271" operator="equal">
      <formula>3</formula>
    </cfRule>
    <cfRule type="colorScale" priority="6272">
      <colorScale>
        <cfvo type="min" val="0"/>
        <cfvo type="percentile" val="50"/>
        <cfvo type="max" val="0"/>
        <color rgb="FFF8696B"/>
        <color rgb="FFFFEB84"/>
        <color rgb="FF63BE7B"/>
      </colorScale>
    </cfRule>
    <cfRule type="colorScale" priority="6273">
      <colorScale>
        <cfvo type="num" val="1"/>
        <cfvo type="num" val="2"/>
        <cfvo type="num" val="3"/>
        <color rgb="FFF8696B"/>
        <color rgb="FFFFEB84"/>
        <color rgb="FF63BE7B"/>
      </colorScale>
    </cfRule>
    <cfRule type="colorScale" priority="6274">
      <colorScale>
        <cfvo type="num" val="1"/>
        <cfvo type="num" val="2"/>
        <cfvo type="num" val="3"/>
        <color rgb="FFF8696B"/>
        <color rgb="FFFFEB84"/>
        <color rgb="FF63BE7B"/>
      </colorScale>
    </cfRule>
    <cfRule type="colorScale" priority="6275">
      <colorScale>
        <cfvo type="num" val="1"/>
        <cfvo type="num" val="2"/>
        <cfvo type="num" val="3"/>
        <color rgb="FFF8696B"/>
        <color rgb="FFFFEB84"/>
        <color rgb="FF63BE7B"/>
      </colorScale>
    </cfRule>
    <cfRule type="colorScale" priority="6276">
      <colorScale>
        <cfvo type="num" val="1"/>
        <cfvo type="num" val="2"/>
        <cfvo type="num" val="3"/>
        <color rgb="FFF8696B"/>
        <color rgb="FFFFEB84"/>
        <color rgb="FF63BE7B"/>
      </colorScale>
    </cfRule>
    <cfRule type="colorScale" priority="6277">
      <colorScale>
        <cfvo type="num" val="1"/>
        <cfvo type="num" val="2"/>
        <cfvo type="num" val="3"/>
        <color rgb="FFF8696B"/>
        <color rgb="FFFFEB84"/>
        <color rgb="FF63BE7B"/>
      </colorScale>
    </cfRule>
    <cfRule type="colorScale" priority="6278">
      <colorScale>
        <cfvo type="num" val="1"/>
        <cfvo type="num" val="2"/>
        <cfvo type="num" val="3"/>
        <color rgb="FFF8696B"/>
        <color rgb="FFFFEB84"/>
        <color rgb="FF63BE7B"/>
      </colorScale>
    </cfRule>
  </conditionalFormatting>
  <conditionalFormatting sqref="U306:V306">
    <cfRule type="cellIs" dxfId="993" priority="6256" operator="equal">
      <formula>5</formula>
    </cfRule>
    <cfRule type="cellIs" dxfId="992" priority="6257" operator="equal">
      <formula>4</formula>
    </cfRule>
    <cfRule type="cellIs" dxfId="991" priority="6258" operator="equal">
      <formula>1</formula>
    </cfRule>
    <cfRule type="cellIs" dxfId="990" priority="6259" operator="equal">
      <formula>3</formula>
    </cfRule>
    <cfRule type="cellIs" dxfId="989" priority="6260" operator="equal">
      <formula>2</formula>
    </cfRule>
    <cfRule type="colorScale" priority="6261">
      <colorScale>
        <cfvo type="min" val="0"/>
        <cfvo type="percentile" val="50"/>
        <cfvo type="max" val="0"/>
        <color rgb="FFF8696B"/>
        <color rgb="FFFFEB84"/>
        <color rgb="FF63BE7B"/>
      </colorScale>
    </cfRule>
    <cfRule type="colorScale" priority="6262">
      <colorScale>
        <cfvo type="num" val="1"/>
        <cfvo type="num" val="2"/>
        <cfvo type="num" val="3"/>
        <color rgb="FFF8696B"/>
        <color rgb="FFFFEB84"/>
        <color rgb="FF63BE7B"/>
      </colorScale>
    </cfRule>
    <cfRule type="colorScale" priority="6263">
      <colorScale>
        <cfvo type="num" val="1"/>
        <cfvo type="num" val="2"/>
        <cfvo type="num" val="3"/>
        <color rgb="FFF8696B"/>
        <color rgb="FFFFEB84"/>
        <color rgb="FF63BE7B"/>
      </colorScale>
    </cfRule>
    <cfRule type="colorScale" priority="6264">
      <colorScale>
        <cfvo type="num" val="1"/>
        <cfvo type="num" val="2"/>
        <cfvo type="num" val="3"/>
        <color rgb="FFF8696B"/>
        <color rgb="FFFFEB84"/>
        <color rgb="FF63BE7B"/>
      </colorScale>
    </cfRule>
    <cfRule type="colorScale" priority="6265">
      <colorScale>
        <cfvo type="num" val="1"/>
        <cfvo type="num" val="2"/>
        <cfvo type="num" val="3"/>
        <color rgb="FFF8696B"/>
        <color rgb="FFFFEB84"/>
        <color rgb="FF63BE7B"/>
      </colorScale>
    </cfRule>
    <cfRule type="colorScale" priority="6266">
      <colorScale>
        <cfvo type="num" val="1"/>
        <cfvo type="num" val="2"/>
        <cfvo type="num" val="3"/>
        <color rgb="FFF8696B"/>
        <color rgb="FFFFEB84"/>
        <color rgb="FF63BE7B"/>
      </colorScale>
    </cfRule>
    <cfRule type="colorScale" priority="6267">
      <colorScale>
        <cfvo type="num" val="1"/>
        <cfvo type="num" val="2"/>
        <cfvo type="num" val="3"/>
        <color rgb="FFF8696B"/>
        <color rgb="FFFFEB84"/>
        <color rgb="FF63BE7B"/>
      </colorScale>
    </cfRule>
  </conditionalFormatting>
  <conditionalFormatting sqref="V306">
    <cfRule type="cellIs" dxfId="988" priority="6243" operator="equal">
      <formula>5</formula>
    </cfRule>
    <cfRule type="cellIs" dxfId="987" priority="6244" operator="equal">
      <formula>4</formula>
    </cfRule>
    <cfRule type="cellIs" dxfId="986" priority="6245" operator="equal">
      <formula>1</formula>
    </cfRule>
    <cfRule type="cellIs" dxfId="985" priority="6246" operator="equal">
      <formula>3</formula>
    </cfRule>
    <cfRule type="colorScale" priority="6247">
      <colorScale>
        <cfvo type="min" val="0"/>
        <cfvo type="percentile" val="50"/>
        <cfvo type="max" val="0"/>
        <color rgb="FFF8696B"/>
        <color rgb="FFFFEB84"/>
        <color rgb="FF63BE7B"/>
      </colorScale>
    </cfRule>
    <cfRule type="colorScale" priority="6248">
      <colorScale>
        <cfvo type="num" val="1"/>
        <cfvo type="num" val="2"/>
        <cfvo type="num" val="3"/>
        <color rgb="FFF8696B"/>
        <color rgb="FFFFEB84"/>
        <color rgb="FF63BE7B"/>
      </colorScale>
    </cfRule>
    <cfRule type="colorScale" priority="6249">
      <colorScale>
        <cfvo type="num" val="1"/>
        <cfvo type="num" val="2"/>
        <cfvo type="num" val="3"/>
        <color rgb="FFF8696B"/>
        <color rgb="FFFFEB84"/>
        <color rgb="FF63BE7B"/>
      </colorScale>
    </cfRule>
    <cfRule type="colorScale" priority="6250">
      <colorScale>
        <cfvo type="num" val="1"/>
        <cfvo type="num" val="2"/>
        <cfvo type="num" val="3"/>
        <color rgb="FFF8696B"/>
        <color rgb="FFFFEB84"/>
        <color rgb="FF63BE7B"/>
      </colorScale>
    </cfRule>
    <cfRule type="colorScale" priority="6251">
      <colorScale>
        <cfvo type="num" val="1"/>
        <cfvo type="num" val="2"/>
        <cfvo type="num" val="3"/>
        <color rgb="FFF8696B"/>
        <color rgb="FFFFEB84"/>
        <color rgb="FF63BE7B"/>
      </colorScale>
    </cfRule>
    <cfRule type="colorScale" priority="6252">
      <colorScale>
        <cfvo type="num" val="1"/>
        <cfvo type="num" val="2"/>
        <cfvo type="num" val="3"/>
        <color rgb="FFF8696B"/>
        <color rgb="FFFFEB84"/>
        <color rgb="FF63BE7B"/>
      </colorScale>
    </cfRule>
    <cfRule type="colorScale" priority="6253">
      <colorScale>
        <cfvo type="num" val="1"/>
        <cfvo type="num" val="2"/>
        <cfvo type="num" val="3"/>
        <color rgb="FFF8696B"/>
        <color rgb="FFFFEB84"/>
        <color rgb="FF63BE7B"/>
      </colorScale>
    </cfRule>
  </conditionalFormatting>
  <conditionalFormatting sqref="Z306:AA306">
    <cfRule type="cellIs" dxfId="984" priority="6231" operator="equal">
      <formula>5</formula>
    </cfRule>
    <cfRule type="cellIs" dxfId="983" priority="6232" operator="equal">
      <formula>4</formula>
    </cfRule>
    <cfRule type="cellIs" dxfId="982" priority="6233" operator="equal">
      <formula>1</formula>
    </cfRule>
    <cfRule type="cellIs" dxfId="981" priority="6234" operator="equal">
      <formula>3</formula>
    </cfRule>
    <cfRule type="cellIs" dxfId="980" priority="6235" operator="equal">
      <formula>2</formula>
    </cfRule>
    <cfRule type="colorScale" priority="6236">
      <colorScale>
        <cfvo type="min" val="0"/>
        <cfvo type="percentile" val="50"/>
        <cfvo type="max" val="0"/>
        <color rgb="FFF8696B"/>
        <color rgb="FFFFEB84"/>
        <color rgb="FF63BE7B"/>
      </colorScale>
    </cfRule>
    <cfRule type="colorScale" priority="6237">
      <colorScale>
        <cfvo type="num" val="1"/>
        <cfvo type="num" val="2"/>
        <cfvo type="num" val="3"/>
        <color rgb="FFF8696B"/>
        <color rgb="FFFFEB84"/>
        <color rgb="FF63BE7B"/>
      </colorScale>
    </cfRule>
    <cfRule type="colorScale" priority="6238">
      <colorScale>
        <cfvo type="num" val="1"/>
        <cfvo type="num" val="2"/>
        <cfvo type="num" val="3"/>
        <color rgb="FFF8696B"/>
        <color rgb="FFFFEB84"/>
        <color rgb="FF63BE7B"/>
      </colorScale>
    </cfRule>
    <cfRule type="colorScale" priority="6239">
      <colorScale>
        <cfvo type="num" val="1"/>
        <cfvo type="num" val="2"/>
        <cfvo type="num" val="3"/>
        <color rgb="FFF8696B"/>
        <color rgb="FFFFEB84"/>
        <color rgb="FF63BE7B"/>
      </colorScale>
    </cfRule>
    <cfRule type="colorScale" priority="6240">
      <colorScale>
        <cfvo type="num" val="1"/>
        <cfvo type="num" val="2"/>
        <cfvo type="num" val="3"/>
        <color rgb="FFF8696B"/>
        <color rgb="FFFFEB84"/>
        <color rgb="FF63BE7B"/>
      </colorScale>
    </cfRule>
    <cfRule type="colorScale" priority="6241">
      <colorScale>
        <cfvo type="num" val="1"/>
        <cfvo type="num" val="2"/>
        <cfvo type="num" val="3"/>
        <color rgb="FFF8696B"/>
        <color rgb="FFFFEB84"/>
        <color rgb="FF63BE7B"/>
      </colorScale>
    </cfRule>
    <cfRule type="colorScale" priority="6242">
      <colorScale>
        <cfvo type="num" val="1"/>
        <cfvo type="num" val="2"/>
        <cfvo type="num" val="3"/>
        <color rgb="FFF8696B"/>
        <color rgb="FFFFEB84"/>
        <color rgb="FF63BE7B"/>
      </colorScale>
    </cfRule>
  </conditionalFormatting>
  <conditionalFormatting sqref="AA306">
    <cfRule type="cellIs" dxfId="979" priority="6218" operator="equal">
      <formula>5</formula>
    </cfRule>
    <cfRule type="cellIs" dxfId="978" priority="6219" operator="equal">
      <formula>4</formula>
    </cfRule>
    <cfRule type="cellIs" dxfId="977" priority="6220" operator="equal">
      <formula>1</formula>
    </cfRule>
    <cfRule type="cellIs" dxfId="976" priority="6221" operator="equal">
      <formula>3</formula>
    </cfRule>
    <cfRule type="colorScale" priority="6222">
      <colorScale>
        <cfvo type="min" val="0"/>
        <cfvo type="percentile" val="50"/>
        <cfvo type="max" val="0"/>
        <color rgb="FFF8696B"/>
        <color rgb="FFFFEB84"/>
        <color rgb="FF63BE7B"/>
      </colorScale>
    </cfRule>
    <cfRule type="colorScale" priority="6223">
      <colorScale>
        <cfvo type="num" val="1"/>
        <cfvo type="num" val="2"/>
        <cfvo type="num" val="3"/>
        <color rgb="FFF8696B"/>
        <color rgb="FFFFEB84"/>
        <color rgb="FF63BE7B"/>
      </colorScale>
    </cfRule>
    <cfRule type="colorScale" priority="6224">
      <colorScale>
        <cfvo type="num" val="1"/>
        <cfvo type="num" val="2"/>
        <cfvo type="num" val="3"/>
        <color rgb="FFF8696B"/>
        <color rgb="FFFFEB84"/>
        <color rgb="FF63BE7B"/>
      </colorScale>
    </cfRule>
    <cfRule type="colorScale" priority="6225">
      <colorScale>
        <cfvo type="num" val="1"/>
        <cfvo type="num" val="2"/>
        <cfvo type="num" val="3"/>
        <color rgb="FFF8696B"/>
        <color rgb="FFFFEB84"/>
        <color rgb="FF63BE7B"/>
      </colorScale>
    </cfRule>
    <cfRule type="colorScale" priority="6226">
      <colorScale>
        <cfvo type="num" val="1"/>
        <cfvo type="num" val="2"/>
        <cfvo type="num" val="3"/>
        <color rgb="FFF8696B"/>
        <color rgb="FFFFEB84"/>
        <color rgb="FF63BE7B"/>
      </colorScale>
    </cfRule>
    <cfRule type="colorScale" priority="6227">
      <colorScale>
        <cfvo type="num" val="1"/>
        <cfvo type="num" val="2"/>
        <cfvo type="num" val="3"/>
        <color rgb="FFF8696B"/>
        <color rgb="FFFFEB84"/>
        <color rgb="FF63BE7B"/>
      </colorScale>
    </cfRule>
    <cfRule type="colorScale" priority="6228">
      <colorScale>
        <cfvo type="num" val="1"/>
        <cfvo type="num" val="2"/>
        <cfvo type="num" val="3"/>
        <color rgb="FFF8696B"/>
        <color rgb="FFFFEB84"/>
        <color rgb="FF63BE7B"/>
      </colorScale>
    </cfRule>
  </conditionalFormatting>
  <conditionalFormatting sqref="H304:J304">
    <cfRule type="cellIs" dxfId="975" priority="5825" operator="equal">
      <formula>5</formula>
    </cfRule>
    <cfRule type="cellIs" dxfId="974" priority="5826" operator="equal">
      <formula>4</formula>
    </cfRule>
    <cfRule type="cellIs" dxfId="973" priority="5827" operator="equal">
      <formula>1</formula>
    </cfRule>
    <cfRule type="cellIs" dxfId="972" priority="5828" operator="equal">
      <formula>3</formula>
    </cfRule>
    <cfRule type="cellIs" dxfId="971" priority="5829" operator="equal">
      <formula>2</formula>
    </cfRule>
    <cfRule type="colorScale" priority="5830">
      <colorScale>
        <cfvo type="min" val="0"/>
        <cfvo type="percentile" val="50"/>
        <cfvo type="max" val="0"/>
        <color rgb="FFF8696B"/>
        <color rgb="FFFFEB84"/>
        <color rgb="FF63BE7B"/>
      </colorScale>
    </cfRule>
    <cfRule type="colorScale" priority="5831">
      <colorScale>
        <cfvo type="num" val="1"/>
        <cfvo type="num" val="2"/>
        <cfvo type="num" val="3"/>
        <color rgb="FFF8696B"/>
        <color rgb="FFFFEB84"/>
        <color rgb="FF63BE7B"/>
      </colorScale>
    </cfRule>
    <cfRule type="colorScale" priority="5832">
      <colorScale>
        <cfvo type="num" val="1"/>
        <cfvo type="num" val="2"/>
        <cfvo type="num" val="3"/>
        <color rgb="FFF8696B"/>
        <color rgb="FFFFEB84"/>
        <color rgb="FF63BE7B"/>
      </colorScale>
    </cfRule>
    <cfRule type="colorScale" priority="5833">
      <colorScale>
        <cfvo type="num" val="1"/>
        <cfvo type="num" val="2"/>
        <cfvo type="num" val="3"/>
        <color rgb="FFF8696B"/>
        <color rgb="FFFFEB84"/>
        <color rgb="FF63BE7B"/>
      </colorScale>
    </cfRule>
    <cfRule type="colorScale" priority="5834">
      <colorScale>
        <cfvo type="num" val="1"/>
        <cfvo type="num" val="2"/>
        <cfvo type="num" val="3"/>
        <color rgb="FFF8696B"/>
        <color rgb="FFFFEB84"/>
        <color rgb="FF63BE7B"/>
      </colorScale>
    </cfRule>
    <cfRule type="colorScale" priority="5835">
      <colorScale>
        <cfvo type="num" val="1"/>
        <cfvo type="num" val="2"/>
        <cfvo type="num" val="3"/>
        <color rgb="FFF8696B"/>
        <color rgb="FFFFEB84"/>
        <color rgb="FF63BE7B"/>
      </colorScale>
    </cfRule>
    <cfRule type="colorScale" priority="5836">
      <colorScale>
        <cfvo type="num" val="1"/>
        <cfvo type="num" val="2"/>
        <cfvo type="num" val="3"/>
        <color rgb="FFF8696B"/>
        <color rgb="FFFFEB84"/>
        <color rgb="FF63BE7B"/>
      </colorScale>
    </cfRule>
  </conditionalFormatting>
  <conditionalFormatting sqref="N304">
    <cfRule type="cellIs" dxfId="970" priority="5812" operator="equal">
      <formula>5</formula>
    </cfRule>
    <cfRule type="cellIs" dxfId="969" priority="5813" operator="equal">
      <formula>4</formula>
    </cfRule>
    <cfRule type="cellIs" dxfId="968" priority="5814" operator="equal">
      <formula>1</formula>
    </cfRule>
    <cfRule type="cellIs" dxfId="967" priority="5815" operator="equal">
      <formula>3</formula>
    </cfRule>
    <cfRule type="colorScale" priority="5816">
      <colorScale>
        <cfvo type="min" val="0"/>
        <cfvo type="percentile" val="50"/>
        <cfvo type="max" val="0"/>
        <color rgb="FFF8696B"/>
        <color rgb="FFFFEB84"/>
        <color rgb="FF63BE7B"/>
      </colorScale>
    </cfRule>
    <cfRule type="colorScale" priority="5817">
      <colorScale>
        <cfvo type="num" val="1"/>
        <cfvo type="num" val="2"/>
        <cfvo type="num" val="3"/>
        <color rgb="FFF8696B"/>
        <color rgb="FFFFEB84"/>
        <color rgb="FF63BE7B"/>
      </colorScale>
    </cfRule>
    <cfRule type="colorScale" priority="5818">
      <colorScale>
        <cfvo type="num" val="1"/>
        <cfvo type="num" val="2"/>
        <cfvo type="num" val="3"/>
        <color rgb="FFF8696B"/>
        <color rgb="FFFFEB84"/>
        <color rgb="FF63BE7B"/>
      </colorScale>
    </cfRule>
  </conditionalFormatting>
  <conditionalFormatting sqref="O304">
    <cfRule type="cellIs" dxfId="966" priority="5801" operator="equal">
      <formula>5</formula>
    </cfRule>
    <cfRule type="cellIs" dxfId="965" priority="5802" operator="equal">
      <formula>4</formula>
    </cfRule>
    <cfRule type="cellIs" dxfId="964" priority="5803" operator="equal">
      <formula>1</formula>
    </cfRule>
    <cfRule type="cellIs" dxfId="963" priority="5804" operator="equal">
      <formula>3</formula>
    </cfRule>
    <cfRule type="colorScale" priority="5805">
      <colorScale>
        <cfvo type="min" val="0"/>
        <cfvo type="percentile" val="50"/>
        <cfvo type="max" val="0"/>
        <color rgb="FFF8696B"/>
        <color rgb="FFFFEB84"/>
        <color rgb="FF63BE7B"/>
      </colorScale>
    </cfRule>
    <cfRule type="colorScale" priority="5806">
      <colorScale>
        <cfvo type="num" val="1"/>
        <cfvo type="num" val="2"/>
        <cfvo type="num" val="3"/>
        <color rgb="FFF8696B"/>
        <color rgb="FFFFEB84"/>
        <color rgb="FF63BE7B"/>
      </colorScale>
    </cfRule>
    <cfRule type="colorScale" priority="5807">
      <colorScale>
        <cfvo type="num" val="1"/>
        <cfvo type="num" val="2"/>
        <cfvo type="num" val="3"/>
        <color rgb="FFF8696B"/>
        <color rgb="FFFFEB84"/>
        <color rgb="FF63BE7B"/>
      </colorScale>
    </cfRule>
    <cfRule type="colorScale" priority="5808">
      <colorScale>
        <cfvo type="num" val="1"/>
        <cfvo type="num" val="2"/>
        <cfvo type="num" val="3"/>
        <color rgb="FFF8696B"/>
        <color rgb="FFFFEB84"/>
        <color rgb="FF63BE7B"/>
      </colorScale>
    </cfRule>
    <cfRule type="colorScale" priority="5809">
      <colorScale>
        <cfvo type="num" val="1"/>
        <cfvo type="num" val="2"/>
        <cfvo type="num" val="3"/>
        <color rgb="FFF8696B"/>
        <color rgb="FFFFEB84"/>
        <color rgb="FF63BE7B"/>
      </colorScale>
    </cfRule>
    <cfRule type="colorScale" priority="5810">
      <colorScale>
        <cfvo type="num" val="1"/>
        <cfvo type="num" val="2"/>
        <cfvo type="num" val="3"/>
        <color rgb="FFF8696B"/>
        <color rgb="FFFFEB84"/>
        <color rgb="FF63BE7B"/>
      </colorScale>
    </cfRule>
    <cfRule type="colorScale" priority="5811">
      <colorScale>
        <cfvo type="num" val="1"/>
        <cfvo type="num" val="2"/>
        <cfvo type="num" val="3"/>
        <color rgb="FFF8696B"/>
        <color rgb="FFFFEB84"/>
        <color rgb="FF63BE7B"/>
      </colorScale>
    </cfRule>
  </conditionalFormatting>
  <conditionalFormatting sqref="O304">
    <cfRule type="cellIs" dxfId="962" priority="5777" operator="equal">
      <formula>5</formula>
    </cfRule>
    <cfRule type="cellIs" dxfId="961" priority="5778" operator="equal">
      <formula>4</formula>
    </cfRule>
    <cfRule type="cellIs" dxfId="960" priority="5779" operator="equal">
      <formula>1</formula>
    </cfRule>
    <cfRule type="cellIs" dxfId="959" priority="5780" operator="equal">
      <formula>3</formula>
    </cfRule>
    <cfRule type="cellIs" dxfId="958" priority="5781" operator="equal">
      <formula>2</formula>
    </cfRule>
    <cfRule type="colorScale" priority="5782">
      <colorScale>
        <cfvo type="min" val="0"/>
        <cfvo type="percentile" val="50"/>
        <cfvo type="max" val="0"/>
        <color rgb="FFF8696B"/>
        <color rgb="FFFFEB84"/>
        <color rgb="FF63BE7B"/>
      </colorScale>
    </cfRule>
    <cfRule type="colorScale" priority="5783">
      <colorScale>
        <cfvo type="num" val="1"/>
        <cfvo type="num" val="2"/>
        <cfvo type="num" val="3"/>
        <color rgb="FFF8696B"/>
        <color rgb="FFFFEB84"/>
        <color rgb="FF63BE7B"/>
      </colorScale>
    </cfRule>
    <cfRule type="colorScale" priority="5784">
      <colorScale>
        <cfvo type="num" val="1"/>
        <cfvo type="num" val="2"/>
        <cfvo type="num" val="3"/>
        <color rgb="FFF8696B"/>
        <color rgb="FFFFEB84"/>
        <color rgb="FF63BE7B"/>
      </colorScale>
    </cfRule>
    <cfRule type="colorScale" priority="5785">
      <colorScale>
        <cfvo type="num" val="1"/>
        <cfvo type="num" val="2"/>
        <cfvo type="num" val="3"/>
        <color rgb="FFF8696B"/>
        <color rgb="FFFFEB84"/>
        <color rgb="FF63BE7B"/>
      </colorScale>
    </cfRule>
    <cfRule type="colorScale" priority="5786">
      <colorScale>
        <cfvo type="num" val="1"/>
        <cfvo type="num" val="2"/>
        <cfvo type="num" val="3"/>
        <color rgb="FFF8696B"/>
        <color rgb="FFFFEB84"/>
        <color rgb="FF63BE7B"/>
      </colorScale>
    </cfRule>
    <cfRule type="colorScale" priority="5787">
      <colorScale>
        <cfvo type="num" val="1"/>
        <cfvo type="num" val="2"/>
        <cfvo type="num" val="3"/>
        <color rgb="FFF8696B"/>
        <color rgb="FFFFEB84"/>
        <color rgb="FF63BE7B"/>
      </colorScale>
    </cfRule>
    <cfRule type="colorScale" priority="5788">
      <colorScale>
        <cfvo type="num" val="1"/>
        <cfvo type="num" val="2"/>
        <cfvo type="num" val="3"/>
        <color rgb="FFF8696B"/>
        <color rgb="FFFFEB84"/>
        <color rgb="FF63BE7B"/>
      </colorScale>
    </cfRule>
  </conditionalFormatting>
  <conditionalFormatting sqref="M304:O304">
    <cfRule type="cellIs" dxfId="957" priority="5764" operator="equal">
      <formula>5</formula>
    </cfRule>
    <cfRule type="cellIs" dxfId="956" priority="5765" operator="equal">
      <formula>4</formula>
    </cfRule>
    <cfRule type="cellIs" dxfId="955" priority="5766" operator="equal">
      <formula>1</formula>
    </cfRule>
    <cfRule type="cellIs" dxfId="954" priority="5767" operator="equal">
      <formula>3</formula>
    </cfRule>
    <cfRule type="cellIs" dxfId="953" priority="5768" operator="equal">
      <formula>2</formula>
    </cfRule>
    <cfRule type="colorScale" priority="5769">
      <colorScale>
        <cfvo type="min" val="0"/>
        <cfvo type="percentile" val="50"/>
        <cfvo type="max" val="0"/>
        <color rgb="FFF8696B"/>
        <color rgb="FFFFEB84"/>
        <color rgb="FF63BE7B"/>
      </colorScale>
    </cfRule>
    <cfRule type="colorScale" priority="5770">
      <colorScale>
        <cfvo type="num" val="1"/>
        <cfvo type="num" val="2"/>
        <cfvo type="num" val="3"/>
        <color rgb="FFF8696B"/>
        <color rgb="FFFFEB84"/>
        <color rgb="FF63BE7B"/>
      </colorScale>
    </cfRule>
    <cfRule type="colorScale" priority="5771">
      <colorScale>
        <cfvo type="num" val="1"/>
        <cfvo type="num" val="2"/>
        <cfvo type="num" val="3"/>
        <color rgb="FFF8696B"/>
        <color rgb="FFFFEB84"/>
        <color rgb="FF63BE7B"/>
      </colorScale>
    </cfRule>
    <cfRule type="colorScale" priority="5772">
      <colorScale>
        <cfvo type="num" val="1"/>
        <cfvo type="num" val="2"/>
        <cfvo type="num" val="3"/>
        <color rgb="FFF8696B"/>
        <color rgb="FFFFEB84"/>
        <color rgb="FF63BE7B"/>
      </colorScale>
    </cfRule>
    <cfRule type="colorScale" priority="5773">
      <colorScale>
        <cfvo type="num" val="1"/>
        <cfvo type="num" val="2"/>
        <cfvo type="num" val="3"/>
        <color rgb="FFF8696B"/>
        <color rgb="FFFFEB84"/>
        <color rgb="FF63BE7B"/>
      </colorScale>
    </cfRule>
    <cfRule type="colorScale" priority="5774">
      <colorScale>
        <cfvo type="num" val="1"/>
        <cfvo type="num" val="2"/>
        <cfvo type="num" val="3"/>
        <color rgb="FFF8696B"/>
        <color rgb="FFFFEB84"/>
        <color rgb="FF63BE7B"/>
      </colorScale>
    </cfRule>
    <cfRule type="colorScale" priority="5775">
      <colorScale>
        <cfvo type="num" val="1"/>
        <cfvo type="num" val="2"/>
        <cfvo type="num" val="3"/>
        <color rgb="FFF8696B"/>
        <color rgb="FFFFEB84"/>
        <color rgb="FF63BE7B"/>
      </colorScale>
    </cfRule>
  </conditionalFormatting>
  <conditionalFormatting sqref="R304">
    <cfRule type="cellIs" dxfId="952" priority="5753" operator="equal">
      <formula>5</formula>
    </cfRule>
    <cfRule type="cellIs" dxfId="951" priority="5754" operator="equal">
      <formula>4</formula>
    </cfRule>
    <cfRule type="cellIs" dxfId="950" priority="5755" operator="equal">
      <formula>1</formula>
    </cfRule>
    <cfRule type="cellIs" dxfId="949" priority="5756" operator="equal">
      <formula>3</formula>
    </cfRule>
    <cfRule type="cellIs" dxfId="948" priority="5757" operator="equal">
      <formula>2</formula>
    </cfRule>
    <cfRule type="colorScale" priority="5758">
      <colorScale>
        <cfvo type="min" val="0"/>
        <cfvo type="percentile" val="50"/>
        <cfvo type="max" val="0"/>
        <color rgb="FFF8696B"/>
        <color rgb="FFFFEB84"/>
        <color rgb="FF63BE7B"/>
      </colorScale>
    </cfRule>
    <cfRule type="colorScale" priority="5759">
      <colorScale>
        <cfvo type="num" val="1"/>
        <cfvo type="num" val="2"/>
        <cfvo type="num" val="3"/>
        <color rgb="FFF8696B"/>
        <color rgb="FFFFEB84"/>
        <color rgb="FF63BE7B"/>
      </colorScale>
    </cfRule>
    <cfRule type="colorScale" priority="5760">
      <colorScale>
        <cfvo type="num" val="1"/>
        <cfvo type="num" val="2"/>
        <cfvo type="num" val="3"/>
        <color rgb="FFF8696B"/>
        <color rgb="FFFFEB84"/>
        <color rgb="FF63BE7B"/>
      </colorScale>
    </cfRule>
  </conditionalFormatting>
  <conditionalFormatting sqref="T304">
    <cfRule type="cellIs" dxfId="947" priority="5729" operator="equal">
      <formula>5</formula>
    </cfRule>
    <cfRule type="cellIs" dxfId="946" priority="5730" operator="equal">
      <formula>4</formula>
    </cfRule>
    <cfRule type="cellIs" dxfId="945" priority="5731" operator="equal">
      <formula>1</formula>
    </cfRule>
    <cfRule type="cellIs" dxfId="944" priority="5732" operator="equal">
      <formula>3</formula>
    </cfRule>
    <cfRule type="cellIs" dxfId="943" priority="5733" operator="equal">
      <formula>2</formula>
    </cfRule>
    <cfRule type="colorScale" priority="5734">
      <colorScale>
        <cfvo type="min" val="0"/>
        <cfvo type="percentile" val="50"/>
        <cfvo type="max" val="0"/>
        <color rgb="FFF8696B"/>
        <color rgb="FFFFEB84"/>
        <color rgb="FF63BE7B"/>
      </colorScale>
    </cfRule>
    <cfRule type="colorScale" priority="5735">
      <colorScale>
        <cfvo type="num" val="1"/>
        <cfvo type="num" val="2"/>
        <cfvo type="num" val="3"/>
        <color rgb="FFF8696B"/>
        <color rgb="FFFFEB84"/>
        <color rgb="FF63BE7B"/>
      </colorScale>
    </cfRule>
    <cfRule type="colorScale" priority="5736">
      <colorScale>
        <cfvo type="num" val="1"/>
        <cfvo type="num" val="2"/>
        <cfvo type="num" val="3"/>
        <color rgb="FFF8696B"/>
        <color rgb="FFFFEB84"/>
        <color rgb="FF63BE7B"/>
      </colorScale>
    </cfRule>
    <cfRule type="colorScale" priority="5737">
      <colorScale>
        <cfvo type="num" val="1"/>
        <cfvo type="num" val="2"/>
        <cfvo type="num" val="3"/>
        <color rgb="FFF8696B"/>
        <color rgb="FFFFEB84"/>
        <color rgb="FF63BE7B"/>
      </colorScale>
    </cfRule>
    <cfRule type="colorScale" priority="5738">
      <colorScale>
        <cfvo type="num" val="1"/>
        <cfvo type="num" val="2"/>
        <cfvo type="num" val="3"/>
        <color rgb="FFF8696B"/>
        <color rgb="FFFFEB84"/>
        <color rgb="FF63BE7B"/>
      </colorScale>
    </cfRule>
    <cfRule type="colorScale" priority="5739">
      <colorScale>
        <cfvo type="num" val="1"/>
        <cfvo type="num" val="2"/>
        <cfvo type="num" val="3"/>
        <color rgb="FFF8696B"/>
        <color rgb="FFFFEB84"/>
        <color rgb="FF63BE7B"/>
      </colorScale>
    </cfRule>
    <cfRule type="colorScale" priority="5740">
      <colorScale>
        <cfvo type="num" val="1"/>
        <cfvo type="num" val="2"/>
        <cfvo type="num" val="3"/>
        <color rgb="FFF8696B"/>
        <color rgb="FFFFEB84"/>
        <color rgb="FF63BE7B"/>
      </colorScale>
    </cfRule>
  </conditionalFormatting>
  <conditionalFormatting sqref="S304">
    <cfRule type="cellIs" dxfId="942" priority="5716" operator="equal">
      <formula>5</formula>
    </cfRule>
    <cfRule type="cellIs" dxfId="941" priority="5717" operator="equal">
      <formula>4</formula>
    </cfRule>
    <cfRule type="cellIs" dxfId="940" priority="5718" operator="equal">
      <formula>1</formula>
    </cfRule>
    <cfRule type="cellIs" dxfId="939" priority="5719" operator="equal">
      <formula>3</formula>
    </cfRule>
    <cfRule type="colorScale" priority="5720">
      <colorScale>
        <cfvo type="min" val="0"/>
        <cfvo type="percentile" val="50"/>
        <cfvo type="max" val="0"/>
        <color rgb="FFF8696B"/>
        <color rgb="FFFFEB84"/>
        <color rgb="FF63BE7B"/>
      </colorScale>
    </cfRule>
    <cfRule type="colorScale" priority="5721">
      <colorScale>
        <cfvo type="num" val="1"/>
        <cfvo type="num" val="2"/>
        <cfvo type="num" val="3"/>
        <color rgb="FFF8696B"/>
        <color rgb="FFFFEB84"/>
        <color rgb="FF63BE7B"/>
      </colorScale>
    </cfRule>
    <cfRule type="colorScale" priority="5722">
      <colorScale>
        <cfvo type="num" val="1"/>
        <cfvo type="num" val="2"/>
        <cfvo type="num" val="3"/>
        <color rgb="FFF8696B"/>
        <color rgb="FFFFEB84"/>
        <color rgb="FF63BE7B"/>
      </colorScale>
    </cfRule>
  </conditionalFormatting>
  <conditionalFormatting sqref="T304">
    <cfRule type="cellIs" dxfId="938" priority="5705" operator="equal">
      <formula>5</formula>
    </cfRule>
    <cfRule type="cellIs" dxfId="937" priority="5706" operator="equal">
      <formula>4</formula>
    </cfRule>
    <cfRule type="cellIs" dxfId="936" priority="5707" operator="equal">
      <formula>1</formula>
    </cfRule>
    <cfRule type="cellIs" dxfId="935" priority="5708" operator="equal">
      <formula>3</formula>
    </cfRule>
    <cfRule type="colorScale" priority="5709">
      <colorScale>
        <cfvo type="min" val="0"/>
        <cfvo type="percentile" val="50"/>
        <cfvo type="max" val="0"/>
        <color rgb="FFF8696B"/>
        <color rgb="FFFFEB84"/>
        <color rgb="FF63BE7B"/>
      </colorScale>
    </cfRule>
    <cfRule type="colorScale" priority="5710">
      <colorScale>
        <cfvo type="num" val="1"/>
        <cfvo type="num" val="2"/>
        <cfvo type="num" val="3"/>
        <color rgb="FFF8696B"/>
        <color rgb="FFFFEB84"/>
        <color rgb="FF63BE7B"/>
      </colorScale>
    </cfRule>
    <cfRule type="colorScale" priority="5711">
      <colorScale>
        <cfvo type="num" val="1"/>
        <cfvo type="num" val="2"/>
        <cfvo type="num" val="3"/>
        <color rgb="FFF8696B"/>
        <color rgb="FFFFEB84"/>
        <color rgb="FF63BE7B"/>
      </colorScale>
    </cfRule>
    <cfRule type="colorScale" priority="5712">
      <colorScale>
        <cfvo type="num" val="1"/>
        <cfvo type="num" val="2"/>
        <cfvo type="num" val="3"/>
        <color rgb="FFF8696B"/>
        <color rgb="FFFFEB84"/>
        <color rgb="FF63BE7B"/>
      </colorScale>
    </cfRule>
    <cfRule type="colorScale" priority="5713">
      <colorScale>
        <cfvo type="num" val="1"/>
        <cfvo type="num" val="2"/>
        <cfvo type="num" val="3"/>
        <color rgb="FFF8696B"/>
        <color rgb="FFFFEB84"/>
        <color rgb="FF63BE7B"/>
      </colorScale>
    </cfRule>
    <cfRule type="colorScale" priority="5714">
      <colorScale>
        <cfvo type="num" val="1"/>
        <cfvo type="num" val="2"/>
        <cfvo type="num" val="3"/>
        <color rgb="FFF8696B"/>
        <color rgb="FFFFEB84"/>
        <color rgb="FF63BE7B"/>
      </colorScale>
    </cfRule>
    <cfRule type="colorScale" priority="5715">
      <colorScale>
        <cfvo type="num" val="1"/>
        <cfvo type="num" val="2"/>
        <cfvo type="num" val="3"/>
        <color rgb="FFF8696B"/>
        <color rgb="FFFFEB84"/>
        <color rgb="FF63BE7B"/>
      </colorScale>
    </cfRule>
  </conditionalFormatting>
  <conditionalFormatting sqref="R304:T304">
    <cfRule type="cellIs" dxfId="934" priority="5668" operator="equal">
      <formula>5</formula>
    </cfRule>
    <cfRule type="cellIs" dxfId="933" priority="5669" operator="equal">
      <formula>4</formula>
    </cfRule>
    <cfRule type="cellIs" dxfId="932" priority="5670" operator="equal">
      <formula>1</formula>
    </cfRule>
    <cfRule type="cellIs" dxfId="931" priority="5671" operator="equal">
      <formula>3</formula>
    </cfRule>
    <cfRule type="cellIs" dxfId="930" priority="5672" operator="equal">
      <formula>2</formula>
    </cfRule>
    <cfRule type="colorScale" priority="5673">
      <colorScale>
        <cfvo type="min" val="0"/>
        <cfvo type="percentile" val="50"/>
        <cfvo type="max" val="0"/>
        <color rgb="FFF8696B"/>
        <color rgb="FFFFEB84"/>
        <color rgb="FF63BE7B"/>
      </colorScale>
    </cfRule>
    <cfRule type="colorScale" priority="5674">
      <colorScale>
        <cfvo type="num" val="1"/>
        <cfvo type="num" val="2"/>
        <cfvo type="num" val="3"/>
        <color rgb="FFF8696B"/>
        <color rgb="FFFFEB84"/>
        <color rgb="FF63BE7B"/>
      </colorScale>
    </cfRule>
    <cfRule type="colorScale" priority="5675">
      <colorScale>
        <cfvo type="num" val="1"/>
        <cfvo type="num" val="2"/>
        <cfvo type="num" val="3"/>
        <color rgb="FFF8696B"/>
        <color rgb="FFFFEB84"/>
        <color rgb="FF63BE7B"/>
      </colorScale>
    </cfRule>
    <cfRule type="colorScale" priority="5676">
      <colorScale>
        <cfvo type="num" val="1"/>
        <cfvo type="num" val="2"/>
        <cfvo type="num" val="3"/>
        <color rgb="FFF8696B"/>
        <color rgb="FFFFEB84"/>
        <color rgb="FF63BE7B"/>
      </colorScale>
    </cfRule>
    <cfRule type="colorScale" priority="5677">
      <colorScale>
        <cfvo type="num" val="1"/>
        <cfvo type="num" val="2"/>
        <cfvo type="num" val="3"/>
        <color rgb="FFF8696B"/>
        <color rgb="FFFFEB84"/>
        <color rgb="FF63BE7B"/>
      </colorScale>
    </cfRule>
    <cfRule type="colorScale" priority="5678">
      <colorScale>
        <cfvo type="num" val="1"/>
        <cfvo type="num" val="2"/>
        <cfvo type="num" val="3"/>
        <color rgb="FFF8696B"/>
        <color rgb="FFFFEB84"/>
        <color rgb="FF63BE7B"/>
      </colorScale>
    </cfRule>
    <cfRule type="colorScale" priority="5679">
      <colorScale>
        <cfvo type="num" val="1"/>
        <cfvo type="num" val="2"/>
        <cfvo type="num" val="3"/>
        <color rgb="FFF8696B"/>
        <color rgb="FFFFEB84"/>
        <color rgb="FF63BE7B"/>
      </colorScale>
    </cfRule>
  </conditionalFormatting>
  <conditionalFormatting sqref="Y304">
    <cfRule type="cellIs" dxfId="929" priority="5628" operator="equal">
      <formula>5</formula>
    </cfRule>
    <cfRule type="cellIs" dxfId="928" priority="5629" operator="equal">
      <formula>4</formula>
    </cfRule>
    <cfRule type="cellIs" dxfId="927" priority="5630" operator="equal">
      <formula>1</formula>
    </cfRule>
    <cfRule type="cellIs" dxfId="926" priority="5631" operator="equal">
      <formula>3</formula>
    </cfRule>
    <cfRule type="cellIs" dxfId="925" priority="5632" operator="equal">
      <formula>2</formula>
    </cfRule>
    <cfRule type="colorScale" priority="5633">
      <colorScale>
        <cfvo type="min" val="0"/>
        <cfvo type="percentile" val="50"/>
        <cfvo type="max" val="0"/>
        <color rgb="FFF8696B"/>
        <color rgb="FFFFEB84"/>
        <color rgb="FF63BE7B"/>
      </colorScale>
    </cfRule>
    <cfRule type="colorScale" priority="5634">
      <colorScale>
        <cfvo type="num" val="1"/>
        <cfvo type="num" val="2"/>
        <cfvo type="num" val="3"/>
        <color rgb="FFF8696B"/>
        <color rgb="FFFFEB84"/>
        <color rgb="FF63BE7B"/>
      </colorScale>
    </cfRule>
    <cfRule type="colorScale" priority="5635">
      <colorScale>
        <cfvo type="num" val="1"/>
        <cfvo type="num" val="2"/>
        <cfvo type="num" val="3"/>
        <color rgb="FFF8696B"/>
        <color rgb="FFFFEB84"/>
        <color rgb="FF63BE7B"/>
      </colorScale>
    </cfRule>
    <cfRule type="colorScale" priority="5636">
      <colorScale>
        <cfvo type="num" val="1"/>
        <cfvo type="num" val="2"/>
        <cfvo type="num" val="3"/>
        <color rgb="FFF8696B"/>
        <color rgb="FFFFEB84"/>
        <color rgb="FF63BE7B"/>
      </colorScale>
    </cfRule>
    <cfRule type="colorScale" priority="5637">
      <colorScale>
        <cfvo type="num" val="1"/>
        <cfvo type="num" val="2"/>
        <cfvo type="num" val="3"/>
        <color rgb="FFF8696B"/>
        <color rgb="FFFFEB84"/>
        <color rgb="FF63BE7B"/>
      </colorScale>
    </cfRule>
    <cfRule type="colorScale" priority="5638">
      <colorScale>
        <cfvo type="num" val="1"/>
        <cfvo type="num" val="2"/>
        <cfvo type="num" val="3"/>
        <color rgb="FFF8696B"/>
        <color rgb="FFFFEB84"/>
        <color rgb="FF63BE7B"/>
      </colorScale>
    </cfRule>
    <cfRule type="colorScale" priority="5639">
      <colorScale>
        <cfvo type="num" val="1"/>
        <cfvo type="num" val="2"/>
        <cfvo type="num" val="3"/>
        <color rgb="FFF8696B"/>
        <color rgb="FFFFEB84"/>
        <color rgb="FF63BE7B"/>
      </colorScale>
    </cfRule>
  </conditionalFormatting>
  <conditionalFormatting sqref="W304">
    <cfRule type="cellIs" dxfId="924" priority="5617" operator="equal">
      <formula>5</formula>
    </cfRule>
    <cfRule type="cellIs" dxfId="923" priority="5618" operator="equal">
      <formula>4</formula>
    </cfRule>
    <cfRule type="cellIs" dxfId="922" priority="5619" operator="equal">
      <formula>1</formula>
    </cfRule>
    <cfRule type="cellIs" dxfId="921" priority="5620" operator="equal">
      <formula>3</formula>
    </cfRule>
    <cfRule type="cellIs" dxfId="920" priority="5621" operator="equal">
      <formula>2</formula>
    </cfRule>
    <cfRule type="colorScale" priority="5622">
      <colorScale>
        <cfvo type="min" val="0"/>
        <cfvo type="percentile" val="50"/>
        <cfvo type="max" val="0"/>
        <color rgb="FFF8696B"/>
        <color rgb="FFFFEB84"/>
        <color rgb="FF63BE7B"/>
      </colorScale>
    </cfRule>
    <cfRule type="colorScale" priority="5623">
      <colorScale>
        <cfvo type="num" val="1"/>
        <cfvo type="num" val="2"/>
        <cfvo type="num" val="3"/>
        <color rgb="FFF8696B"/>
        <color rgb="FFFFEB84"/>
        <color rgb="FF63BE7B"/>
      </colorScale>
    </cfRule>
    <cfRule type="colorScale" priority="5624">
      <colorScale>
        <cfvo type="num" val="1"/>
        <cfvo type="num" val="2"/>
        <cfvo type="num" val="3"/>
        <color rgb="FFF8696B"/>
        <color rgb="FFFFEB84"/>
        <color rgb="FF63BE7B"/>
      </colorScale>
    </cfRule>
  </conditionalFormatting>
  <conditionalFormatting sqref="X304">
    <cfRule type="cellIs" dxfId="919" priority="5580" operator="equal">
      <formula>5</formula>
    </cfRule>
    <cfRule type="cellIs" dxfId="918" priority="5581" operator="equal">
      <formula>4</formula>
    </cfRule>
    <cfRule type="cellIs" dxfId="917" priority="5582" operator="equal">
      <formula>1</formula>
    </cfRule>
    <cfRule type="cellIs" dxfId="916" priority="5583" operator="equal">
      <formula>3</formula>
    </cfRule>
    <cfRule type="colorScale" priority="5584">
      <colorScale>
        <cfvo type="min" val="0"/>
        <cfvo type="percentile" val="50"/>
        <cfvo type="max" val="0"/>
        <color rgb="FFF8696B"/>
        <color rgb="FFFFEB84"/>
        <color rgb="FF63BE7B"/>
      </colorScale>
    </cfRule>
    <cfRule type="colorScale" priority="5585">
      <colorScale>
        <cfvo type="num" val="1"/>
        <cfvo type="num" val="2"/>
        <cfvo type="num" val="3"/>
        <color rgb="FFF8696B"/>
        <color rgb="FFFFEB84"/>
        <color rgb="FF63BE7B"/>
      </colorScale>
    </cfRule>
    <cfRule type="colorScale" priority="5586">
      <colorScale>
        <cfvo type="num" val="1"/>
        <cfvo type="num" val="2"/>
        <cfvo type="num" val="3"/>
        <color rgb="FFF8696B"/>
        <color rgb="FFFFEB84"/>
        <color rgb="FF63BE7B"/>
      </colorScale>
    </cfRule>
  </conditionalFormatting>
  <conditionalFormatting sqref="Y304">
    <cfRule type="cellIs" dxfId="915" priority="5569" operator="equal">
      <formula>5</formula>
    </cfRule>
    <cfRule type="cellIs" dxfId="914" priority="5570" operator="equal">
      <formula>4</formula>
    </cfRule>
    <cfRule type="cellIs" dxfId="913" priority="5571" operator="equal">
      <formula>1</formula>
    </cfRule>
    <cfRule type="cellIs" dxfId="912" priority="5572" operator="equal">
      <formula>3</formula>
    </cfRule>
    <cfRule type="colorScale" priority="5573">
      <colorScale>
        <cfvo type="min" val="0"/>
        <cfvo type="percentile" val="50"/>
        <cfvo type="max" val="0"/>
        <color rgb="FFF8696B"/>
        <color rgb="FFFFEB84"/>
        <color rgb="FF63BE7B"/>
      </colorScale>
    </cfRule>
    <cfRule type="colorScale" priority="5574">
      <colorScale>
        <cfvo type="num" val="1"/>
        <cfvo type="num" val="2"/>
        <cfvo type="num" val="3"/>
        <color rgb="FFF8696B"/>
        <color rgb="FFFFEB84"/>
        <color rgb="FF63BE7B"/>
      </colorScale>
    </cfRule>
    <cfRule type="colorScale" priority="5575">
      <colorScale>
        <cfvo type="num" val="1"/>
        <cfvo type="num" val="2"/>
        <cfvo type="num" val="3"/>
        <color rgb="FFF8696B"/>
        <color rgb="FFFFEB84"/>
        <color rgb="FF63BE7B"/>
      </colorScale>
    </cfRule>
    <cfRule type="colorScale" priority="5576">
      <colorScale>
        <cfvo type="num" val="1"/>
        <cfvo type="num" val="2"/>
        <cfvo type="num" val="3"/>
        <color rgb="FFF8696B"/>
        <color rgb="FFFFEB84"/>
        <color rgb="FF63BE7B"/>
      </colorScale>
    </cfRule>
    <cfRule type="colorScale" priority="5577">
      <colorScale>
        <cfvo type="num" val="1"/>
        <cfvo type="num" val="2"/>
        <cfvo type="num" val="3"/>
        <color rgb="FFF8696B"/>
        <color rgb="FFFFEB84"/>
        <color rgb="FF63BE7B"/>
      </colorScale>
    </cfRule>
    <cfRule type="colorScale" priority="5578">
      <colorScale>
        <cfvo type="num" val="1"/>
        <cfvo type="num" val="2"/>
        <cfvo type="num" val="3"/>
        <color rgb="FFF8696B"/>
        <color rgb="FFFFEB84"/>
        <color rgb="FF63BE7B"/>
      </colorScale>
    </cfRule>
    <cfRule type="colorScale" priority="5579">
      <colorScale>
        <cfvo type="num" val="1"/>
        <cfvo type="num" val="2"/>
        <cfvo type="num" val="3"/>
        <color rgb="FFF8696B"/>
        <color rgb="FFFFEB84"/>
        <color rgb="FF63BE7B"/>
      </colorScale>
    </cfRule>
  </conditionalFormatting>
  <conditionalFormatting sqref="W304:Y304">
    <cfRule type="cellIs" dxfId="911" priority="5532" operator="equal">
      <formula>5</formula>
    </cfRule>
    <cfRule type="cellIs" dxfId="910" priority="5533" operator="equal">
      <formula>4</formula>
    </cfRule>
    <cfRule type="cellIs" dxfId="909" priority="5534" operator="equal">
      <formula>1</formula>
    </cfRule>
    <cfRule type="cellIs" dxfId="908" priority="5535" operator="equal">
      <formula>3</formula>
    </cfRule>
    <cfRule type="cellIs" dxfId="907" priority="5536" operator="equal">
      <formula>2</formula>
    </cfRule>
    <cfRule type="colorScale" priority="5537">
      <colorScale>
        <cfvo type="min" val="0"/>
        <cfvo type="percentile" val="50"/>
        <cfvo type="max" val="0"/>
        <color rgb="FFF8696B"/>
        <color rgb="FFFFEB84"/>
        <color rgb="FF63BE7B"/>
      </colorScale>
    </cfRule>
    <cfRule type="colorScale" priority="5538">
      <colorScale>
        <cfvo type="num" val="1"/>
        <cfvo type="num" val="2"/>
        <cfvo type="num" val="3"/>
        <color rgb="FFF8696B"/>
        <color rgb="FFFFEB84"/>
        <color rgb="FF63BE7B"/>
      </colorScale>
    </cfRule>
    <cfRule type="colorScale" priority="5539">
      <colorScale>
        <cfvo type="num" val="1"/>
        <cfvo type="num" val="2"/>
        <cfvo type="num" val="3"/>
        <color rgb="FFF8696B"/>
        <color rgb="FFFFEB84"/>
        <color rgb="FF63BE7B"/>
      </colorScale>
    </cfRule>
    <cfRule type="colorScale" priority="5540">
      <colorScale>
        <cfvo type="num" val="1"/>
        <cfvo type="num" val="2"/>
        <cfvo type="num" val="3"/>
        <color rgb="FFF8696B"/>
        <color rgb="FFFFEB84"/>
        <color rgb="FF63BE7B"/>
      </colorScale>
    </cfRule>
    <cfRule type="colorScale" priority="5541">
      <colorScale>
        <cfvo type="num" val="1"/>
        <cfvo type="num" val="2"/>
        <cfvo type="num" val="3"/>
        <color rgb="FFF8696B"/>
        <color rgb="FFFFEB84"/>
        <color rgb="FF63BE7B"/>
      </colorScale>
    </cfRule>
    <cfRule type="colorScale" priority="5542">
      <colorScale>
        <cfvo type="num" val="1"/>
        <cfvo type="num" val="2"/>
        <cfvo type="num" val="3"/>
        <color rgb="FFF8696B"/>
        <color rgb="FFFFEB84"/>
        <color rgb="FF63BE7B"/>
      </colorScale>
    </cfRule>
    <cfRule type="colorScale" priority="5543">
      <colorScale>
        <cfvo type="num" val="1"/>
        <cfvo type="num" val="2"/>
        <cfvo type="num" val="3"/>
        <color rgb="FFF8696B"/>
        <color rgb="FFFFEB84"/>
        <color rgb="FF63BE7B"/>
      </colorScale>
    </cfRule>
  </conditionalFormatting>
  <conditionalFormatting sqref="AD304">
    <cfRule type="cellIs" dxfId="906" priority="5490" operator="equal">
      <formula>5</formula>
    </cfRule>
    <cfRule type="cellIs" dxfId="905" priority="5491" operator="equal">
      <formula>4</formula>
    </cfRule>
    <cfRule type="cellIs" dxfId="904" priority="5492" operator="equal">
      <formula>1</formula>
    </cfRule>
    <cfRule type="cellIs" dxfId="903" priority="5493" operator="equal">
      <formula>3</formula>
    </cfRule>
    <cfRule type="cellIs" dxfId="902" priority="5494" operator="equal">
      <formula>2</formula>
    </cfRule>
    <cfRule type="colorScale" priority="5495">
      <colorScale>
        <cfvo type="min" val="0"/>
        <cfvo type="percentile" val="50"/>
        <cfvo type="max" val="0"/>
        <color rgb="FFF8696B"/>
        <color rgb="FFFFEB84"/>
        <color rgb="FF63BE7B"/>
      </colorScale>
    </cfRule>
    <cfRule type="colorScale" priority="5496">
      <colorScale>
        <cfvo type="num" val="1"/>
        <cfvo type="num" val="2"/>
        <cfvo type="num" val="3"/>
        <color rgb="FFF8696B"/>
        <color rgb="FFFFEB84"/>
        <color rgb="FF63BE7B"/>
      </colorScale>
    </cfRule>
    <cfRule type="colorScale" priority="5497">
      <colorScale>
        <cfvo type="num" val="1"/>
        <cfvo type="num" val="2"/>
        <cfvo type="num" val="3"/>
        <color rgb="FFF8696B"/>
        <color rgb="FFFFEB84"/>
        <color rgb="FF63BE7B"/>
      </colorScale>
    </cfRule>
    <cfRule type="colorScale" priority="5498">
      <colorScale>
        <cfvo type="num" val="1"/>
        <cfvo type="num" val="2"/>
        <cfvo type="num" val="3"/>
        <color rgb="FFF8696B"/>
        <color rgb="FFFFEB84"/>
        <color rgb="FF63BE7B"/>
      </colorScale>
    </cfRule>
    <cfRule type="colorScale" priority="5499">
      <colorScale>
        <cfvo type="num" val="1"/>
        <cfvo type="num" val="2"/>
        <cfvo type="num" val="3"/>
        <color rgb="FFF8696B"/>
        <color rgb="FFFFEB84"/>
        <color rgb="FF63BE7B"/>
      </colorScale>
    </cfRule>
    <cfRule type="colorScale" priority="5500">
      <colorScale>
        <cfvo type="num" val="1"/>
        <cfvo type="num" val="2"/>
        <cfvo type="num" val="3"/>
        <color rgb="FFF8696B"/>
        <color rgb="FFFFEB84"/>
        <color rgb="FF63BE7B"/>
      </colorScale>
    </cfRule>
    <cfRule type="colorScale" priority="5501">
      <colorScale>
        <cfvo type="num" val="1"/>
        <cfvo type="num" val="2"/>
        <cfvo type="num" val="3"/>
        <color rgb="FFF8696B"/>
        <color rgb="FFFFEB84"/>
        <color rgb="FF63BE7B"/>
      </colorScale>
    </cfRule>
  </conditionalFormatting>
  <conditionalFormatting sqref="AB304">
    <cfRule type="cellIs" dxfId="901" priority="5439" operator="equal">
      <formula>5</formula>
    </cfRule>
    <cfRule type="cellIs" dxfId="900" priority="5440" operator="equal">
      <formula>4</formula>
    </cfRule>
    <cfRule type="cellIs" dxfId="899" priority="5441" operator="equal">
      <formula>1</formula>
    </cfRule>
    <cfRule type="cellIs" dxfId="898" priority="5442" operator="equal">
      <formula>3</formula>
    </cfRule>
    <cfRule type="cellIs" dxfId="897" priority="5443" operator="equal">
      <formula>2</formula>
    </cfRule>
    <cfRule type="colorScale" priority="5444">
      <colorScale>
        <cfvo type="min" val="0"/>
        <cfvo type="percentile" val="50"/>
        <cfvo type="max" val="0"/>
        <color rgb="FFF8696B"/>
        <color rgb="FFFFEB84"/>
        <color rgb="FF63BE7B"/>
      </colorScale>
    </cfRule>
    <cfRule type="colorScale" priority="5445">
      <colorScale>
        <cfvo type="num" val="1"/>
        <cfvo type="num" val="2"/>
        <cfvo type="num" val="3"/>
        <color rgb="FFF8696B"/>
        <color rgb="FFFFEB84"/>
        <color rgb="FF63BE7B"/>
      </colorScale>
    </cfRule>
    <cfRule type="colorScale" priority="5446">
      <colorScale>
        <cfvo type="num" val="1"/>
        <cfvo type="num" val="2"/>
        <cfvo type="num" val="3"/>
        <color rgb="FFF8696B"/>
        <color rgb="FFFFEB84"/>
        <color rgb="FF63BE7B"/>
      </colorScale>
    </cfRule>
  </conditionalFormatting>
  <conditionalFormatting sqref="AC304">
    <cfRule type="cellIs" dxfId="896" priority="5402" operator="equal">
      <formula>5</formula>
    </cfRule>
    <cfRule type="cellIs" dxfId="895" priority="5403" operator="equal">
      <formula>4</formula>
    </cfRule>
    <cfRule type="cellIs" dxfId="894" priority="5404" operator="equal">
      <formula>1</formula>
    </cfRule>
    <cfRule type="cellIs" dxfId="893" priority="5405" operator="equal">
      <formula>3</formula>
    </cfRule>
    <cfRule type="colorScale" priority="5406">
      <colorScale>
        <cfvo type="min" val="0"/>
        <cfvo type="percentile" val="50"/>
        <cfvo type="max" val="0"/>
        <color rgb="FFF8696B"/>
        <color rgb="FFFFEB84"/>
        <color rgb="FF63BE7B"/>
      </colorScale>
    </cfRule>
    <cfRule type="colorScale" priority="5407">
      <colorScale>
        <cfvo type="num" val="1"/>
        <cfvo type="num" val="2"/>
        <cfvo type="num" val="3"/>
        <color rgb="FFF8696B"/>
        <color rgb="FFFFEB84"/>
        <color rgb="FF63BE7B"/>
      </colorScale>
    </cfRule>
    <cfRule type="colorScale" priority="5408">
      <colorScale>
        <cfvo type="num" val="1"/>
        <cfvo type="num" val="2"/>
        <cfvo type="num" val="3"/>
        <color rgb="FFF8696B"/>
        <color rgb="FFFFEB84"/>
        <color rgb="FF63BE7B"/>
      </colorScale>
    </cfRule>
  </conditionalFormatting>
  <conditionalFormatting sqref="AD304">
    <cfRule type="cellIs" dxfId="892" priority="5391" operator="equal">
      <formula>5</formula>
    </cfRule>
    <cfRule type="cellIs" dxfId="891" priority="5392" operator="equal">
      <formula>4</formula>
    </cfRule>
    <cfRule type="cellIs" dxfId="890" priority="5393" operator="equal">
      <formula>1</formula>
    </cfRule>
    <cfRule type="cellIs" dxfId="889" priority="5394" operator="equal">
      <formula>3</formula>
    </cfRule>
    <cfRule type="colorScale" priority="5395">
      <colorScale>
        <cfvo type="min" val="0"/>
        <cfvo type="percentile" val="50"/>
        <cfvo type="max" val="0"/>
        <color rgb="FFF8696B"/>
        <color rgb="FFFFEB84"/>
        <color rgb="FF63BE7B"/>
      </colorScale>
    </cfRule>
    <cfRule type="colorScale" priority="5396">
      <colorScale>
        <cfvo type="num" val="1"/>
        <cfvo type="num" val="2"/>
        <cfvo type="num" val="3"/>
        <color rgb="FFF8696B"/>
        <color rgb="FFFFEB84"/>
        <color rgb="FF63BE7B"/>
      </colorScale>
    </cfRule>
    <cfRule type="colorScale" priority="5397">
      <colorScale>
        <cfvo type="num" val="1"/>
        <cfvo type="num" val="2"/>
        <cfvo type="num" val="3"/>
        <color rgb="FFF8696B"/>
        <color rgb="FFFFEB84"/>
        <color rgb="FF63BE7B"/>
      </colorScale>
    </cfRule>
    <cfRule type="colorScale" priority="5398">
      <colorScale>
        <cfvo type="num" val="1"/>
        <cfvo type="num" val="2"/>
        <cfvo type="num" val="3"/>
        <color rgb="FFF8696B"/>
        <color rgb="FFFFEB84"/>
        <color rgb="FF63BE7B"/>
      </colorScale>
    </cfRule>
    <cfRule type="colorScale" priority="5399">
      <colorScale>
        <cfvo type="num" val="1"/>
        <cfvo type="num" val="2"/>
        <cfvo type="num" val="3"/>
        <color rgb="FFF8696B"/>
        <color rgb="FFFFEB84"/>
        <color rgb="FF63BE7B"/>
      </colorScale>
    </cfRule>
    <cfRule type="colorScale" priority="5400">
      <colorScale>
        <cfvo type="num" val="1"/>
        <cfvo type="num" val="2"/>
        <cfvo type="num" val="3"/>
        <color rgb="FFF8696B"/>
        <color rgb="FFFFEB84"/>
        <color rgb="FF63BE7B"/>
      </colorScale>
    </cfRule>
    <cfRule type="colorScale" priority="5401">
      <colorScale>
        <cfvo type="num" val="1"/>
        <cfvo type="num" val="2"/>
        <cfvo type="num" val="3"/>
        <color rgb="FFF8696B"/>
        <color rgb="FFFFEB84"/>
        <color rgb="FF63BE7B"/>
      </colorScale>
    </cfRule>
  </conditionalFormatting>
  <conditionalFormatting sqref="AB304:AD304">
    <cfRule type="cellIs" dxfId="888" priority="5354" operator="equal">
      <formula>5</formula>
    </cfRule>
    <cfRule type="cellIs" dxfId="887" priority="5355" operator="equal">
      <formula>4</formula>
    </cfRule>
    <cfRule type="cellIs" dxfId="886" priority="5356" operator="equal">
      <formula>1</formula>
    </cfRule>
    <cfRule type="cellIs" dxfId="885" priority="5357" operator="equal">
      <formula>3</formula>
    </cfRule>
    <cfRule type="cellIs" dxfId="884" priority="5358" operator="equal">
      <formula>2</formula>
    </cfRule>
    <cfRule type="colorScale" priority="5359">
      <colorScale>
        <cfvo type="min" val="0"/>
        <cfvo type="percentile" val="50"/>
        <cfvo type="max" val="0"/>
        <color rgb="FFF8696B"/>
        <color rgb="FFFFEB84"/>
        <color rgb="FF63BE7B"/>
      </colorScale>
    </cfRule>
    <cfRule type="colorScale" priority="5360">
      <colorScale>
        <cfvo type="num" val="1"/>
        <cfvo type="num" val="2"/>
        <cfvo type="num" val="3"/>
        <color rgb="FFF8696B"/>
        <color rgb="FFFFEB84"/>
        <color rgb="FF63BE7B"/>
      </colorScale>
    </cfRule>
    <cfRule type="colorScale" priority="5361">
      <colorScale>
        <cfvo type="num" val="1"/>
        <cfvo type="num" val="2"/>
        <cfvo type="num" val="3"/>
        <color rgb="FFF8696B"/>
        <color rgb="FFFFEB84"/>
        <color rgb="FF63BE7B"/>
      </colorScale>
    </cfRule>
    <cfRule type="colorScale" priority="5362">
      <colorScale>
        <cfvo type="num" val="1"/>
        <cfvo type="num" val="2"/>
        <cfvo type="num" val="3"/>
        <color rgb="FFF8696B"/>
        <color rgb="FFFFEB84"/>
        <color rgb="FF63BE7B"/>
      </colorScale>
    </cfRule>
    <cfRule type="colorScale" priority="5363">
      <colorScale>
        <cfvo type="num" val="1"/>
        <cfvo type="num" val="2"/>
        <cfvo type="num" val="3"/>
        <color rgb="FFF8696B"/>
        <color rgb="FFFFEB84"/>
        <color rgb="FF63BE7B"/>
      </colorScale>
    </cfRule>
    <cfRule type="colorScale" priority="5364">
      <colorScale>
        <cfvo type="num" val="1"/>
        <cfvo type="num" val="2"/>
        <cfvo type="num" val="3"/>
        <color rgb="FFF8696B"/>
        <color rgb="FFFFEB84"/>
        <color rgb="FF63BE7B"/>
      </colorScale>
    </cfRule>
    <cfRule type="colorScale" priority="5365">
      <colorScale>
        <cfvo type="num" val="1"/>
        <cfvo type="num" val="2"/>
        <cfvo type="num" val="3"/>
        <color rgb="FFF8696B"/>
        <color rgb="FFFFEB84"/>
        <color rgb="FF63BE7B"/>
      </colorScale>
    </cfRule>
  </conditionalFormatting>
  <conditionalFormatting sqref="D306:F306">
    <cfRule type="cellIs" dxfId="883" priority="5341" operator="equal">
      <formula>5</formula>
    </cfRule>
    <cfRule type="cellIs" dxfId="882" priority="5342" operator="equal">
      <formula>4</formula>
    </cfRule>
    <cfRule type="cellIs" dxfId="881" priority="5343" operator="equal">
      <formula>1</formula>
    </cfRule>
    <cfRule type="cellIs" dxfId="880" priority="5344" operator="equal">
      <formula>3</formula>
    </cfRule>
    <cfRule type="cellIs" dxfId="879" priority="5345" operator="equal">
      <formula>2</formula>
    </cfRule>
    <cfRule type="colorScale" priority="5346">
      <colorScale>
        <cfvo type="min" val="0"/>
        <cfvo type="percentile" val="50"/>
        <cfvo type="max" val="0"/>
        <color rgb="FFF8696B"/>
        <color rgb="FFFFEB84"/>
        <color rgb="FF63BE7B"/>
      </colorScale>
    </cfRule>
    <cfRule type="colorScale" priority="5347">
      <colorScale>
        <cfvo type="num" val="1"/>
        <cfvo type="num" val="2"/>
        <cfvo type="num" val="3"/>
        <color rgb="FFF8696B"/>
        <color rgb="FFFFEB84"/>
        <color rgb="FF63BE7B"/>
      </colorScale>
    </cfRule>
    <cfRule type="colorScale" priority="5348">
      <colorScale>
        <cfvo type="num" val="1"/>
        <cfvo type="num" val="2"/>
        <cfvo type="num" val="3"/>
        <color rgb="FFF8696B"/>
        <color rgb="FFFFEB84"/>
        <color rgb="FF63BE7B"/>
      </colorScale>
    </cfRule>
    <cfRule type="colorScale" priority="5349">
      <colorScale>
        <cfvo type="num" val="1"/>
        <cfvo type="num" val="2"/>
        <cfvo type="num" val="3"/>
        <color rgb="FFF8696B"/>
        <color rgb="FFFFEB84"/>
        <color rgb="FF63BE7B"/>
      </colorScale>
    </cfRule>
    <cfRule type="colorScale" priority="5350">
      <colorScale>
        <cfvo type="num" val="1"/>
        <cfvo type="num" val="2"/>
        <cfvo type="num" val="3"/>
        <color rgb="FFF8696B"/>
        <color rgb="FFFFEB84"/>
        <color rgb="FF63BE7B"/>
      </colorScale>
    </cfRule>
    <cfRule type="colorScale" priority="5351">
      <colorScale>
        <cfvo type="num" val="1"/>
        <cfvo type="num" val="2"/>
        <cfvo type="num" val="3"/>
        <color rgb="FFF8696B"/>
        <color rgb="FFFFEB84"/>
        <color rgb="FF63BE7B"/>
      </colorScale>
    </cfRule>
    <cfRule type="colorScale" priority="5352">
      <colorScale>
        <cfvo type="num" val="1"/>
        <cfvo type="num" val="2"/>
        <cfvo type="num" val="3"/>
        <color rgb="FFF8696B"/>
        <color rgb="FFFFEB84"/>
        <color rgb="FF63BE7B"/>
      </colorScale>
    </cfRule>
  </conditionalFormatting>
  <conditionalFormatting sqref="K306">
    <cfRule type="cellIs" dxfId="878" priority="5318" operator="equal">
      <formula>5</formula>
    </cfRule>
    <cfRule type="cellIs" dxfId="877" priority="5319" operator="equal">
      <formula>4</formula>
    </cfRule>
    <cfRule type="cellIs" dxfId="876" priority="5320" operator="equal">
      <formula>1</formula>
    </cfRule>
    <cfRule type="cellIs" dxfId="875" priority="5321" operator="equal">
      <formula>3</formula>
    </cfRule>
    <cfRule type="colorScale" priority="5322">
      <colorScale>
        <cfvo type="min" val="0"/>
        <cfvo type="percentile" val="50"/>
        <cfvo type="max" val="0"/>
        <color rgb="FFF8696B"/>
        <color rgb="FFFFEB84"/>
        <color rgb="FF63BE7B"/>
      </colorScale>
    </cfRule>
    <cfRule type="colorScale" priority="5323">
      <colorScale>
        <cfvo type="num" val="1"/>
        <cfvo type="num" val="2"/>
        <cfvo type="num" val="3"/>
        <color rgb="FFF8696B"/>
        <color rgb="FFFFEB84"/>
        <color rgb="FF63BE7B"/>
      </colorScale>
    </cfRule>
    <cfRule type="colorScale" priority="5324">
      <colorScale>
        <cfvo type="num" val="1"/>
        <cfvo type="num" val="2"/>
        <cfvo type="num" val="3"/>
        <color rgb="FFF8696B"/>
        <color rgb="FFFFEB84"/>
        <color rgb="FF63BE7B"/>
      </colorScale>
    </cfRule>
    <cfRule type="colorScale" priority="5325">
      <colorScale>
        <cfvo type="num" val="1"/>
        <cfvo type="num" val="2"/>
        <cfvo type="num" val="3"/>
        <color rgb="FFF8696B"/>
        <color rgb="FFFFEB84"/>
        <color rgb="FF63BE7B"/>
      </colorScale>
    </cfRule>
    <cfRule type="colorScale" priority="5326">
      <colorScale>
        <cfvo type="num" val="1"/>
        <cfvo type="num" val="2"/>
        <cfvo type="num" val="3"/>
        <color rgb="FFF8696B"/>
        <color rgb="FFFFEB84"/>
        <color rgb="FF63BE7B"/>
      </colorScale>
    </cfRule>
    <cfRule type="colorScale" priority="5327">
      <colorScale>
        <cfvo type="num" val="1"/>
        <cfvo type="num" val="2"/>
        <cfvo type="num" val="3"/>
        <color rgb="FFF8696B"/>
        <color rgb="FFFFEB84"/>
        <color rgb="FF63BE7B"/>
      </colorScale>
    </cfRule>
    <cfRule type="colorScale" priority="5328">
      <colorScale>
        <cfvo type="num" val="1"/>
        <cfvo type="num" val="2"/>
        <cfvo type="num" val="3"/>
        <color rgb="FFF8696B"/>
        <color rgb="FFFFEB84"/>
        <color rgb="FF63BE7B"/>
      </colorScale>
    </cfRule>
  </conditionalFormatting>
  <conditionalFormatting sqref="I306:J306">
    <cfRule type="cellIs" dxfId="874" priority="5306" operator="equal">
      <formula>5</formula>
    </cfRule>
    <cfRule type="cellIs" dxfId="873" priority="5307" operator="equal">
      <formula>4</formula>
    </cfRule>
    <cfRule type="cellIs" dxfId="872" priority="5308" operator="equal">
      <formula>1</formula>
    </cfRule>
    <cfRule type="cellIs" dxfId="871" priority="5309" operator="equal">
      <formula>3</formula>
    </cfRule>
    <cfRule type="cellIs" dxfId="870" priority="5310" operator="equal">
      <formula>2</formula>
    </cfRule>
    <cfRule type="colorScale" priority="5311">
      <colorScale>
        <cfvo type="min" val="0"/>
        <cfvo type="percentile" val="50"/>
        <cfvo type="max" val="0"/>
        <color rgb="FFF8696B"/>
        <color rgb="FFFFEB84"/>
        <color rgb="FF63BE7B"/>
      </colorScale>
    </cfRule>
    <cfRule type="colorScale" priority="5312">
      <colorScale>
        <cfvo type="num" val="1"/>
        <cfvo type="num" val="2"/>
        <cfvo type="num" val="3"/>
        <color rgb="FFF8696B"/>
        <color rgb="FFFFEB84"/>
        <color rgb="FF63BE7B"/>
      </colorScale>
    </cfRule>
    <cfRule type="colorScale" priority="5313">
      <colorScale>
        <cfvo type="num" val="1"/>
        <cfvo type="num" val="2"/>
        <cfvo type="num" val="3"/>
        <color rgb="FFF8696B"/>
        <color rgb="FFFFEB84"/>
        <color rgb="FF63BE7B"/>
      </colorScale>
    </cfRule>
    <cfRule type="colorScale" priority="5314">
      <colorScale>
        <cfvo type="num" val="1"/>
        <cfvo type="num" val="2"/>
        <cfvo type="num" val="3"/>
        <color rgb="FFF8696B"/>
        <color rgb="FFFFEB84"/>
        <color rgb="FF63BE7B"/>
      </colorScale>
    </cfRule>
    <cfRule type="colorScale" priority="5315">
      <colorScale>
        <cfvo type="num" val="1"/>
        <cfvo type="num" val="2"/>
        <cfvo type="num" val="3"/>
        <color rgb="FFF8696B"/>
        <color rgb="FFFFEB84"/>
        <color rgb="FF63BE7B"/>
      </colorScale>
    </cfRule>
    <cfRule type="colorScale" priority="5316">
      <colorScale>
        <cfvo type="num" val="1"/>
        <cfvo type="num" val="2"/>
        <cfvo type="num" val="3"/>
        <color rgb="FFF8696B"/>
        <color rgb="FFFFEB84"/>
        <color rgb="FF63BE7B"/>
      </colorScale>
    </cfRule>
    <cfRule type="colorScale" priority="5317">
      <colorScale>
        <cfvo type="num" val="1"/>
        <cfvo type="num" val="2"/>
        <cfvo type="num" val="3"/>
        <color rgb="FFF8696B"/>
        <color rgb="FFFFEB84"/>
        <color rgb="FF63BE7B"/>
      </colorScale>
    </cfRule>
  </conditionalFormatting>
  <conditionalFormatting sqref="K306">
    <cfRule type="cellIs" dxfId="869" priority="5294" operator="equal">
      <formula>5</formula>
    </cfRule>
    <cfRule type="cellIs" dxfId="868" priority="5295" operator="equal">
      <formula>4</formula>
    </cfRule>
    <cfRule type="cellIs" dxfId="867" priority="5296" operator="equal">
      <formula>1</formula>
    </cfRule>
    <cfRule type="cellIs" dxfId="866" priority="5297" operator="equal">
      <formula>3</formula>
    </cfRule>
    <cfRule type="cellIs" dxfId="865" priority="5298" operator="equal">
      <formula>2</formula>
    </cfRule>
    <cfRule type="colorScale" priority="5299">
      <colorScale>
        <cfvo type="min" val="0"/>
        <cfvo type="percentile" val="50"/>
        <cfvo type="max" val="0"/>
        <color rgb="FFF8696B"/>
        <color rgb="FFFFEB84"/>
        <color rgb="FF63BE7B"/>
      </colorScale>
    </cfRule>
    <cfRule type="colorScale" priority="5300">
      <colorScale>
        <cfvo type="num" val="1"/>
        <cfvo type="num" val="2"/>
        <cfvo type="num" val="3"/>
        <color rgb="FFF8696B"/>
        <color rgb="FFFFEB84"/>
        <color rgb="FF63BE7B"/>
      </colorScale>
    </cfRule>
    <cfRule type="colorScale" priority="5301">
      <colorScale>
        <cfvo type="num" val="1"/>
        <cfvo type="num" val="2"/>
        <cfvo type="num" val="3"/>
        <color rgb="FFF8696B"/>
        <color rgb="FFFFEB84"/>
        <color rgb="FF63BE7B"/>
      </colorScale>
    </cfRule>
    <cfRule type="colorScale" priority="5302">
      <colorScale>
        <cfvo type="num" val="1"/>
        <cfvo type="num" val="2"/>
        <cfvo type="num" val="3"/>
        <color rgb="FFF8696B"/>
        <color rgb="FFFFEB84"/>
        <color rgb="FF63BE7B"/>
      </colorScale>
    </cfRule>
    <cfRule type="colorScale" priority="5303">
      <colorScale>
        <cfvo type="num" val="1"/>
        <cfvo type="num" val="2"/>
        <cfvo type="num" val="3"/>
        <color rgb="FFF8696B"/>
        <color rgb="FFFFEB84"/>
        <color rgb="FF63BE7B"/>
      </colorScale>
    </cfRule>
    <cfRule type="colorScale" priority="5304">
      <colorScale>
        <cfvo type="num" val="1"/>
        <cfvo type="num" val="2"/>
        <cfvo type="num" val="3"/>
        <color rgb="FFF8696B"/>
        <color rgb="FFFFEB84"/>
        <color rgb="FF63BE7B"/>
      </colorScale>
    </cfRule>
    <cfRule type="colorScale" priority="5305">
      <colorScale>
        <cfvo type="num" val="1"/>
        <cfvo type="num" val="2"/>
        <cfvo type="num" val="3"/>
        <color rgb="FFF8696B"/>
        <color rgb="FFFFEB84"/>
        <color rgb="FF63BE7B"/>
      </colorScale>
    </cfRule>
  </conditionalFormatting>
  <conditionalFormatting sqref="I306:K306">
    <cfRule type="cellIs" dxfId="864" priority="5281" operator="equal">
      <formula>5</formula>
    </cfRule>
    <cfRule type="cellIs" dxfId="863" priority="5282" operator="equal">
      <formula>4</formula>
    </cfRule>
    <cfRule type="cellIs" dxfId="862" priority="5283" operator="equal">
      <formula>1</formula>
    </cfRule>
    <cfRule type="cellIs" dxfId="861" priority="5284" operator="equal">
      <formula>3</formula>
    </cfRule>
    <cfRule type="cellIs" dxfId="860" priority="5285" operator="equal">
      <formula>2</formula>
    </cfRule>
    <cfRule type="colorScale" priority="5286">
      <colorScale>
        <cfvo type="min" val="0"/>
        <cfvo type="percentile" val="50"/>
        <cfvo type="max" val="0"/>
        <color rgb="FFF8696B"/>
        <color rgb="FFFFEB84"/>
        <color rgb="FF63BE7B"/>
      </colorScale>
    </cfRule>
    <cfRule type="colorScale" priority="5287">
      <colorScale>
        <cfvo type="num" val="1"/>
        <cfvo type="num" val="2"/>
        <cfvo type="num" val="3"/>
        <color rgb="FFF8696B"/>
        <color rgb="FFFFEB84"/>
        <color rgb="FF63BE7B"/>
      </colorScale>
    </cfRule>
    <cfRule type="colorScale" priority="5288">
      <colorScale>
        <cfvo type="num" val="1"/>
        <cfvo type="num" val="2"/>
        <cfvo type="num" val="3"/>
        <color rgb="FFF8696B"/>
        <color rgb="FFFFEB84"/>
        <color rgb="FF63BE7B"/>
      </colorScale>
    </cfRule>
    <cfRule type="colorScale" priority="5289">
      <colorScale>
        <cfvo type="num" val="1"/>
        <cfvo type="num" val="2"/>
        <cfvo type="num" val="3"/>
        <color rgb="FFF8696B"/>
        <color rgb="FFFFEB84"/>
        <color rgb="FF63BE7B"/>
      </colorScale>
    </cfRule>
    <cfRule type="colorScale" priority="5290">
      <colorScale>
        <cfvo type="num" val="1"/>
        <cfvo type="num" val="2"/>
        <cfvo type="num" val="3"/>
        <color rgb="FFF8696B"/>
        <color rgb="FFFFEB84"/>
        <color rgb="FF63BE7B"/>
      </colorScale>
    </cfRule>
    <cfRule type="colorScale" priority="5291">
      <colorScale>
        <cfvo type="num" val="1"/>
        <cfvo type="num" val="2"/>
        <cfvo type="num" val="3"/>
        <color rgb="FFF8696B"/>
        <color rgb="FFFFEB84"/>
        <color rgb="FF63BE7B"/>
      </colorScale>
    </cfRule>
    <cfRule type="colorScale" priority="5292">
      <colorScale>
        <cfvo type="num" val="1"/>
        <cfvo type="num" val="2"/>
        <cfvo type="num" val="3"/>
        <color rgb="FFF8696B"/>
        <color rgb="FFFFEB84"/>
        <color rgb="FF63BE7B"/>
      </colorScale>
    </cfRule>
  </conditionalFormatting>
  <conditionalFormatting sqref="N306">
    <cfRule type="cellIs" dxfId="859" priority="5271" operator="equal">
      <formula>5</formula>
    </cfRule>
    <cfRule type="cellIs" dxfId="858" priority="5272" operator="equal">
      <formula>4</formula>
    </cfRule>
    <cfRule type="cellIs" dxfId="857" priority="5273" operator="equal">
      <formula>1</formula>
    </cfRule>
    <cfRule type="cellIs" dxfId="856" priority="5274" operator="equal">
      <formula>3</formula>
    </cfRule>
    <cfRule type="cellIs" dxfId="855" priority="5275" operator="equal">
      <formula>2</formula>
    </cfRule>
    <cfRule type="colorScale" priority="5276">
      <colorScale>
        <cfvo type="min" val="0"/>
        <cfvo type="percentile" val="50"/>
        <cfvo type="max" val="0"/>
        <color rgb="FFF8696B"/>
        <color rgb="FFFFEB84"/>
        <color rgb="FF63BE7B"/>
      </colorScale>
    </cfRule>
    <cfRule type="colorScale" priority="5277">
      <colorScale>
        <cfvo type="num" val="1"/>
        <cfvo type="num" val="2"/>
        <cfvo type="num" val="3"/>
        <color rgb="FFF8696B"/>
        <color rgb="FFFFEB84"/>
        <color rgb="FF63BE7B"/>
      </colorScale>
    </cfRule>
    <cfRule type="colorScale" priority="5278">
      <colorScale>
        <cfvo type="num" val="1"/>
        <cfvo type="num" val="2"/>
        <cfvo type="num" val="3"/>
        <color rgb="FFF8696B"/>
        <color rgb="FFFFEB84"/>
        <color rgb="FF63BE7B"/>
      </colorScale>
    </cfRule>
  </conditionalFormatting>
  <conditionalFormatting sqref="N306:O306">
    <cfRule type="cellIs" dxfId="854" priority="5259" operator="equal">
      <formula>5</formula>
    </cfRule>
    <cfRule type="cellIs" dxfId="853" priority="5260" operator="equal">
      <formula>4</formula>
    </cfRule>
    <cfRule type="cellIs" dxfId="852" priority="5261" operator="equal">
      <formula>1</formula>
    </cfRule>
    <cfRule type="cellIs" dxfId="851" priority="5262" operator="equal">
      <formula>3</formula>
    </cfRule>
    <cfRule type="cellIs" dxfId="850" priority="5263" operator="equal">
      <formula>2</formula>
    </cfRule>
    <cfRule type="colorScale" priority="5264">
      <colorScale>
        <cfvo type="min" val="0"/>
        <cfvo type="percentile" val="50"/>
        <cfvo type="max" val="0"/>
        <color rgb="FFF8696B"/>
        <color rgb="FFFFEB84"/>
        <color rgb="FF63BE7B"/>
      </colorScale>
    </cfRule>
    <cfRule type="colorScale" priority="5265">
      <colorScale>
        <cfvo type="num" val="1"/>
        <cfvo type="num" val="2"/>
        <cfvo type="num" val="3"/>
        <color rgb="FFF8696B"/>
        <color rgb="FFFFEB84"/>
        <color rgb="FF63BE7B"/>
      </colorScale>
    </cfRule>
    <cfRule type="colorScale" priority="5266">
      <colorScale>
        <cfvo type="num" val="1"/>
        <cfvo type="num" val="2"/>
        <cfvo type="num" val="3"/>
        <color rgb="FFF8696B"/>
        <color rgb="FFFFEB84"/>
        <color rgb="FF63BE7B"/>
      </colorScale>
    </cfRule>
    <cfRule type="colorScale" priority="5267">
      <colorScale>
        <cfvo type="num" val="1"/>
        <cfvo type="num" val="2"/>
        <cfvo type="num" val="3"/>
        <color rgb="FFF8696B"/>
        <color rgb="FFFFEB84"/>
        <color rgb="FF63BE7B"/>
      </colorScale>
    </cfRule>
    <cfRule type="colorScale" priority="5268">
      <colorScale>
        <cfvo type="num" val="1"/>
        <cfvo type="num" val="2"/>
        <cfvo type="num" val="3"/>
        <color rgb="FFF8696B"/>
        <color rgb="FFFFEB84"/>
        <color rgb="FF63BE7B"/>
      </colorScale>
    </cfRule>
    <cfRule type="colorScale" priority="5269">
      <colorScale>
        <cfvo type="num" val="1"/>
        <cfvo type="num" val="2"/>
        <cfvo type="num" val="3"/>
        <color rgb="FFF8696B"/>
        <color rgb="FFFFEB84"/>
        <color rgb="FF63BE7B"/>
      </colorScale>
    </cfRule>
    <cfRule type="colorScale" priority="5270">
      <colorScale>
        <cfvo type="num" val="1"/>
        <cfvo type="num" val="2"/>
        <cfvo type="num" val="3"/>
        <color rgb="FFF8696B"/>
        <color rgb="FFFFEB84"/>
        <color rgb="FF63BE7B"/>
      </colorScale>
    </cfRule>
  </conditionalFormatting>
  <conditionalFormatting sqref="P306">
    <cfRule type="cellIs" dxfId="849" priority="5247" operator="equal">
      <formula>5</formula>
    </cfRule>
    <cfRule type="cellIs" dxfId="848" priority="5248" operator="equal">
      <formula>4</formula>
    </cfRule>
    <cfRule type="cellIs" dxfId="847" priority="5249" operator="equal">
      <formula>1</formula>
    </cfRule>
    <cfRule type="cellIs" dxfId="846" priority="5250" operator="equal">
      <formula>3</formula>
    </cfRule>
    <cfRule type="cellIs" dxfId="845" priority="5251" operator="equal">
      <formula>2</formula>
    </cfRule>
    <cfRule type="colorScale" priority="5252">
      <colorScale>
        <cfvo type="min" val="0"/>
        <cfvo type="percentile" val="50"/>
        <cfvo type="max" val="0"/>
        <color rgb="FFF8696B"/>
        <color rgb="FFFFEB84"/>
        <color rgb="FF63BE7B"/>
      </colorScale>
    </cfRule>
    <cfRule type="colorScale" priority="5253">
      <colorScale>
        <cfvo type="num" val="1"/>
        <cfvo type="num" val="2"/>
        <cfvo type="num" val="3"/>
        <color rgb="FFF8696B"/>
        <color rgb="FFFFEB84"/>
        <color rgb="FF63BE7B"/>
      </colorScale>
    </cfRule>
    <cfRule type="colorScale" priority="5254">
      <colorScale>
        <cfvo type="num" val="1"/>
        <cfvo type="num" val="2"/>
        <cfvo type="num" val="3"/>
        <color rgb="FFF8696B"/>
        <color rgb="FFFFEB84"/>
        <color rgb="FF63BE7B"/>
      </colorScale>
    </cfRule>
    <cfRule type="colorScale" priority="5255">
      <colorScale>
        <cfvo type="num" val="1"/>
        <cfvo type="num" val="2"/>
        <cfvo type="num" val="3"/>
        <color rgb="FFF8696B"/>
        <color rgb="FFFFEB84"/>
        <color rgb="FF63BE7B"/>
      </colorScale>
    </cfRule>
    <cfRule type="colorScale" priority="5256">
      <colorScale>
        <cfvo type="num" val="1"/>
        <cfvo type="num" val="2"/>
        <cfvo type="num" val="3"/>
        <color rgb="FFF8696B"/>
        <color rgb="FFFFEB84"/>
        <color rgb="FF63BE7B"/>
      </colorScale>
    </cfRule>
    <cfRule type="colorScale" priority="5257">
      <colorScale>
        <cfvo type="num" val="1"/>
        <cfvo type="num" val="2"/>
        <cfvo type="num" val="3"/>
        <color rgb="FFF8696B"/>
        <color rgb="FFFFEB84"/>
        <color rgb="FF63BE7B"/>
      </colorScale>
    </cfRule>
    <cfRule type="colorScale" priority="5258">
      <colorScale>
        <cfvo type="num" val="1"/>
        <cfvo type="num" val="2"/>
        <cfvo type="num" val="3"/>
        <color rgb="FFF8696B"/>
        <color rgb="FFFFEB84"/>
        <color rgb="FF63BE7B"/>
      </colorScale>
    </cfRule>
  </conditionalFormatting>
  <conditionalFormatting sqref="P306">
    <cfRule type="cellIs" dxfId="844" priority="5223" operator="equal">
      <formula>5</formula>
    </cfRule>
    <cfRule type="cellIs" dxfId="843" priority="5224" operator="equal">
      <formula>4</formula>
    </cfRule>
    <cfRule type="cellIs" dxfId="842" priority="5225" operator="equal">
      <formula>1</formula>
    </cfRule>
    <cfRule type="cellIs" dxfId="841" priority="5226" operator="equal">
      <formula>3</formula>
    </cfRule>
    <cfRule type="colorScale" priority="5227">
      <colorScale>
        <cfvo type="min" val="0"/>
        <cfvo type="percentile" val="50"/>
        <cfvo type="max" val="0"/>
        <color rgb="FFF8696B"/>
        <color rgb="FFFFEB84"/>
        <color rgb="FF63BE7B"/>
      </colorScale>
    </cfRule>
    <cfRule type="colorScale" priority="5228">
      <colorScale>
        <cfvo type="num" val="1"/>
        <cfvo type="num" val="2"/>
        <cfvo type="num" val="3"/>
        <color rgb="FFF8696B"/>
        <color rgb="FFFFEB84"/>
        <color rgb="FF63BE7B"/>
      </colorScale>
    </cfRule>
    <cfRule type="colorScale" priority="5229">
      <colorScale>
        <cfvo type="num" val="1"/>
        <cfvo type="num" val="2"/>
        <cfvo type="num" val="3"/>
        <color rgb="FFF8696B"/>
        <color rgb="FFFFEB84"/>
        <color rgb="FF63BE7B"/>
      </colorScale>
    </cfRule>
    <cfRule type="colorScale" priority="5230">
      <colorScale>
        <cfvo type="num" val="1"/>
        <cfvo type="num" val="2"/>
        <cfvo type="num" val="3"/>
        <color rgb="FFF8696B"/>
        <color rgb="FFFFEB84"/>
        <color rgb="FF63BE7B"/>
      </colorScale>
    </cfRule>
    <cfRule type="colorScale" priority="5231">
      <colorScale>
        <cfvo type="num" val="1"/>
        <cfvo type="num" val="2"/>
        <cfvo type="num" val="3"/>
        <color rgb="FFF8696B"/>
        <color rgb="FFFFEB84"/>
        <color rgb="FF63BE7B"/>
      </colorScale>
    </cfRule>
    <cfRule type="colorScale" priority="5232">
      <colorScale>
        <cfvo type="num" val="1"/>
        <cfvo type="num" val="2"/>
        <cfvo type="num" val="3"/>
        <color rgb="FFF8696B"/>
        <color rgb="FFFFEB84"/>
        <color rgb="FF63BE7B"/>
      </colorScale>
    </cfRule>
    <cfRule type="colorScale" priority="5233">
      <colorScale>
        <cfvo type="num" val="1"/>
        <cfvo type="num" val="2"/>
        <cfvo type="num" val="3"/>
        <color rgb="FFF8696B"/>
        <color rgb="FFFFEB84"/>
        <color rgb="FF63BE7B"/>
      </colorScale>
    </cfRule>
  </conditionalFormatting>
  <conditionalFormatting sqref="N306:P306">
    <cfRule type="cellIs" dxfId="840" priority="5186" operator="equal">
      <formula>5</formula>
    </cfRule>
    <cfRule type="cellIs" dxfId="839" priority="5187" operator="equal">
      <formula>4</formula>
    </cfRule>
    <cfRule type="cellIs" dxfId="838" priority="5188" operator="equal">
      <formula>1</formula>
    </cfRule>
    <cfRule type="cellIs" dxfId="837" priority="5189" operator="equal">
      <formula>3</formula>
    </cfRule>
    <cfRule type="cellIs" dxfId="836" priority="5190" operator="equal">
      <formula>2</formula>
    </cfRule>
    <cfRule type="colorScale" priority="5191">
      <colorScale>
        <cfvo type="min" val="0"/>
        <cfvo type="percentile" val="50"/>
        <cfvo type="max" val="0"/>
        <color rgb="FFF8696B"/>
        <color rgb="FFFFEB84"/>
        <color rgb="FF63BE7B"/>
      </colorScale>
    </cfRule>
    <cfRule type="colorScale" priority="5192">
      <colorScale>
        <cfvo type="num" val="1"/>
        <cfvo type="num" val="2"/>
        <cfvo type="num" val="3"/>
        <color rgb="FFF8696B"/>
        <color rgb="FFFFEB84"/>
        <color rgb="FF63BE7B"/>
      </colorScale>
    </cfRule>
    <cfRule type="colorScale" priority="5193">
      <colorScale>
        <cfvo type="num" val="1"/>
        <cfvo type="num" val="2"/>
        <cfvo type="num" val="3"/>
        <color rgb="FFF8696B"/>
        <color rgb="FFFFEB84"/>
        <color rgb="FF63BE7B"/>
      </colorScale>
    </cfRule>
    <cfRule type="colorScale" priority="5194">
      <colorScale>
        <cfvo type="num" val="1"/>
        <cfvo type="num" val="2"/>
        <cfvo type="num" val="3"/>
        <color rgb="FFF8696B"/>
        <color rgb="FFFFEB84"/>
        <color rgb="FF63BE7B"/>
      </colorScale>
    </cfRule>
    <cfRule type="colorScale" priority="5195">
      <colorScale>
        <cfvo type="num" val="1"/>
        <cfvo type="num" val="2"/>
        <cfvo type="num" val="3"/>
        <color rgb="FFF8696B"/>
        <color rgb="FFFFEB84"/>
        <color rgb="FF63BE7B"/>
      </colorScale>
    </cfRule>
    <cfRule type="colorScale" priority="5196">
      <colorScale>
        <cfvo type="num" val="1"/>
        <cfvo type="num" val="2"/>
        <cfvo type="num" val="3"/>
        <color rgb="FFF8696B"/>
        <color rgb="FFFFEB84"/>
        <color rgb="FF63BE7B"/>
      </colorScale>
    </cfRule>
    <cfRule type="colorScale" priority="5197">
      <colorScale>
        <cfvo type="num" val="1"/>
        <cfvo type="num" val="2"/>
        <cfvo type="num" val="3"/>
        <color rgb="FFF8696B"/>
        <color rgb="FFFFEB84"/>
        <color rgb="FF63BE7B"/>
      </colorScale>
    </cfRule>
  </conditionalFormatting>
  <conditionalFormatting sqref="S306:T306">
    <cfRule type="cellIs" dxfId="835" priority="5158" operator="equal">
      <formula>5</formula>
    </cfRule>
    <cfRule type="cellIs" dxfId="834" priority="5159" operator="equal">
      <formula>4</formula>
    </cfRule>
    <cfRule type="cellIs" dxfId="833" priority="5160" operator="equal">
      <formula>1</formula>
    </cfRule>
    <cfRule type="cellIs" dxfId="832" priority="5161" operator="equal">
      <formula>3</formula>
    </cfRule>
    <cfRule type="cellIs" dxfId="831" priority="5162" operator="equal">
      <formula>2</formula>
    </cfRule>
    <cfRule type="colorScale" priority="5163">
      <colorScale>
        <cfvo type="min" val="0"/>
        <cfvo type="percentile" val="50"/>
        <cfvo type="max" val="0"/>
        <color rgb="FFF8696B"/>
        <color rgb="FFFFEB84"/>
        <color rgb="FF63BE7B"/>
      </colorScale>
    </cfRule>
    <cfRule type="colorScale" priority="5164">
      <colorScale>
        <cfvo type="num" val="1"/>
        <cfvo type="num" val="2"/>
        <cfvo type="num" val="3"/>
        <color rgb="FFF8696B"/>
        <color rgb="FFFFEB84"/>
        <color rgb="FF63BE7B"/>
      </colorScale>
    </cfRule>
    <cfRule type="colorScale" priority="5165">
      <colorScale>
        <cfvo type="num" val="1"/>
        <cfvo type="num" val="2"/>
        <cfvo type="num" val="3"/>
        <color rgb="FFF8696B"/>
        <color rgb="FFFFEB84"/>
        <color rgb="FF63BE7B"/>
      </colorScale>
    </cfRule>
    <cfRule type="colorScale" priority="5166">
      <colorScale>
        <cfvo type="num" val="1"/>
        <cfvo type="num" val="2"/>
        <cfvo type="num" val="3"/>
        <color rgb="FFF8696B"/>
        <color rgb="FFFFEB84"/>
        <color rgb="FF63BE7B"/>
      </colorScale>
    </cfRule>
    <cfRule type="colorScale" priority="5167">
      <colorScale>
        <cfvo type="num" val="1"/>
        <cfvo type="num" val="2"/>
        <cfvo type="num" val="3"/>
        <color rgb="FFF8696B"/>
        <color rgb="FFFFEB84"/>
        <color rgb="FF63BE7B"/>
      </colorScale>
    </cfRule>
    <cfRule type="colorScale" priority="5168">
      <colorScale>
        <cfvo type="num" val="1"/>
        <cfvo type="num" val="2"/>
        <cfvo type="num" val="3"/>
        <color rgb="FFF8696B"/>
        <color rgb="FFFFEB84"/>
        <color rgb="FF63BE7B"/>
      </colorScale>
    </cfRule>
    <cfRule type="colorScale" priority="5169">
      <colorScale>
        <cfvo type="num" val="1"/>
        <cfvo type="num" val="2"/>
        <cfvo type="num" val="3"/>
        <color rgb="FFF8696B"/>
        <color rgb="FFFFEB84"/>
        <color rgb="FF63BE7B"/>
      </colorScale>
    </cfRule>
  </conditionalFormatting>
  <conditionalFormatting sqref="U306">
    <cfRule type="cellIs" dxfId="830" priority="5146" operator="equal">
      <formula>5</formula>
    </cfRule>
    <cfRule type="cellIs" dxfId="829" priority="5147" operator="equal">
      <formula>4</formula>
    </cfRule>
    <cfRule type="cellIs" dxfId="828" priority="5148" operator="equal">
      <formula>1</formula>
    </cfRule>
    <cfRule type="cellIs" dxfId="827" priority="5149" operator="equal">
      <formula>3</formula>
    </cfRule>
    <cfRule type="cellIs" dxfId="826" priority="5150" operator="equal">
      <formula>2</formula>
    </cfRule>
    <cfRule type="colorScale" priority="5151">
      <colorScale>
        <cfvo type="min" val="0"/>
        <cfvo type="percentile" val="50"/>
        <cfvo type="max" val="0"/>
        <color rgb="FFF8696B"/>
        <color rgb="FFFFEB84"/>
        <color rgb="FF63BE7B"/>
      </colorScale>
    </cfRule>
    <cfRule type="colorScale" priority="5152">
      <colorScale>
        <cfvo type="num" val="1"/>
        <cfvo type="num" val="2"/>
        <cfvo type="num" val="3"/>
        <color rgb="FFF8696B"/>
        <color rgb="FFFFEB84"/>
        <color rgb="FF63BE7B"/>
      </colorScale>
    </cfRule>
    <cfRule type="colorScale" priority="5153">
      <colorScale>
        <cfvo type="num" val="1"/>
        <cfvo type="num" val="2"/>
        <cfvo type="num" val="3"/>
        <color rgb="FFF8696B"/>
        <color rgb="FFFFEB84"/>
        <color rgb="FF63BE7B"/>
      </colorScale>
    </cfRule>
    <cfRule type="colorScale" priority="5154">
      <colorScale>
        <cfvo type="num" val="1"/>
        <cfvo type="num" val="2"/>
        <cfvo type="num" val="3"/>
        <color rgb="FFF8696B"/>
        <color rgb="FFFFEB84"/>
        <color rgb="FF63BE7B"/>
      </colorScale>
    </cfRule>
    <cfRule type="colorScale" priority="5155">
      <colorScale>
        <cfvo type="num" val="1"/>
        <cfvo type="num" val="2"/>
        <cfvo type="num" val="3"/>
        <color rgb="FFF8696B"/>
        <color rgb="FFFFEB84"/>
        <color rgb="FF63BE7B"/>
      </colorScale>
    </cfRule>
    <cfRule type="colorScale" priority="5156">
      <colorScale>
        <cfvo type="num" val="1"/>
        <cfvo type="num" val="2"/>
        <cfvo type="num" val="3"/>
        <color rgb="FFF8696B"/>
        <color rgb="FFFFEB84"/>
        <color rgb="FF63BE7B"/>
      </colorScale>
    </cfRule>
    <cfRule type="colorScale" priority="5157">
      <colorScale>
        <cfvo type="num" val="1"/>
        <cfvo type="num" val="2"/>
        <cfvo type="num" val="3"/>
        <color rgb="FFF8696B"/>
        <color rgb="FFFFEB84"/>
        <color rgb="FF63BE7B"/>
      </colorScale>
    </cfRule>
  </conditionalFormatting>
  <conditionalFormatting sqref="S306">
    <cfRule type="cellIs" dxfId="825" priority="5135" operator="equal">
      <formula>5</formula>
    </cfRule>
    <cfRule type="cellIs" dxfId="824" priority="5136" operator="equal">
      <formula>4</formula>
    </cfRule>
    <cfRule type="cellIs" dxfId="823" priority="5137" operator="equal">
      <formula>1</formula>
    </cfRule>
    <cfRule type="cellIs" dxfId="822" priority="5138" operator="equal">
      <formula>3</formula>
    </cfRule>
    <cfRule type="cellIs" dxfId="821" priority="5139" operator="equal">
      <formula>2</formula>
    </cfRule>
    <cfRule type="colorScale" priority="5140">
      <colorScale>
        <cfvo type="min" val="0"/>
        <cfvo type="percentile" val="50"/>
        <cfvo type="max" val="0"/>
        <color rgb="FFF8696B"/>
        <color rgb="FFFFEB84"/>
        <color rgb="FF63BE7B"/>
      </colorScale>
    </cfRule>
    <cfRule type="colorScale" priority="5141">
      <colorScale>
        <cfvo type="num" val="1"/>
        <cfvo type="num" val="2"/>
        <cfvo type="num" val="3"/>
        <color rgb="FFF8696B"/>
        <color rgb="FFFFEB84"/>
        <color rgb="FF63BE7B"/>
      </colorScale>
    </cfRule>
    <cfRule type="colorScale" priority="5142">
      <colorScale>
        <cfvo type="num" val="1"/>
        <cfvo type="num" val="2"/>
        <cfvo type="num" val="3"/>
        <color rgb="FFF8696B"/>
        <color rgb="FFFFEB84"/>
        <color rgb="FF63BE7B"/>
      </colorScale>
    </cfRule>
  </conditionalFormatting>
  <conditionalFormatting sqref="U306">
    <cfRule type="cellIs" dxfId="820" priority="5087" operator="equal">
      <formula>5</formula>
    </cfRule>
    <cfRule type="cellIs" dxfId="819" priority="5088" operator="equal">
      <formula>4</formula>
    </cfRule>
    <cfRule type="cellIs" dxfId="818" priority="5089" operator="equal">
      <formula>1</formula>
    </cfRule>
    <cfRule type="cellIs" dxfId="817" priority="5090" operator="equal">
      <formula>3</formula>
    </cfRule>
    <cfRule type="colorScale" priority="5091">
      <colorScale>
        <cfvo type="min" val="0"/>
        <cfvo type="percentile" val="50"/>
        <cfvo type="max" val="0"/>
        <color rgb="FFF8696B"/>
        <color rgb="FFFFEB84"/>
        <color rgb="FF63BE7B"/>
      </colorScale>
    </cfRule>
    <cfRule type="colorScale" priority="5092">
      <colorScale>
        <cfvo type="num" val="1"/>
        <cfvo type="num" val="2"/>
        <cfvo type="num" val="3"/>
        <color rgb="FFF8696B"/>
        <color rgb="FFFFEB84"/>
        <color rgb="FF63BE7B"/>
      </colorScale>
    </cfRule>
    <cfRule type="colorScale" priority="5093">
      <colorScale>
        <cfvo type="num" val="1"/>
        <cfvo type="num" val="2"/>
        <cfvo type="num" val="3"/>
        <color rgb="FFF8696B"/>
        <color rgb="FFFFEB84"/>
        <color rgb="FF63BE7B"/>
      </colorScale>
    </cfRule>
    <cfRule type="colorScale" priority="5094">
      <colorScale>
        <cfvo type="num" val="1"/>
        <cfvo type="num" val="2"/>
        <cfvo type="num" val="3"/>
        <color rgb="FFF8696B"/>
        <color rgb="FFFFEB84"/>
        <color rgb="FF63BE7B"/>
      </colorScale>
    </cfRule>
    <cfRule type="colorScale" priority="5095">
      <colorScale>
        <cfvo type="num" val="1"/>
        <cfvo type="num" val="2"/>
        <cfvo type="num" val="3"/>
        <color rgb="FFF8696B"/>
        <color rgb="FFFFEB84"/>
        <color rgb="FF63BE7B"/>
      </colorScale>
    </cfRule>
    <cfRule type="colorScale" priority="5096">
      <colorScale>
        <cfvo type="num" val="1"/>
        <cfvo type="num" val="2"/>
        <cfvo type="num" val="3"/>
        <color rgb="FFF8696B"/>
        <color rgb="FFFFEB84"/>
        <color rgb="FF63BE7B"/>
      </colorScale>
    </cfRule>
    <cfRule type="colorScale" priority="5097">
      <colorScale>
        <cfvo type="num" val="1"/>
        <cfvo type="num" val="2"/>
        <cfvo type="num" val="3"/>
        <color rgb="FFF8696B"/>
        <color rgb="FFFFEB84"/>
        <color rgb="FF63BE7B"/>
      </colorScale>
    </cfRule>
  </conditionalFormatting>
  <conditionalFormatting sqref="S306:U306">
    <cfRule type="cellIs" dxfId="816" priority="5050" operator="equal">
      <formula>5</formula>
    </cfRule>
    <cfRule type="cellIs" dxfId="815" priority="5051" operator="equal">
      <formula>4</formula>
    </cfRule>
    <cfRule type="cellIs" dxfId="814" priority="5052" operator="equal">
      <formula>1</formula>
    </cfRule>
    <cfRule type="cellIs" dxfId="813" priority="5053" operator="equal">
      <formula>3</formula>
    </cfRule>
    <cfRule type="cellIs" dxfId="812" priority="5054" operator="equal">
      <formula>2</formula>
    </cfRule>
    <cfRule type="colorScale" priority="5055">
      <colorScale>
        <cfvo type="min" val="0"/>
        <cfvo type="percentile" val="50"/>
        <cfvo type="max" val="0"/>
        <color rgb="FFF8696B"/>
        <color rgb="FFFFEB84"/>
        <color rgb="FF63BE7B"/>
      </colorScale>
    </cfRule>
    <cfRule type="colorScale" priority="5056">
      <colorScale>
        <cfvo type="num" val="1"/>
        <cfvo type="num" val="2"/>
        <cfvo type="num" val="3"/>
        <color rgb="FFF8696B"/>
        <color rgb="FFFFEB84"/>
        <color rgb="FF63BE7B"/>
      </colorScale>
    </cfRule>
    <cfRule type="colorScale" priority="5057">
      <colorScale>
        <cfvo type="num" val="1"/>
        <cfvo type="num" val="2"/>
        <cfvo type="num" val="3"/>
        <color rgb="FFF8696B"/>
        <color rgb="FFFFEB84"/>
        <color rgb="FF63BE7B"/>
      </colorScale>
    </cfRule>
    <cfRule type="colorScale" priority="5058">
      <colorScale>
        <cfvo type="num" val="1"/>
        <cfvo type="num" val="2"/>
        <cfvo type="num" val="3"/>
        <color rgb="FFF8696B"/>
        <color rgb="FFFFEB84"/>
        <color rgb="FF63BE7B"/>
      </colorScale>
    </cfRule>
    <cfRule type="colorScale" priority="5059">
      <colorScale>
        <cfvo type="num" val="1"/>
        <cfvo type="num" val="2"/>
        <cfvo type="num" val="3"/>
        <color rgb="FFF8696B"/>
        <color rgb="FFFFEB84"/>
        <color rgb="FF63BE7B"/>
      </colorScale>
    </cfRule>
    <cfRule type="colorScale" priority="5060">
      <colorScale>
        <cfvo type="num" val="1"/>
        <cfvo type="num" val="2"/>
        <cfvo type="num" val="3"/>
        <color rgb="FFF8696B"/>
        <color rgb="FFFFEB84"/>
        <color rgb="FF63BE7B"/>
      </colorScale>
    </cfRule>
    <cfRule type="colorScale" priority="5061">
      <colorScale>
        <cfvo type="num" val="1"/>
        <cfvo type="num" val="2"/>
        <cfvo type="num" val="3"/>
        <color rgb="FFF8696B"/>
        <color rgb="FFFFEB84"/>
        <color rgb="FF63BE7B"/>
      </colorScale>
    </cfRule>
  </conditionalFormatting>
  <conditionalFormatting sqref="X306:Y306">
    <cfRule type="cellIs" dxfId="811" priority="5020" operator="equal">
      <formula>5</formula>
    </cfRule>
    <cfRule type="cellIs" dxfId="810" priority="5021" operator="equal">
      <formula>4</formula>
    </cfRule>
    <cfRule type="cellIs" dxfId="809" priority="5022" operator="equal">
      <formula>1</formula>
    </cfRule>
    <cfRule type="cellIs" dxfId="808" priority="5023" operator="equal">
      <formula>3</formula>
    </cfRule>
    <cfRule type="cellIs" dxfId="807" priority="5024" operator="equal">
      <formula>2</formula>
    </cfRule>
    <cfRule type="colorScale" priority="5025">
      <colorScale>
        <cfvo type="min" val="0"/>
        <cfvo type="percentile" val="50"/>
        <cfvo type="max" val="0"/>
        <color rgb="FFF8696B"/>
        <color rgb="FFFFEB84"/>
        <color rgb="FF63BE7B"/>
      </colorScale>
    </cfRule>
    <cfRule type="colorScale" priority="5026">
      <colorScale>
        <cfvo type="num" val="1"/>
        <cfvo type="num" val="2"/>
        <cfvo type="num" val="3"/>
        <color rgb="FFF8696B"/>
        <color rgb="FFFFEB84"/>
        <color rgb="FF63BE7B"/>
      </colorScale>
    </cfRule>
    <cfRule type="colorScale" priority="5027">
      <colorScale>
        <cfvo type="num" val="1"/>
        <cfvo type="num" val="2"/>
        <cfvo type="num" val="3"/>
        <color rgb="FFF8696B"/>
        <color rgb="FFFFEB84"/>
        <color rgb="FF63BE7B"/>
      </colorScale>
    </cfRule>
    <cfRule type="colorScale" priority="5028">
      <colorScale>
        <cfvo type="num" val="1"/>
        <cfvo type="num" val="2"/>
        <cfvo type="num" val="3"/>
        <color rgb="FFF8696B"/>
        <color rgb="FFFFEB84"/>
        <color rgb="FF63BE7B"/>
      </colorScale>
    </cfRule>
    <cfRule type="colorScale" priority="5029">
      <colorScale>
        <cfvo type="num" val="1"/>
        <cfvo type="num" val="2"/>
        <cfvo type="num" val="3"/>
        <color rgb="FFF8696B"/>
        <color rgb="FFFFEB84"/>
        <color rgb="FF63BE7B"/>
      </colorScale>
    </cfRule>
    <cfRule type="colorScale" priority="5030">
      <colorScale>
        <cfvo type="num" val="1"/>
        <cfvo type="num" val="2"/>
        <cfvo type="num" val="3"/>
        <color rgb="FFF8696B"/>
        <color rgb="FFFFEB84"/>
        <color rgb="FF63BE7B"/>
      </colorScale>
    </cfRule>
    <cfRule type="colorScale" priority="5031">
      <colorScale>
        <cfvo type="num" val="1"/>
        <cfvo type="num" val="2"/>
        <cfvo type="num" val="3"/>
        <color rgb="FFF8696B"/>
        <color rgb="FFFFEB84"/>
        <color rgb="FF63BE7B"/>
      </colorScale>
    </cfRule>
  </conditionalFormatting>
  <conditionalFormatting sqref="Z306">
    <cfRule type="cellIs" dxfId="806" priority="5008" operator="equal">
      <formula>5</formula>
    </cfRule>
    <cfRule type="cellIs" dxfId="805" priority="5009" operator="equal">
      <formula>4</formula>
    </cfRule>
    <cfRule type="cellIs" dxfId="804" priority="5010" operator="equal">
      <formula>1</formula>
    </cfRule>
    <cfRule type="cellIs" dxfId="803" priority="5011" operator="equal">
      <formula>3</formula>
    </cfRule>
    <cfRule type="cellIs" dxfId="802" priority="5012" operator="equal">
      <formula>2</formula>
    </cfRule>
    <cfRule type="colorScale" priority="5013">
      <colorScale>
        <cfvo type="min" val="0"/>
        <cfvo type="percentile" val="50"/>
        <cfvo type="max" val="0"/>
        <color rgb="FFF8696B"/>
        <color rgb="FFFFEB84"/>
        <color rgb="FF63BE7B"/>
      </colorScale>
    </cfRule>
    <cfRule type="colorScale" priority="5014">
      <colorScale>
        <cfvo type="num" val="1"/>
        <cfvo type="num" val="2"/>
        <cfvo type="num" val="3"/>
        <color rgb="FFF8696B"/>
        <color rgb="FFFFEB84"/>
        <color rgb="FF63BE7B"/>
      </colorScale>
    </cfRule>
    <cfRule type="colorScale" priority="5015">
      <colorScale>
        <cfvo type="num" val="1"/>
        <cfvo type="num" val="2"/>
        <cfvo type="num" val="3"/>
        <color rgb="FFF8696B"/>
        <color rgb="FFFFEB84"/>
        <color rgb="FF63BE7B"/>
      </colorScale>
    </cfRule>
    <cfRule type="colorScale" priority="5016">
      <colorScale>
        <cfvo type="num" val="1"/>
        <cfvo type="num" val="2"/>
        <cfvo type="num" val="3"/>
        <color rgb="FFF8696B"/>
        <color rgb="FFFFEB84"/>
        <color rgb="FF63BE7B"/>
      </colorScale>
    </cfRule>
    <cfRule type="colorScale" priority="5017">
      <colorScale>
        <cfvo type="num" val="1"/>
        <cfvo type="num" val="2"/>
        <cfvo type="num" val="3"/>
        <color rgb="FFF8696B"/>
        <color rgb="FFFFEB84"/>
        <color rgb="FF63BE7B"/>
      </colorScale>
    </cfRule>
    <cfRule type="colorScale" priority="5018">
      <colorScale>
        <cfvo type="num" val="1"/>
        <cfvo type="num" val="2"/>
        <cfvo type="num" val="3"/>
        <color rgb="FFF8696B"/>
        <color rgb="FFFFEB84"/>
        <color rgb="FF63BE7B"/>
      </colorScale>
    </cfRule>
    <cfRule type="colorScale" priority="5019">
      <colorScale>
        <cfvo type="num" val="1"/>
        <cfvo type="num" val="2"/>
        <cfvo type="num" val="3"/>
        <color rgb="FFF8696B"/>
        <color rgb="FFFFEB84"/>
        <color rgb="FF63BE7B"/>
      </colorScale>
    </cfRule>
  </conditionalFormatting>
  <conditionalFormatting sqref="X306">
    <cfRule type="cellIs" dxfId="801" priority="4957" operator="equal">
      <formula>5</formula>
    </cfRule>
    <cfRule type="cellIs" dxfId="800" priority="4958" operator="equal">
      <formula>4</formula>
    </cfRule>
    <cfRule type="cellIs" dxfId="799" priority="4959" operator="equal">
      <formula>1</formula>
    </cfRule>
    <cfRule type="cellIs" dxfId="798" priority="4960" operator="equal">
      <formula>3</formula>
    </cfRule>
    <cfRule type="cellIs" dxfId="797" priority="4961" operator="equal">
      <formula>2</formula>
    </cfRule>
    <cfRule type="colorScale" priority="4962">
      <colorScale>
        <cfvo type="min" val="0"/>
        <cfvo type="percentile" val="50"/>
        <cfvo type="max" val="0"/>
        <color rgb="FFF8696B"/>
        <color rgb="FFFFEB84"/>
        <color rgb="FF63BE7B"/>
      </colorScale>
    </cfRule>
    <cfRule type="colorScale" priority="4963">
      <colorScale>
        <cfvo type="num" val="1"/>
        <cfvo type="num" val="2"/>
        <cfvo type="num" val="3"/>
        <color rgb="FFF8696B"/>
        <color rgb="FFFFEB84"/>
        <color rgb="FF63BE7B"/>
      </colorScale>
    </cfRule>
    <cfRule type="colorScale" priority="4964">
      <colorScale>
        <cfvo type="num" val="1"/>
        <cfvo type="num" val="2"/>
        <cfvo type="num" val="3"/>
        <color rgb="FFF8696B"/>
        <color rgb="FFFFEB84"/>
        <color rgb="FF63BE7B"/>
      </colorScale>
    </cfRule>
  </conditionalFormatting>
  <conditionalFormatting sqref="Z306">
    <cfRule type="cellIs" dxfId="796" priority="4909" operator="equal">
      <formula>5</formula>
    </cfRule>
    <cfRule type="cellIs" dxfId="795" priority="4910" operator="equal">
      <formula>4</formula>
    </cfRule>
    <cfRule type="cellIs" dxfId="794" priority="4911" operator="equal">
      <formula>1</formula>
    </cfRule>
    <cfRule type="cellIs" dxfId="793" priority="4912" operator="equal">
      <formula>3</formula>
    </cfRule>
    <cfRule type="colorScale" priority="4913">
      <colorScale>
        <cfvo type="min" val="0"/>
        <cfvo type="percentile" val="50"/>
        <cfvo type="max" val="0"/>
        <color rgb="FFF8696B"/>
        <color rgb="FFFFEB84"/>
        <color rgb="FF63BE7B"/>
      </colorScale>
    </cfRule>
    <cfRule type="colorScale" priority="4914">
      <colorScale>
        <cfvo type="num" val="1"/>
        <cfvo type="num" val="2"/>
        <cfvo type="num" val="3"/>
        <color rgb="FFF8696B"/>
        <color rgb="FFFFEB84"/>
        <color rgb="FF63BE7B"/>
      </colorScale>
    </cfRule>
    <cfRule type="colorScale" priority="4915">
      <colorScale>
        <cfvo type="num" val="1"/>
        <cfvo type="num" val="2"/>
        <cfvo type="num" val="3"/>
        <color rgb="FFF8696B"/>
        <color rgb="FFFFEB84"/>
        <color rgb="FF63BE7B"/>
      </colorScale>
    </cfRule>
    <cfRule type="colorScale" priority="4916">
      <colorScale>
        <cfvo type="num" val="1"/>
        <cfvo type="num" val="2"/>
        <cfvo type="num" val="3"/>
        <color rgb="FFF8696B"/>
        <color rgb="FFFFEB84"/>
        <color rgb="FF63BE7B"/>
      </colorScale>
    </cfRule>
    <cfRule type="colorScale" priority="4917">
      <colorScale>
        <cfvo type="num" val="1"/>
        <cfvo type="num" val="2"/>
        <cfvo type="num" val="3"/>
        <color rgb="FFF8696B"/>
        <color rgb="FFFFEB84"/>
        <color rgb="FF63BE7B"/>
      </colorScale>
    </cfRule>
    <cfRule type="colorScale" priority="4918">
      <colorScale>
        <cfvo type="num" val="1"/>
        <cfvo type="num" val="2"/>
        <cfvo type="num" val="3"/>
        <color rgb="FFF8696B"/>
        <color rgb="FFFFEB84"/>
        <color rgb="FF63BE7B"/>
      </colorScale>
    </cfRule>
    <cfRule type="colorScale" priority="4919">
      <colorScale>
        <cfvo type="num" val="1"/>
        <cfvo type="num" val="2"/>
        <cfvo type="num" val="3"/>
        <color rgb="FFF8696B"/>
        <color rgb="FFFFEB84"/>
        <color rgb="FF63BE7B"/>
      </colorScale>
    </cfRule>
  </conditionalFormatting>
  <conditionalFormatting sqref="X306:Z306">
    <cfRule type="cellIs" dxfId="792" priority="4872" operator="equal">
      <formula>5</formula>
    </cfRule>
    <cfRule type="cellIs" dxfId="791" priority="4873" operator="equal">
      <formula>4</formula>
    </cfRule>
    <cfRule type="cellIs" dxfId="790" priority="4874" operator="equal">
      <formula>1</formula>
    </cfRule>
    <cfRule type="cellIs" dxfId="789" priority="4875" operator="equal">
      <formula>3</formula>
    </cfRule>
    <cfRule type="cellIs" dxfId="788" priority="4876" operator="equal">
      <formula>2</formula>
    </cfRule>
    <cfRule type="colorScale" priority="4877">
      <colorScale>
        <cfvo type="min" val="0"/>
        <cfvo type="percentile" val="50"/>
        <cfvo type="max" val="0"/>
        <color rgb="FFF8696B"/>
        <color rgb="FFFFEB84"/>
        <color rgb="FF63BE7B"/>
      </colorScale>
    </cfRule>
    <cfRule type="colorScale" priority="4878">
      <colorScale>
        <cfvo type="num" val="1"/>
        <cfvo type="num" val="2"/>
        <cfvo type="num" val="3"/>
        <color rgb="FFF8696B"/>
        <color rgb="FFFFEB84"/>
        <color rgb="FF63BE7B"/>
      </colorScale>
    </cfRule>
    <cfRule type="colorScale" priority="4879">
      <colorScale>
        <cfvo type="num" val="1"/>
        <cfvo type="num" val="2"/>
        <cfvo type="num" val="3"/>
        <color rgb="FFF8696B"/>
        <color rgb="FFFFEB84"/>
        <color rgb="FF63BE7B"/>
      </colorScale>
    </cfRule>
    <cfRule type="colorScale" priority="4880">
      <colorScale>
        <cfvo type="num" val="1"/>
        <cfvo type="num" val="2"/>
        <cfvo type="num" val="3"/>
        <color rgb="FFF8696B"/>
        <color rgb="FFFFEB84"/>
        <color rgb="FF63BE7B"/>
      </colorScale>
    </cfRule>
    <cfRule type="colorScale" priority="4881">
      <colorScale>
        <cfvo type="num" val="1"/>
        <cfvo type="num" val="2"/>
        <cfvo type="num" val="3"/>
        <color rgb="FFF8696B"/>
        <color rgb="FFFFEB84"/>
        <color rgb="FF63BE7B"/>
      </colorScale>
    </cfRule>
    <cfRule type="colorScale" priority="4882">
      <colorScale>
        <cfvo type="num" val="1"/>
        <cfvo type="num" val="2"/>
        <cfvo type="num" val="3"/>
        <color rgb="FFF8696B"/>
        <color rgb="FFFFEB84"/>
        <color rgb="FF63BE7B"/>
      </colorScale>
    </cfRule>
    <cfRule type="colorScale" priority="4883">
      <colorScale>
        <cfvo type="num" val="1"/>
        <cfvo type="num" val="2"/>
        <cfvo type="num" val="3"/>
        <color rgb="FFF8696B"/>
        <color rgb="FFFFEB84"/>
        <color rgb="FF63BE7B"/>
      </colorScale>
    </cfRule>
  </conditionalFormatting>
  <conditionalFormatting sqref="AC306:AD306">
    <cfRule type="cellIs" dxfId="787" priority="4854" operator="equal">
      <formula>5</formula>
    </cfRule>
    <cfRule type="cellIs" dxfId="786" priority="4855" operator="equal">
      <formula>4</formula>
    </cfRule>
    <cfRule type="cellIs" dxfId="785" priority="4856" operator="equal">
      <formula>1</formula>
    </cfRule>
    <cfRule type="cellIs" dxfId="784" priority="4857" operator="equal">
      <formula>3</formula>
    </cfRule>
    <cfRule type="cellIs" dxfId="783" priority="4858" operator="equal">
      <formula>2</formula>
    </cfRule>
    <cfRule type="colorScale" priority="4859">
      <colorScale>
        <cfvo type="min" val="0"/>
        <cfvo type="percentile" val="50"/>
        <cfvo type="max" val="0"/>
        <color rgb="FFF8696B"/>
        <color rgb="FFFFEB84"/>
        <color rgb="FF63BE7B"/>
      </colorScale>
    </cfRule>
    <cfRule type="colorScale" priority="4860">
      <colorScale>
        <cfvo type="num" val="1"/>
        <cfvo type="num" val="2"/>
        <cfvo type="num" val="3"/>
        <color rgb="FFF8696B"/>
        <color rgb="FFFFEB84"/>
        <color rgb="FF63BE7B"/>
      </colorScale>
    </cfRule>
    <cfRule type="colorScale" priority="4861">
      <colorScale>
        <cfvo type="num" val="1"/>
        <cfvo type="num" val="2"/>
        <cfvo type="num" val="3"/>
        <color rgb="FFF8696B"/>
        <color rgb="FFFFEB84"/>
        <color rgb="FF63BE7B"/>
      </colorScale>
    </cfRule>
    <cfRule type="colorScale" priority="4862">
      <colorScale>
        <cfvo type="num" val="1"/>
        <cfvo type="num" val="2"/>
        <cfvo type="num" val="3"/>
        <color rgb="FFF8696B"/>
        <color rgb="FFFFEB84"/>
        <color rgb="FF63BE7B"/>
      </colorScale>
    </cfRule>
    <cfRule type="colorScale" priority="4863">
      <colorScale>
        <cfvo type="num" val="1"/>
        <cfvo type="num" val="2"/>
        <cfvo type="num" val="3"/>
        <color rgb="FFF8696B"/>
        <color rgb="FFFFEB84"/>
        <color rgb="FF63BE7B"/>
      </colorScale>
    </cfRule>
    <cfRule type="colorScale" priority="4864">
      <colorScale>
        <cfvo type="num" val="1"/>
        <cfvo type="num" val="2"/>
        <cfvo type="num" val="3"/>
        <color rgb="FFF8696B"/>
        <color rgb="FFFFEB84"/>
        <color rgb="FF63BE7B"/>
      </colorScale>
    </cfRule>
    <cfRule type="colorScale" priority="4865">
      <colorScale>
        <cfvo type="num" val="1"/>
        <cfvo type="num" val="2"/>
        <cfvo type="num" val="3"/>
        <color rgb="FFF8696B"/>
        <color rgb="FFFFEB84"/>
        <color rgb="FF63BE7B"/>
      </colorScale>
    </cfRule>
  </conditionalFormatting>
  <conditionalFormatting sqref="AC306">
    <cfRule type="cellIs" dxfId="782" priority="4749" operator="equal">
      <formula>5</formula>
    </cfRule>
    <cfRule type="cellIs" dxfId="781" priority="4750" operator="equal">
      <formula>4</formula>
    </cfRule>
    <cfRule type="cellIs" dxfId="780" priority="4751" operator="equal">
      <formula>1</formula>
    </cfRule>
    <cfRule type="cellIs" dxfId="779" priority="4752" operator="equal">
      <formula>3</formula>
    </cfRule>
    <cfRule type="cellIs" dxfId="778" priority="4753" operator="equal">
      <formula>2</formula>
    </cfRule>
    <cfRule type="colorScale" priority="4754">
      <colorScale>
        <cfvo type="min" val="0"/>
        <cfvo type="percentile" val="50"/>
        <cfvo type="max" val="0"/>
        <color rgb="FFF8696B"/>
        <color rgb="FFFFEB84"/>
        <color rgb="FF63BE7B"/>
      </colorScale>
    </cfRule>
    <cfRule type="colorScale" priority="4755">
      <colorScale>
        <cfvo type="num" val="1"/>
        <cfvo type="num" val="2"/>
        <cfvo type="num" val="3"/>
        <color rgb="FFF8696B"/>
        <color rgb="FFFFEB84"/>
        <color rgb="FF63BE7B"/>
      </colorScale>
    </cfRule>
    <cfRule type="colorScale" priority="4756">
      <colorScale>
        <cfvo type="num" val="1"/>
        <cfvo type="num" val="2"/>
        <cfvo type="num" val="3"/>
        <color rgb="FFF8696B"/>
        <color rgb="FFFFEB84"/>
        <color rgb="FF63BE7B"/>
      </colorScale>
    </cfRule>
  </conditionalFormatting>
  <conditionalFormatting sqref="AE306">
    <cfRule type="cellIs" dxfId="777" priority="4701" operator="equal">
      <formula>5</formula>
    </cfRule>
    <cfRule type="cellIs" dxfId="776" priority="4702" operator="equal">
      <formula>4</formula>
    </cfRule>
    <cfRule type="cellIs" dxfId="775" priority="4703" operator="equal">
      <formula>1</formula>
    </cfRule>
    <cfRule type="cellIs" dxfId="774" priority="4704" operator="equal">
      <formula>3</formula>
    </cfRule>
    <cfRule type="colorScale" priority="4705">
      <colorScale>
        <cfvo type="min" val="0"/>
        <cfvo type="percentile" val="50"/>
        <cfvo type="max" val="0"/>
        <color rgb="FFF8696B"/>
        <color rgb="FFFFEB84"/>
        <color rgb="FF63BE7B"/>
      </colorScale>
    </cfRule>
    <cfRule type="colorScale" priority="4706">
      <colorScale>
        <cfvo type="num" val="1"/>
        <cfvo type="num" val="2"/>
        <cfvo type="num" val="3"/>
        <color rgb="FFF8696B"/>
        <color rgb="FFFFEB84"/>
        <color rgb="FF63BE7B"/>
      </colorScale>
    </cfRule>
    <cfRule type="colorScale" priority="4707">
      <colorScale>
        <cfvo type="num" val="1"/>
        <cfvo type="num" val="2"/>
        <cfvo type="num" val="3"/>
        <color rgb="FFF8696B"/>
        <color rgb="FFFFEB84"/>
        <color rgb="FF63BE7B"/>
      </colorScale>
    </cfRule>
    <cfRule type="colorScale" priority="4708">
      <colorScale>
        <cfvo type="num" val="1"/>
        <cfvo type="num" val="2"/>
        <cfvo type="num" val="3"/>
        <color rgb="FFF8696B"/>
        <color rgb="FFFFEB84"/>
        <color rgb="FF63BE7B"/>
      </colorScale>
    </cfRule>
    <cfRule type="colorScale" priority="4709">
      <colorScale>
        <cfvo type="num" val="1"/>
        <cfvo type="num" val="2"/>
        <cfvo type="num" val="3"/>
        <color rgb="FFF8696B"/>
        <color rgb="FFFFEB84"/>
        <color rgb="FF63BE7B"/>
      </colorScale>
    </cfRule>
    <cfRule type="colorScale" priority="4710">
      <colorScale>
        <cfvo type="num" val="1"/>
        <cfvo type="num" val="2"/>
        <cfvo type="num" val="3"/>
        <color rgb="FFF8696B"/>
        <color rgb="FFFFEB84"/>
        <color rgb="FF63BE7B"/>
      </colorScale>
    </cfRule>
    <cfRule type="colorScale" priority="4711">
      <colorScale>
        <cfvo type="num" val="1"/>
        <cfvo type="num" val="2"/>
        <cfvo type="num" val="3"/>
        <color rgb="FFF8696B"/>
        <color rgb="FFFFEB84"/>
        <color rgb="FF63BE7B"/>
      </colorScale>
    </cfRule>
  </conditionalFormatting>
  <conditionalFormatting sqref="AC306:AE306">
    <cfRule type="cellIs" dxfId="773" priority="4664" operator="equal">
      <formula>5</formula>
    </cfRule>
    <cfRule type="cellIs" dxfId="772" priority="4665" operator="equal">
      <formula>4</formula>
    </cfRule>
    <cfRule type="cellIs" dxfId="771" priority="4666" operator="equal">
      <formula>1</formula>
    </cfRule>
    <cfRule type="cellIs" dxfId="770" priority="4667" operator="equal">
      <formula>3</formula>
    </cfRule>
    <cfRule type="cellIs" dxfId="769" priority="4668" operator="equal">
      <formula>2</formula>
    </cfRule>
    <cfRule type="colorScale" priority="4669">
      <colorScale>
        <cfvo type="min" val="0"/>
        <cfvo type="percentile" val="50"/>
        <cfvo type="max" val="0"/>
        <color rgb="FFF8696B"/>
        <color rgb="FFFFEB84"/>
        <color rgb="FF63BE7B"/>
      </colorScale>
    </cfRule>
    <cfRule type="colorScale" priority="4670">
      <colorScale>
        <cfvo type="num" val="1"/>
        <cfvo type="num" val="2"/>
        <cfvo type="num" val="3"/>
        <color rgb="FFF8696B"/>
        <color rgb="FFFFEB84"/>
        <color rgb="FF63BE7B"/>
      </colorScale>
    </cfRule>
    <cfRule type="colorScale" priority="4671">
      <colorScale>
        <cfvo type="num" val="1"/>
        <cfvo type="num" val="2"/>
        <cfvo type="num" val="3"/>
        <color rgb="FFF8696B"/>
        <color rgb="FFFFEB84"/>
        <color rgb="FF63BE7B"/>
      </colorScale>
    </cfRule>
    <cfRule type="colorScale" priority="4672">
      <colorScale>
        <cfvo type="num" val="1"/>
        <cfvo type="num" val="2"/>
        <cfvo type="num" val="3"/>
        <color rgb="FFF8696B"/>
        <color rgb="FFFFEB84"/>
        <color rgb="FF63BE7B"/>
      </colorScale>
    </cfRule>
    <cfRule type="colorScale" priority="4673">
      <colorScale>
        <cfvo type="num" val="1"/>
        <cfvo type="num" val="2"/>
        <cfvo type="num" val="3"/>
        <color rgb="FFF8696B"/>
        <color rgb="FFFFEB84"/>
        <color rgb="FF63BE7B"/>
      </colorScale>
    </cfRule>
    <cfRule type="colorScale" priority="4674">
      <colorScale>
        <cfvo type="num" val="1"/>
        <cfvo type="num" val="2"/>
        <cfvo type="num" val="3"/>
        <color rgb="FFF8696B"/>
        <color rgb="FFFFEB84"/>
        <color rgb="FF63BE7B"/>
      </colorScale>
    </cfRule>
    <cfRule type="colorScale" priority="4675">
      <colorScale>
        <cfvo type="num" val="1"/>
        <cfvo type="num" val="2"/>
        <cfvo type="num" val="3"/>
        <color rgb="FFF8696B"/>
        <color rgb="FFFFEB84"/>
        <color rgb="FF63BE7B"/>
      </colorScale>
    </cfRule>
  </conditionalFormatting>
  <conditionalFormatting sqref="E308:G308">
    <cfRule type="cellIs" dxfId="768" priority="4651" operator="equal">
      <formula>5</formula>
    </cfRule>
    <cfRule type="cellIs" dxfId="767" priority="4652" operator="equal">
      <formula>4</formula>
    </cfRule>
    <cfRule type="cellIs" dxfId="766" priority="4653" operator="equal">
      <formula>1</formula>
    </cfRule>
    <cfRule type="cellIs" dxfId="765" priority="4654" operator="equal">
      <formula>3</formula>
    </cfRule>
    <cfRule type="cellIs" dxfId="764" priority="4655" operator="equal">
      <formula>2</formula>
    </cfRule>
    <cfRule type="colorScale" priority="4656">
      <colorScale>
        <cfvo type="min" val="0"/>
        <cfvo type="percentile" val="50"/>
        <cfvo type="max" val="0"/>
        <color rgb="FFF8696B"/>
        <color rgb="FFFFEB84"/>
        <color rgb="FF63BE7B"/>
      </colorScale>
    </cfRule>
    <cfRule type="colorScale" priority="4657">
      <colorScale>
        <cfvo type="num" val="1"/>
        <cfvo type="num" val="2"/>
        <cfvo type="num" val="3"/>
        <color rgb="FFF8696B"/>
        <color rgb="FFFFEB84"/>
        <color rgb="FF63BE7B"/>
      </colorScale>
    </cfRule>
    <cfRule type="colorScale" priority="4658">
      <colorScale>
        <cfvo type="num" val="1"/>
        <cfvo type="num" val="2"/>
        <cfvo type="num" val="3"/>
        <color rgb="FFF8696B"/>
        <color rgb="FFFFEB84"/>
        <color rgb="FF63BE7B"/>
      </colorScale>
    </cfRule>
    <cfRule type="colorScale" priority="4659">
      <colorScale>
        <cfvo type="num" val="1"/>
        <cfvo type="num" val="2"/>
        <cfvo type="num" val="3"/>
        <color rgb="FFF8696B"/>
        <color rgb="FFFFEB84"/>
        <color rgb="FF63BE7B"/>
      </colorScale>
    </cfRule>
    <cfRule type="colorScale" priority="4660">
      <colorScale>
        <cfvo type="num" val="1"/>
        <cfvo type="num" val="2"/>
        <cfvo type="num" val="3"/>
        <color rgb="FFF8696B"/>
        <color rgb="FFFFEB84"/>
        <color rgb="FF63BE7B"/>
      </colorScale>
    </cfRule>
    <cfRule type="colorScale" priority="4661">
      <colorScale>
        <cfvo type="num" val="1"/>
        <cfvo type="num" val="2"/>
        <cfvo type="num" val="3"/>
        <color rgb="FFF8696B"/>
        <color rgb="FFFFEB84"/>
        <color rgb="FF63BE7B"/>
      </colorScale>
    </cfRule>
    <cfRule type="colorScale" priority="4662">
      <colorScale>
        <cfvo type="num" val="1"/>
        <cfvo type="num" val="2"/>
        <cfvo type="num" val="3"/>
        <color rgb="FFF8696B"/>
        <color rgb="FFFFEB84"/>
        <color rgb="FF63BE7B"/>
      </colorScale>
    </cfRule>
  </conditionalFormatting>
  <conditionalFormatting sqref="G308">
    <cfRule type="cellIs" dxfId="763" priority="4639" operator="equal">
      <formula>5</formula>
    </cfRule>
    <cfRule type="cellIs" dxfId="762" priority="4640" operator="equal">
      <formula>4</formula>
    </cfRule>
    <cfRule type="cellIs" dxfId="761" priority="4641" operator="equal">
      <formula>1</formula>
    </cfRule>
    <cfRule type="cellIs" dxfId="760" priority="4642" operator="equal">
      <formula>3</formula>
    </cfRule>
    <cfRule type="cellIs" dxfId="759" priority="4643" operator="equal">
      <formula>2</formula>
    </cfRule>
    <cfRule type="colorScale" priority="4644">
      <colorScale>
        <cfvo type="min" val="0"/>
        <cfvo type="percentile" val="50"/>
        <cfvo type="max" val="0"/>
        <color rgb="FFF8696B"/>
        <color rgb="FFFFEB84"/>
        <color rgb="FF63BE7B"/>
      </colorScale>
    </cfRule>
    <cfRule type="colorScale" priority="4645">
      <colorScale>
        <cfvo type="num" val="1"/>
        <cfvo type="num" val="2"/>
        <cfvo type="num" val="3"/>
        <color rgb="FFF8696B"/>
        <color rgb="FFFFEB84"/>
        <color rgb="FF63BE7B"/>
      </colorScale>
    </cfRule>
    <cfRule type="colorScale" priority="4646">
      <colorScale>
        <cfvo type="num" val="1"/>
        <cfvo type="num" val="2"/>
        <cfvo type="num" val="3"/>
        <color rgb="FFF8696B"/>
        <color rgb="FFFFEB84"/>
        <color rgb="FF63BE7B"/>
      </colorScale>
    </cfRule>
    <cfRule type="colorScale" priority="4647">
      <colorScale>
        <cfvo type="num" val="1"/>
        <cfvo type="num" val="2"/>
        <cfvo type="num" val="3"/>
        <color rgb="FFF8696B"/>
        <color rgb="FFFFEB84"/>
        <color rgb="FF63BE7B"/>
      </colorScale>
    </cfRule>
    <cfRule type="colorScale" priority="4648">
      <colorScale>
        <cfvo type="num" val="1"/>
        <cfvo type="num" val="2"/>
        <cfvo type="num" val="3"/>
        <color rgb="FFF8696B"/>
        <color rgb="FFFFEB84"/>
        <color rgb="FF63BE7B"/>
      </colorScale>
    </cfRule>
    <cfRule type="colorScale" priority="4649">
      <colorScale>
        <cfvo type="num" val="1"/>
        <cfvo type="num" val="2"/>
        <cfvo type="num" val="3"/>
        <color rgb="FFF8696B"/>
        <color rgb="FFFFEB84"/>
        <color rgb="FF63BE7B"/>
      </colorScale>
    </cfRule>
    <cfRule type="colorScale" priority="4650">
      <colorScale>
        <cfvo type="num" val="1"/>
        <cfvo type="num" val="2"/>
        <cfvo type="num" val="3"/>
        <color rgb="FFF8696B"/>
        <color rgb="FFFFEB84"/>
        <color rgb="FF63BE7B"/>
      </colorScale>
    </cfRule>
  </conditionalFormatting>
  <conditionalFormatting sqref="J308">
    <cfRule type="cellIs" dxfId="758" priority="4612" operator="equal">
      <formula>5</formula>
    </cfRule>
    <cfRule type="cellIs" dxfId="757" priority="4613" operator="equal">
      <formula>4</formula>
    </cfRule>
    <cfRule type="cellIs" dxfId="756" priority="4614" operator="equal">
      <formula>1</formula>
    </cfRule>
    <cfRule type="cellIs" dxfId="755" priority="4615" operator="equal">
      <formula>3</formula>
    </cfRule>
    <cfRule type="colorScale" priority="4616">
      <colorScale>
        <cfvo type="min" val="0"/>
        <cfvo type="percentile" val="50"/>
        <cfvo type="max" val="0"/>
        <color rgb="FFF8696B"/>
        <color rgb="FFFFEB84"/>
        <color rgb="FF63BE7B"/>
      </colorScale>
    </cfRule>
    <cfRule type="colorScale" priority="4617">
      <colorScale>
        <cfvo type="num" val="1"/>
        <cfvo type="num" val="2"/>
        <cfvo type="num" val="3"/>
        <color rgb="FFF8696B"/>
        <color rgb="FFFFEB84"/>
        <color rgb="FF63BE7B"/>
      </colorScale>
    </cfRule>
    <cfRule type="colorScale" priority="4618">
      <colorScale>
        <cfvo type="num" val="1"/>
        <cfvo type="num" val="2"/>
        <cfvo type="num" val="3"/>
        <color rgb="FFF8696B"/>
        <color rgb="FFFFEB84"/>
        <color rgb="FF63BE7B"/>
      </colorScale>
    </cfRule>
  </conditionalFormatting>
  <conditionalFormatting sqref="K308">
    <cfRule type="cellIs" dxfId="754" priority="4605" operator="equal">
      <formula>5</formula>
    </cfRule>
    <cfRule type="cellIs" dxfId="753" priority="4606" operator="equal">
      <formula>4</formula>
    </cfRule>
    <cfRule type="cellIs" dxfId="752" priority="4607" operator="equal">
      <formula>1</formula>
    </cfRule>
    <cfRule type="cellIs" dxfId="751" priority="4608" operator="equal">
      <formula>3</formula>
    </cfRule>
    <cfRule type="colorScale" priority="4609">
      <colorScale>
        <cfvo type="min" val="0"/>
        <cfvo type="percentile" val="50"/>
        <cfvo type="max" val="0"/>
        <color rgb="FFF8696B"/>
        <color rgb="FFFFEB84"/>
        <color rgb="FF63BE7B"/>
      </colorScale>
    </cfRule>
    <cfRule type="colorScale" priority="4610">
      <colorScale>
        <cfvo type="num" val="1"/>
        <cfvo type="num" val="2"/>
        <cfvo type="num" val="3"/>
        <color rgb="FFF8696B"/>
        <color rgb="FFFFEB84"/>
        <color rgb="FF63BE7B"/>
      </colorScale>
    </cfRule>
    <cfRule type="colorScale" priority="4611">
      <colorScale>
        <cfvo type="num" val="1"/>
        <cfvo type="num" val="2"/>
        <cfvo type="num" val="3"/>
        <color rgb="FFF8696B"/>
        <color rgb="FFFFEB84"/>
        <color rgb="FF63BE7B"/>
      </colorScale>
    </cfRule>
  </conditionalFormatting>
  <conditionalFormatting sqref="J308:K308">
    <cfRule type="cellIs" dxfId="750" priority="4593" operator="equal">
      <formula>5</formula>
    </cfRule>
    <cfRule type="cellIs" dxfId="749" priority="4594" operator="equal">
      <formula>4</formula>
    </cfRule>
    <cfRule type="cellIs" dxfId="748" priority="4595" operator="equal">
      <formula>1</formula>
    </cfRule>
    <cfRule type="cellIs" dxfId="747" priority="4596" operator="equal">
      <formula>3</formula>
    </cfRule>
    <cfRule type="cellIs" dxfId="746" priority="4597" operator="equal">
      <formula>2</formula>
    </cfRule>
    <cfRule type="colorScale" priority="4598">
      <colorScale>
        <cfvo type="min" val="0"/>
        <cfvo type="percentile" val="50"/>
        <cfvo type="max" val="0"/>
        <color rgb="FFF8696B"/>
        <color rgb="FFFFEB84"/>
        <color rgb="FF63BE7B"/>
      </colorScale>
    </cfRule>
    <cfRule type="colorScale" priority="4599">
      <colorScale>
        <cfvo type="num" val="1"/>
        <cfvo type="num" val="2"/>
        <cfvo type="num" val="3"/>
        <color rgb="FFF8696B"/>
        <color rgb="FFFFEB84"/>
        <color rgb="FF63BE7B"/>
      </colorScale>
    </cfRule>
    <cfRule type="colorScale" priority="4600">
      <colorScale>
        <cfvo type="num" val="1"/>
        <cfvo type="num" val="2"/>
        <cfvo type="num" val="3"/>
        <color rgb="FFF8696B"/>
        <color rgb="FFFFEB84"/>
        <color rgb="FF63BE7B"/>
      </colorScale>
    </cfRule>
    <cfRule type="colorScale" priority="4601">
      <colorScale>
        <cfvo type="num" val="1"/>
        <cfvo type="num" val="2"/>
        <cfvo type="num" val="3"/>
        <color rgb="FFF8696B"/>
        <color rgb="FFFFEB84"/>
        <color rgb="FF63BE7B"/>
      </colorScale>
    </cfRule>
    <cfRule type="colorScale" priority="4602">
      <colorScale>
        <cfvo type="num" val="1"/>
        <cfvo type="num" val="2"/>
        <cfvo type="num" val="3"/>
        <color rgb="FFF8696B"/>
        <color rgb="FFFFEB84"/>
        <color rgb="FF63BE7B"/>
      </colorScale>
    </cfRule>
    <cfRule type="colorScale" priority="4603">
      <colorScale>
        <cfvo type="num" val="1"/>
        <cfvo type="num" val="2"/>
        <cfvo type="num" val="3"/>
        <color rgb="FFF8696B"/>
        <color rgb="FFFFEB84"/>
        <color rgb="FF63BE7B"/>
      </colorScale>
    </cfRule>
    <cfRule type="colorScale" priority="4604">
      <colorScale>
        <cfvo type="num" val="1"/>
        <cfvo type="num" val="2"/>
        <cfvo type="num" val="3"/>
        <color rgb="FFF8696B"/>
        <color rgb="FFFFEB84"/>
        <color rgb="FF63BE7B"/>
      </colorScale>
    </cfRule>
  </conditionalFormatting>
  <conditionalFormatting sqref="L308">
    <cfRule type="cellIs" dxfId="745" priority="4581" operator="equal">
      <formula>5</formula>
    </cfRule>
    <cfRule type="cellIs" dxfId="744" priority="4582" operator="equal">
      <formula>4</formula>
    </cfRule>
    <cfRule type="cellIs" dxfId="743" priority="4583" operator="equal">
      <formula>1</formula>
    </cfRule>
    <cfRule type="cellIs" dxfId="742" priority="4584" operator="equal">
      <formula>3</formula>
    </cfRule>
    <cfRule type="cellIs" dxfId="741" priority="4585" operator="equal">
      <formula>2</formula>
    </cfRule>
    <cfRule type="colorScale" priority="4586">
      <colorScale>
        <cfvo type="min" val="0"/>
        <cfvo type="percentile" val="50"/>
        <cfvo type="max" val="0"/>
        <color rgb="FFF8696B"/>
        <color rgb="FFFFEB84"/>
        <color rgb="FF63BE7B"/>
      </colorScale>
    </cfRule>
    <cfRule type="colorScale" priority="4587">
      <colorScale>
        <cfvo type="num" val="1"/>
        <cfvo type="num" val="2"/>
        <cfvo type="num" val="3"/>
        <color rgb="FFF8696B"/>
        <color rgb="FFFFEB84"/>
        <color rgb="FF63BE7B"/>
      </colorScale>
    </cfRule>
    <cfRule type="colorScale" priority="4588">
      <colorScale>
        <cfvo type="num" val="1"/>
        <cfvo type="num" val="2"/>
        <cfvo type="num" val="3"/>
        <color rgb="FFF8696B"/>
        <color rgb="FFFFEB84"/>
        <color rgb="FF63BE7B"/>
      </colorScale>
    </cfRule>
    <cfRule type="colorScale" priority="4589">
      <colorScale>
        <cfvo type="num" val="1"/>
        <cfvo type="num" val="2"/>
        <cfvo type="num" val="3"/>
        <color rgb="FFF8696B"/>
        <color rgb="FFFFEB84"/>
        <color rgb="FF63BE7B"/>
      </colorScale>
    </cfRule>
    <cfRule type="colorScale" priority="4590">
      <colorScale>
        <cfvo type="num" val="1"/>
        <cfvo type="num" val="2"/>
        <cfvo type="num" val="3"/>
        <color rgb="FFF8696B"/>
        <color rgb="FFFFEB84"/>
        <color rgb="FF63BE7B"/>
      </colorScale>
    </cfRule>
    <cfRule type="colorScale" priority="4591">
      <colorScale>
        <cfvo type="num" val="1"/>
        <cfvo type="num" val="2"/>
        <cfvo type="num" val="3"/>
        <color rgb="FFF8696B"/>
        <color rgb="FFFFEB84"/>
        <color rgb="FF63BE7B"/>
      </colorScale>
    </cfRule>
    <cfRule type="colorScale" priority="4592">
      <colorScale>
        <cfvo type="num" val="1"/>
        <cfvo type="num" val="2"/>
        <cfvo type="num" val="3"/>
        <color rgb="FFF8696B"/>
        <color rgb="FFFFEB84"/>
        <color rgb="FF63BE7B"/>
      </colorScale>
    </cfRule>
  </conditionalFormatting>
  <conditionalFormatting sqref="L308">
    <cfRule type="cellIs" dxfId="740" priority="4558" operator="equal">
      <formula>5</formula>
    </cfRule>
    <cfRule type="cellIs" dxfId="739" priority="4559" operator="equal">
      <formula>4</formula>
    </cfRule>
    <cfRule type="cellIs" dxfId="738" priority="4560" operator="equal">
      <formula>1</formula>
    </cfRule>
    <cfRule type="cellIs" dxfId="737" priority="4561" operator="equal">
      <formula>3</formula>
    </cfRule>
    <cfRule type="colorScale" priority="4562">
      <colorScale>
        <cfvo type="min" val="0"/>
        <cfvo type="percentile" val="50"/>
        <cfvo type="max" val="0"/>
        <color rgb="FFF8696B"/>
        <color rgb="FFFFEB84"/>
        <color rgb="FF63BE7B"/>
      </colorScale>
    </cfRule>
    <cfRule type="colorScale" priority="4563">
      <colorScale>
        <cfvo type="num" val="1"/>
        <cfvo type="num" val="2"/>
        <cfvo type="num" val="3"/>
        <color rgb="FFF8696B"/>
        <color rgb="FFFFEB84"/>
        <color rgb="FF63BE7B"/>
      </colorScale>
    </cfRule>
    <cfRule type="colorScale" priority="4564">
      <colorScale>
        <cfvo type="num" val="1"/>
        <cfvo type="num" val="2"/>
        <cfvo type="num" val="3"/>
        <color rgb="FFF8696B"/>
        <color rgb="FFFFEB84"/>
        <color rgb="FF63BE7B"/>
      </colorScale>
    </cfRule>
    <cfRule type="colorScale" priority="4565">
      <colorScale>
        <cfvo type="num" val="1"/>
        <cfvo type="num" val="2"/>
        <cfvo type="num" val="3"/>
        <color rgb="FFF8696B"/>
        <color rgb="FFFFEB84"/>
        <color rgb="FF63BE7B"/>
      </colorScale>
    </cfRule>
    <cfRule type="colorScale" priority="4566">
      <colorScale>
        <cfvo type="num" val="1"/>
        <cfvo type="num" val="2"/>
        <cfvo type="num" val="3"/>
        <color rgb="FFF8696B"/>
        <color rgb="FFFFEB84"/>
        <color rgb="FF63BE7B"/>
      </colorScale>
    </cfRule>
    <cfRule type="colorScale" priority="4567">
      <colorScale>
        <cfvo type="num" val="1"/>
        <cfvo type="num" val="2"/>
        <cfvo type="num" val="3"/>
        <color rgb="FFF8696B"/>
        <color rgb="FFFFEB84"/>
        <color rgb="FF63BE7B"/>
      </colorScale>
    </cfRule>
    <cfRule type="colorScale" priority="4568">
      <colorScale>
        <cfvo type="num" val="1"/>
        <cfvo type="num" val="2"/>
        <cfvo type="num" val="3"/>
        <color rgb="FFF8696B"/>
        <color rgb="FFFFEB84"/>
        <color rgb="FF63BE7B"/>
      </colorScale>
    </cfRule>
  </conditionalFormatting>
  <conditionalFormatting sqref="J308:L308">
    <cfRule type="cellIs" dxfId="736" priority="4521" operator="equal">
      <formula>5</formula>
    </cfRule>
    <cfRule type="cellIs" dxfId="735" priority="4522" operator="equal">
      <formula>4</formula>
    </cfRule>
    <cfRule type="cellIs" dxfId="734" priority="4523" operator="equal">
      <formula>1</formula>
    </cfRule>
    <cfRule type="cellIs" dxfId="733" priority="4524" operator="equal">
      <formula>3</formula>
    </cfRule>
    <cfRule type="cellIs" dxfId="732" priority="4525" operator="equal">
      <formula>2</formula>
    </cfRule>
    <cfRule type="colorScale" priority="4526">
      <colorScale>
        <cfvo type="min" val="0"/>
        <cfvo type="percentile" val="50"/>
        <cfvo type="max" val="0"/>
        <color rgb="FFF8696B"/>
        <color rgb="FFFFEB84"/>
        <color rgb="FF63BE7B"/>
      </colorScale>
    </cfRule>
    <cfRule type="colorScale" priority="4527">
      <colorScale>
        <cfvo type="num" val="1"/>
        <cfvo type="num" val="2"/>
        <cfvo type="num" val="3"/>
        <color rgb="FFF8696B"/>
        <color rgb="FFFFEB84"/>
        <color rgb="FF63BE7B"/>
      </colorScale>
    </cfRule>
    <cfRule type="colorScale" priority="4528">
      <colorScale>
        <cfvo type="num" val="1"/>
        <cfvo type="num" val="2"/>
        <cfvo type="num" val="3"/>
        <color rgb="FFF8696B"/>
        <color rgb="FFFFEB84"/>
        <color rgb="FF63BE7B"/>
      </colorScale>
    </cfRule>
    <cfRule type="colorScale" priority="4529">
      <colorScale>
        <cfvo type="num" val="1"/>
        <cfvo type="num" val="2"/>
        <cfvo type="num" val="3"/>
        <color rgb="FFF8696B"/>
        <color rgb="FFFFEB84"/>
        <color rgb="FF63BE7B"/>
      </colorScale>
    </cfRule>
    <cfRule type="colorScale" priority="4530">
      <colorScale>
        <cfvo type="num" val="1"/>
        <cfvo type="num" val="2"/>
        <cfvo type="num" val="3"/>
        <color rgb="FFF8696B"/>
        <color rgb="FFFFEB84"/>
        <color rgb="FF63BE7B"/>
      </colorScale>
    </cfRule>
    <cfRule type="colorScale" priority="4531">
      <colorScale>
        <cfvo type="num" val="1"/>
        <cfvo type="num" val="2"/>
        <cfvo type="num" val="3"/>
        <color rgb="FFF8696B"/>
        <color rgb="FFFFEB84"/>
        <color rgb="FF63BE7B"/>
      </colorScale>
    </cfRule>
    <cfRule type="colorScale" priority="4532">
      <colorScale>
        <cfvo type="num" val="1"/>
        <cfvo type="num" val="2"/>
        <cfvo type="num" val="3"/>
        <color rgb="FFF8696B"/>
        <color rgb="FFFFEB84"/>
        <color rgb="FF63BE7B"/>
      </colorScale>
    </cfRule>
  </conditionalFormatting>
  <conditionalFormatting sqref="Q308">
    <cfRule type="cellIs" dxfId="731" priority="4512" operator="equal">
      <formula>5</formula>
    </cfRule>
    <cfRule type="cellIs" dxfId="730" priority="4513" operator="equal">
      <formula>4</formula>
    </cfRule>
    <cfRule type="cellIs" dxfId="729" priority="4514" operator="equal">
      <formula>1</formula>
    </cfRule>
    <cfRule type="cellIs" dxfId="728" priority="4515" operator="equal">
      <formula>3</formula>
    </cfRule>
    <cfRule type="cellIs" dxfId="727" priority="4516" operator="equal">
      <formula>2</formula>
    </cfRule>
    <cfRule type="colorScale" priority="4517">
      <colorScale>
        <cfvo type="min" val="0"/>
        <cfvo type="percentile" val="50"/>
        <cfvo type="max" val="0"/>
        <color rgb="FFF8696B"/>
        <color rgb="FFFFEB84"/>
        <color rgb="FF63BE7B"/>
      </colorScale>
    </cfRule>
    <cfRule type="colorScale" priority="4518">
      <colorScale>
        <cfvo type="num" val="1"/>
        <cfvo type="num" val="2"/>
        <cfvo type="num" val="3"/>
        <color rgb="FFF8696B"/>
        <color rgb="FFFFEB84"/>
        <color rgb="FF63BE7B"/>
      </colorScale>
    </cfRule>
    <cfRule type="colorScale" priority="4519">
      <colorScale>
        <cfvo type="num" val="1"/>
        <cfvo type="num" val="2"/>
        <cfvo type="num" val="3"/>
        <color rgb="FFF8696B"/>
        <color rgb="FFFFEB84"/>
        <color rgb="FF63BE7B"/>
      </colorScale>
    </cfRule>
  </conditionalFormatting>
  <conditionalFormatting sqref="O308">
    <cfRule type="cellIs" dxfId="726" priority="4504" operator="equal">
      <formula>5</formula>
    </cfRule>
    <cfRule type="cellIs" dxfId="725" priority="4505" operator="equal">
      <formula>4</formula>
    </cfRule>
    <cfRule type="cellIs" dxfId="724" priority="4506" operator="equal">
      <formula>1</formula>
    </cfRule>
    <cfRule type="cellIs" dxfId="723" priority="4507" operator="equal">
      <formula>3</formula>
    </cfRule>
    <cfRule type="colorScale" priority="4508">
      <colorScale>
        <cfvo type="min" val="0"/>
        <cfvo type="percentile" val="50"/>
        <cfvo type="max" val="0"/>
        <color rgb="FFF8696B"/>
        <color rgb="FFFFEB84"/>
        <color rgb="FF63BE7B"/>
      </colorScale>
    </cfRule>
    <cfRule type="colorScale" priority="4509">
      <colorScale>
        <cfvo type="num" val="1"/>
        <cfvo type="num" val="2"/>
        <cfvo type="num" val="3"/>
        <color rgb="FFF8696B"/>
        <color rgb="FFFFEB84"/>
        <color rgb="FF63BE7B"/>
      </colorScale>
    </cfRule>
    <cfRule type="colorScale" priority="4510">
      <colorScale>
        <cfvo type="num" val="1"/>
        <cfvo type="num" val="2"/>
        <cfvo type="num" val="3"/>
        <color rgb="FFF8696B"/>
        <color rgb="FFFFEB84"/>
        <color rgb="FF63BE7B"/>
      </colorScale>
    </cfRule>
  </conditionalFormatting>
  <conditionalFormatting sqref="P308">
    <cfRule type="cellIs" dxfId="722" priority="4497" operator="equal">
      <formula>5</formula>
    </cfRule>
    <cfRule type="cellIs" dxfId="721" priority="4498" operator="equal">
      <formula>4</formula>
    </cfRule>
    <cfRule type="cellIs" dxfId="720" priority="4499" operator="equal">
      <formula>1</formula>
    </cfRule>
    <cfRule type="cellIs" dxfId="719" priority="4500" operator="equal">
      <formula>3</formula>
    </cfRule>
    <cfRule type="colorScale" priority="4501">
      <colorScale>
        <cfvo type="min" val="0"/>
        <cfvo type="percentile" val="50"/>
        <cfvo type="max" val="0"/>
        <color rgb="FFF8696B"/>
        <color rgb="FFFFEB84"/>
        <color rgb="FF63BE7B"/>
      </colorScale>
    </cfRule>
    <cfRule type="colorScale" priority="4502">
      <colorScale>
        <cfvo type="num" val="1"/>
        <cfvo type="num" val="2"/>
        <cfvo type="num" val="3"/>
        <color rgb="FFF8696B"/>
        <color rgb="FFFFEB84"/>
        <color rgb="FF63BE7B"/>
      </colorScale>
    </cfRule>
    <cfRule type="colorScale" priority="4503">
      <colorScale>
        <cfvo type="num" val="1"/>
        <cfvo type="num" val="2"/>
        <cfvo type="num" val="3"/>
        <color rgb="FFF8696B"/>
        <color rgb="FFFFEB84"/>
        <color rgb="FF63BE7B"/>
      </colorScale>
    </cfRule>
  </conditionalFormatting>
  <conditionalFormatting sqref="O308:P308">
    <cfRule type="cellIs" dxfId="718" priority="4485" operator="equal">
      <formula>5</formula>
    </cfRule>
    <cfRule type="cellIs" dxfId="717" priority="4486" operator="equal">
      <formula>4</formula>
    </cfRule>
    <cfRule type="cellIs" dxfId="716" priority="4487" operator="equal">
      <formula>1</formula>
    </cfRule>
    <cfRule type="cellIs" dxfId="715" priority="4488" operator="equal">
      <formula>3</formula>
    </cfRule>
    <cfRule type="cellIs" dxfId="714" priority="4489" operator="equal">
      <formula>2</formula>
    </cfRule>
    <cfRule type="colorScale" priority="4490">
      <colorScale>
        <cfvo type="min" val="0"/>
        <cfvo type="percentile" val="50"/>
        <cfvo type="max" val="0"/>
        <color rgb="FFF8696B"/>
        <color rgb="FFFFEB84"/>
        <color rgb="FF63BE7B"/>
      </colorScale>
    </cfRule>
    <cfRule type="colorScale" priority="4491">
      <colorScale>
        <cfvo type="num" val="1"/>
        <cfvo type="num" val="2"/>
        <cfvo type="num" val="3"/>
        <color rgb="FFF8696B"/>
        <color rgb="FFFFEB84"/>
        <color rgb="FF63BE7B"/>
      </colorScale>
    </cfRule>
    <cfRule type="colorScale" priority="4492">
      <colorScale>
        <cfvo type="num" val="1"/>
        <cfvo type="num" val="2"/>
        <cfvo type="num" val="3"/>
        <color rgb="FFF8696B"/>
        <color rgb="FFFFEB84"/>
        <color rgb="FF63BE7B"/>
      </colorScale>
    </cfRule>
    <cfRule type="colorScale" priority="4493">
      <colorScale>
        <cfvo type="num" val="1"/>
        <cfvo type="num" val="2"/>
        <cfvo type="num" val="3"/>
        <color rgb="FFF8696B"/>
        <color rgb="FFFFEB84"/>
        <color rgb="FF63BE7B"/>
      </colorScale>
    </cfRule>
    <cfRule type="colorScale" priority="4494">
      <colorScale>
        <cfvo type="num" val="1"/>
        <cfvo type="num" val="2"/>
        <cfvo type="num" val="3"/>
        <color rgb="FFF8696B"/>
        <color rgb="FFFFEB84"/>
        <color rgb="FF63BE7B"/>
      </colorScale>
    </cfRule>
    <cfRule type="colorScale" priority="4495">
      <colorScale>
        <cfvo type="num" val="1"/>
        <cfvo type="num" val="2"/>
        <cfvo type="num" val="3"/>
        <color rgb="FFF8696B"/>
        <color rgb="FFFFEB84"/>
        <color rgb="FF63BE7B"/>
      </colorScale>
    </cfRule>
    <cfRule type="colorScale" priority="4496">
      <colorScale>
        <cfvo type="num" val="1"/>
        <cfvo type="num" val="2"/>
        <cfvo type="num" val="3"/>
        <color rgb="FFF8696B"/>
        <color rgb="FFFFEB84"/>
        <color rgb="FF63BE7B"/>
      </colorScale>
    </cfRule>
  </conditionalFormatting>
  <conditionalFormatting sqref="Q308">
    <cfRule type="cellIs" dxfId="713" priority="4473" operator="equal">
      <formula>5</formula>
    </cfRule>
    <cfRule type="cellIs" dxfId="712" priority="4474" operator="equal">
      <formula>4</formula>
    </cfRule>
    <cfRule type="cellIs" dxfId="711" priority="4475" operator="equal">
      <formula>1</formula>
    </cfRule>
    <cfRule type="cellIs" dxfId="710" priority="4476" operator="equal">
      <formula>3</formula>
    </cfRule>
    <cfRule type="cellIs" dxfId="709" priority="4477" operator="equal">
      <formula>2</formula>
    </cfRule>
    <cfRule type="colorScale" priority="4478">
      <colorScale>
        <cfvo type="min" val="0"/>
        <cfvo type="percentile" val="50"/>
        <cfvo type="max" val="0"/>
        <color rgb="FFF8696B"/>
        <color rgb="FFFFEB84"/>
        <color rgb="FF63BE7B"/>
      </colorScale>
    </cfRule>
    <cfRule type="colorScale" priority="4479">
      <colorScale>
        <cfvo type="num" val="1"/>
        <cfvo type="num" val="2"/>
        <cfvo type="num" val="3"/>
        <color rgb="FFF8696B"/>
        <color rgb="FFFFEB84"/>
        <color rgb="FF63BE7B"/>
      </colorScale>
    </cfRule>
    <cfRule type="colorScale" priority="4480">
      <colorScale>
        <cfvo type="num" val="1"/>
        <cfvo type="num" val="2"/>
        <cfvo type="num" val="3"/>
        <color rgb="FFF8696B"/>
        <color rgb="FFFFEB84"/>
        <color rgb="FF63BE7B"/>
      </colorScale>
    </cfRule>
    <cfRule type="colorScale" priority="4481">
      <colorScale>
        <cfvo type="num" val="1"/>
        <cfvo type="num" val="2"/>
        <cfvo type="num" val="3"/>
        <color rgb="FFF8696B"/>
        <color rgb="FFFFEB84"/>
        <color rgb="FF63BE7B"/>
      </colorScale>
    </cfRule>
    <cfRule type="colorScale" priority="4482">
      <colorScale>
        <cfvo type="num" val="1"/>
        <cfvo type="num" val="2"/>
        <cfvo type="num" val="3"/>
        <color rgb="FFF8696B"/>
        <color rgb="FFFFEB84"/>
        <color rgb="FF63BE7B"/>
      </colorScale>
    </cfRule>
    <cfRule type="colorScale" priority="4483">
      <colorScale>
        <cfvo type="num" val="1"/>
        <cfvo type="num" val="2"/>
        <cfvo type="num" val="3"/>
        <color rgb="FFF8696B"/>
        <color rgb="FFFFEB84"/>
        <color rgb="FF63BE7B"/>
      </colorScale>
    </cfRule>
    <cfRule type="colorScale" priority="4484">
      <colorScale>
        <cfvo type="num" val="1"/>
        <cfvo type="num" val="2"/>
        <cfvo type="num" val="3"/>
        <color rgb="FFF8696B"/>
        <color rgb="FFFFEB84"/>
        <color rgb="FF63BE7B"/>
      </colorScale>
    </cfRule>
  </conditionalFormatting>
  <conditionalFormatting sqref="O308">
    <cfRule type="cellIs" dxfId="708" priority="4463" operator="equal">
      <formula>5</formula>
    </cfRule>
    <cfRule type="cellIs" dxfId="707" priority="4464" operator="equal">
      <formula>4</formula>
    </cfRule>
    <cfRule type="cellIs" dxfId="706" priority="4465" operator="equal">
      <formula>1</formula>
    </cfRule>
    <cfRule type="cellIs" dxfId="705" priority="4466" operator="equal">
      <formula>3</formula>
    </cfRule>
    <cfRule type="cellIs" dxfId="704" priority="4467" operator="equal">
      <formula>2</formula>
    </cfRule>
    <cfRule type="colorScale" priority="4468">
      <colorScale>
        <cfvo type="min" val="0"/>
        <cfvo type="percentile" val="50"/>
        <cfvo type="max" val="0"/>
        <color rgb="FFF8696B"/>
        <color rgb="FFFFEB84"/>
        <color rgb="FF63BE7B"/>
      </colorScale>
    </cfRule>
    <cfRule type="colorScale" priority="4469">
      <colorScale>
        <cfvo type="num" val="1"/>
        <cfvo type="num" val="2"/>
        <cfvo type="num" val="3"/>
        <color rgb="FFF8696B"/>
        <color rgb="FFFFEB84"/>
        <color rgb="FF63BE7B"/>
      </colorScale>
    </cfRule>
    <cfRule type="colorScale" priority="4470">
      <colorScale>
        <cfvo type="num" val="1"/>
        <cfvo type="num" val="2"/>
        <cfvo type="num" val="3"/>
        <color rgb="FFF8696B"/>
        <color rgb="FFFFEB84"/>
        <color rgb="FF63BE7B"/>
      </colorScale>
    </cfRule>
  </conditionalFormatting>
  <conditionalFormatting sqref="Q308">
    <cfRule type="cellIs" dxfId="703" priority="4415" operator="equal">
      <formula>5</formula>
    </cfRule>
    <cfRule type="cellIs" dxfId="702" priority="4416" operator="equal">
      <formula>4</formula>
    </cfRule>
    <cfRule type="cellIs" dxfId="701" priority="4417" operator="equal">
      <formula>1</formula>
    </cfRule>
    <cfRule type="cellIs" dxfId="700" priority="4418" operator="equal">
      <formula>3</formula>
    </cfRule>
    <cfRule type="colorScale" priority="4419">
      <colorScale>
        <cfvo type="min" val="0"/>
        <cfvo type="percentile" val="50"/>
        <cfvo type="max" val="0"/>
        <color rgb="FFF8696B"/>
        <color rgb="FFFFEB84"/>
        <color rgb="FF63BE7B"/>
      </colorScale>
    </cfRule>
    <cfRule type="colorScale" priority="4420">
      <colorScale>
        <cfvo type="num" val="1"/>
        <cfvo type="num" val="2"/>
        <cfvo type="num" val="3"/>
        <color rgb="FFF8696B"/>
        <color rgb="FFFFEB84"/>
        <color rgb="FF63BE7B"/>
      </colorScale>
    </cfRule>
    <cfRule type="colorScale" priority="4421">
      <colorScale>
        <cfvo type="num" val="1"/>
        <cfvo type="num" val="2"/>
        <cfvo type="num" val="3"/>
        <color rgb="FFF8696B"/>
        <color rgb="FFFFEB84"/>
        <color rgb="FF63BE7B"/>
      </colorScale>
    </cfRule>
    <cfRule type="colorScale" priority="4422">
      <colorScale>
        <cfvo type="num" val="1"/>
        <cfvo type="num" val="2"/>
        <cfvo type="num" val="3"/>
        <color rgb="FFF8696B"/>
        <color rgb="FFFFEB84"/>
        <color rgb="FF63BE7B"/>
      </colorScale>
    </cfRule>
    <cfRule type="colorScale" priority="4423">
      <colorScale>
        <cfvo type="num" val="1"/>
        <cfvo type="num" val="2"/>
        <cfvo type="num" val="3"/>
        <color rgb="FFF8696B"/>
        <color rgb="FFFFEB84"/>
        <color rgb="FF63BE7B"/>
      </colorScale>
    </cfRule>
    <cfRule type="colorScale" priority="4424">
      <colorScale>
        <cfvo type="num" val="1"/>
        <cfvo type="num" val="2"/>
        <cfvo type="num" val="3"/>
        <color rgb="FFF8696B"/>
        <color rgb="FFFFEB84"/>
        <color rgb="FF63BE7B"/>
      </colorScale>
    </cfRule>
    <cfRule type="colorScale" priority="4425">
      <colorScale>
        <cfvo type="num" val="1"/>
        <cfvo type="num" val="2"/>
        <cfvo type="num" val="3"/>
        <color rgb="FFF8696B"/>
        <color rgb="FFFFEB84"/>
        <color rgb="FF63BE7B"/>
      </colorScale>
    </cfRule>
  </conditionalFormatting>
  <conditionalFormatting sqref="O308:Q308">
    <cfRule type="cellIs" dxfId="699" priority="4378" operator="equal">
      <formula>5</formula>
    </cfRule>
    <cfRule type="cellIs" dxfId="698" priority="4379" operator="equal">
      <formula>4</formula>
    </cfRule>
    <cfRule type="cellIs" dxfId="697" priority="4380" operator="equal">
      <formula>1</formula>
    </cfRule>
    <cfRule type="cellIs" dxfId="696" priority="4381" operator="equal">
      <formula>3</formula>
    </cfRule>
    <cfRule type="cellIs" dxfId="695" priority="4382" operator="equal">
      <formula>2</formula>
    </cfRule>
    <cfRule type="colorScale" priority="4383">
      <colorScale>
        <cfvo type="min" val="0"/>
        <cfvo type="percentile" val="50"/>
        <cfvo type="max" val="0"/>
        <color rgb="FFF8696B"/>
        <color rgb="FFFFEB84"/>
        <color rgb="FF63BE7B"/>
      </colorScale>
    </cfRule>
    <cfRule type="colorScale" priority="4384">
      <colorScale>
        <cfvo type="num" val="1"/>
        <cfvo type="num" val="2"/>
        <cfvo type="num" val="3"/>
        <color rgb="FFF8696B"/>
        <color rgb="FFFFEB84"/>
        <color rgb="FF63BE7B"/>
      </colorScale>
    </cfRule>
    <cfRule type="colorScale" priority="4385">
      <colorScale>
        <cfvo type="num" val="1"/>
        <cfvo type="num" val="2"/>
        <cfvo type="num" val="3"/>
        <color rgb="FFF8696B"/>
        <color rgb="FFFFEB84"/>
        <color rgb="FF63BE7B"/>
      </colorScale>
    </cfRule>
    <cfRule type="colorScale" priority="4386">
      <colorScale>
        <cfvo type="num" val="1"/>
        <cfvo type="num" val="2"/>
        <cfvo type="num" val="3"/>
        <color rgb="FFF8696B"/>
        <color rgb="FFFFEB84"/>
        <color rgb="FF63BE7B"/>
      </colorScale>
    </cfRule>
    <cfRule type="colorScale" priority="4387">
      <colorScale>
        <cfvo type="num" val="1"/>
        <cfvo type="num" val="2"/>
        <cfvo type="num" val="3"/>
        <color rgb="FFF8696B"/>
        <color rgb="FFFFEB84"/>
        <color rgb="FF63BE7B"/>
      </colorScale>
    </cfRule>
    <cfRule type="colorScale" priority="4388">
      <colorScale>
        <cfvo type="num" val="1"/>
        <cfvo type="num" val="2"/>
        <cfvo type="num" val="3"/>
        <color rgb="FFF8696B"/>
        <color rgb="FFFFEB84"/>
        <color rgb="FF63BE7B"/>
      </colorScale>
    </cfRule>
    <cfRule type="colorScale" priority="4389">
      <colorScale>
        <cfvo type="num" val="1"/>
        <cfvo type="num" val="2"/>
        <cfvo type="num" val="3"/>
        <color rgb="FFF8696B"/>
        <color rgb="FFFFEB84"/>
        <color rgb="FF63BE7B"/>
      </colorScale>
    </cfRule>
  </conditionalFormatting>
  <conditionalFormatting sqref="T308">
    <cfRule type="cellIs" dxfId="694" priority="4356" operator="equal">
      <formula>5</formula>
    </cfRule>
    <cfRule type="cellIs" dxfId="693" priority="4357" operator="equal">
      <formula>4</formula>
    </cfRule>
    <cfRule type="cellIs" dxfId="692" priority="4358" operator="equal">
      <formula>1</formula>
    </cfRule>
    <cfRule type="cellIs" dxfId="691" priority="4359" operator="equal">
      <formula>3</formula>
    </cfRule>
    <cfRule type="colorScale" priority="4360">
      <colorScale>
        <cfvo type="min" val="0"/>
        <cfvo type="percentile" val="50"/>
        <cfvo type="max" val="0"/>
        <color rgb="FFF8696B"/>
        <color rgb="FFFFEB84"/>
        <color rgb="FF63BE7B"/>
      </colorScale>
    </cfRule>
    <cfRule type="colorScale" priority="4361">
      <colorScale>
        <cfvo type="num" val="1"/>
        <cfvo type="num" val="2"/>
        <cfvo type="num" val="3"/>
        <color rgb="FFF8696B"/>
        <color rgb="FFFFEB84"/>
        <color rgb="FF63BE7B"/>
      </colorScale>
    </cfRule>
    <cfRule type="colorScale" priority="4362">
      <colorScale>
        <cfvo type="num" val="1"/>
        <cfvo type="num" val="2"/>
        <cfvo type="num" val="3"/>
        <color rgb="FFF8696B"/>
        <color rgb="FFFFEB84"/>
        <color rgb="FF63BE7B"/>
      </colorScale>
    </cfRule>
  </conditionalFormatting>
  <conditionalFormatting sqref="U308">
    <cfRule type="cellIs" dxfId="690" priority="4349" operator="equal">
      <formula>5</formula>
    </cfRule>
    <cfRule type="cellIs" dxfId="689" priority="4350" operator="equal">
      <formula>4</formula>
    </cfRule>
    <cfRule type="cellIs" dxfId="688" priority="4351" operator="equal">
      <formula>1</formula>
    </cfRule>
    <cfRule type="cellIs" dxfId="687" priority="4352" operator="equal">
      <formula>3</formula>
    </cfRule>
    <cfRule type="colorScale" priority="4353">
      <colorScale>
        <cfvo type="min" val="0"/>
        <cfvo type="percentile" val="50"/>
        <cfvo type="max" val="0"/>
        <color rgb="FFF8696B"/>
        <color rgb="FFFFEB84"/>
        <color rgb="FF63BE7B"/>
      </colorScale>
    </cfRule>
    <cfRule type="colorScale" priority="4354">
      <colorScale>
        <cfvo type="num" val="1"/>
        <cfvo type="num" val="2"/>
        <cfvo type="num" val="3"/>
        <color rgb="FFF8696B"/>
        <color rgb="FFFFEB84"/>
        <color rgb="FF63BE7B"/>
      </colorScale>
    </cfRule>
    <cfRule type="colorScale" priority="4355">
      <colorScale>
        <cfvo type="num" val="1"/>
        <cfvo type="num" val="2"/>
        <cfvo type="num" val="3"/>
        <color rgb="FFF8696B"/>
        <color rgb="FFFFEB84"/>
        <color rgb="FF63BE7B"/>
      </colorScale>
    </cfRule>
  </conditionalFormatting>
  <conditionalFormatting sqref="T308:U308">
    <cfRule type="cellIs" dxfId="686" priority="4337" operator="equal">
      <formula>5</formula>
    </cfRule>
    <cfRule type="cellIs" dxfId="685" priority="4338" operator="equal">
      <formula>4</formula>
    </cfRule>
    <cfRule type="cellIs" dxfId="684" priority="4339" operator="equal">
      <formula>1</formula>
    </cfRule>
    <cfRule type="cellIs" dxfId="683" priority="4340" operator="equal">
      <formula>3</formula>
    </cfRule>
    <cfRule type="cellIs" dxfId="682" priority="4341" operator="equal">
      <formula>2</formula>
    </cfRule>
    <cfRule type="colorScale" priority="4342">
      <colorScale>
        <cfvo type="min" val="0"/>
        <cfvo type="percentile" val="50"/>
        <cfvo type="max" val="0"/>
        <color rgb="FFF8696B"/>
        <color rgb="FFFFEB84"/>
        <color rgb="FF63BE7B"/>
      </colorScale>
    </cfRule>
    <cfRule type="colorScale" priority="4343">
      <colorScale>
        <cfvo type="num" val="1"/>
        <cfvo type="num" val="2"/>
        <cfvo type="num" val="3"/>
        <color rgb="FFF8696B"/>
        <color rgb="FFFFEB84"/>
        <color rgb="FF63BE7B"/>
      </colorScale>
    </cfRule>
    <cfRule type="colorScale" priority="4344">
      <colorScale>
        <cfvo type="num" val="1"/>
        <cfvo type="num" val="2"/>
        <cfvo type="num" val="3"/>
        <color rgb="FFF8696B"/>
        <color rgb="FFFFEB84"/>
        <color rgb="FF63BE7B"/>
      </colorScale>
    </cfRule>
    <cfRule type="colorScale" priority="4345">
      <colorScale>
        <cfvo type="num" val="1"/>
        <cfvo type="num" val="2"/>
        <cfvo type="num" val="3"/>
        <color rgb="FFF8696B"/>
        <color rgb="FFFFEB84"/>
        <color rgb="FF63BE7B"/>
      </colorScale>
    </cfRule>
    <cfRule type="colorScale" priority="4346">
      <colorScale>
        <cfvo type="num" val="1"/>
        <cfvo type="num" val="2"/>
        <cfvo type="num" val="3"/>
        <color rgb="FFF8696B"/>
        <color rgb="FFFFEB84"/>
        <color rgb="FF63BE7B"/>
      </colorScale>
    </cfRule>
    <cfRule type="colorScale" priority="4347">
      <colorScale>
        <cfvo type="num" val="1"/>
        <cfvo type="num" val="2"/>
        <cfvo type="num" val="3"/>
        <color rgb="FFF8696B"/>
        <color rgb="FFFFEB84"/>
        <color rgb="FF63BE7B"/>
      </colorScale>
    </cfRule>
    <cfRule type="colorScale" priority="4348">
      <colorScale>
        <cfvo type="num" val="1"/>
        <cfvo type="num" val="2"/>
        <cfvo type="num" val="3"/>
        <color rgb="FFF8696B"/>
        <color rgb="FFFFEB84"/>
        <color rgb="FF63BE7B"/>
      </colorScale>
    </cfRule>
  </conditionalFormatting>
  <conditionalFormatting sqref="V308">
    <cfRule type="cellIs" dxfId="681" priority="4325" operator="equal">
      <formula>5</formula>
    </cfRule>
    <cfRule type="cellIs" dxfId="680" priority="4326" operator="equal">
      <formula>4</formula>
    </cfRule>
    <cfRule type="cellIs" dxfId="679" priority="4327" operator="equal">
      <formula>1</formula>
    </cfRule>
    <cfRule type="cellIs" dxfId="678" priority="4328" operator="equal">
      <formula>3</formula>
    </cfRule>
    <cfRule type="cellIs" dxfId="677" priority="4329" operator="equal">
      <formula>2</formula>
    </cfRule>
    <cfRule type="colorScale" priority="4330">
      <colorScale>
        <cfvo type="min" val="0"/>
        <cfvo type="percentile" val="50"/>
        <cfvo type="max" val="0"/>
        <color rgb="FFF8696B"/>
        <color rgb="FFFFEB84"/>
        <color rgb="FF63BE7B"/>
      </colorScale>
    </cfRule>
    <cfRule type="colorScale" priority="4331">
      <colorScale>
        <cfvo type="num" val="1"/>
        <cfvo type="num" val="2"/>
        <cfvo type="num" val="3"/>
        <color rgb="FFF8696B"/>
        <color rgb="FFFFEB84"/>
        <color rgb="FF63BE7B"/>
      </colorScale>
    </cfRule>
    <cfRule type="colorScale" priority="4332">
      <colorScale>
        <cfvo type="num" val="1"/>
        <cfvo type="num" val="2"/>
        <cfvo type="num" val="3"/>
        <color rgb="FFF8696B"/>
        <color rgb="FFFFEB84"/>
        <color rgb="FF63BE7B"/>
      </colorScale>
    </cfRule>
    <cfRule type="colorScale" priority="4333">
      <colorScale>
        <cfvo type="num" val="1"/>
        <cfvo type="num" val="2"/>
        <cfvo type="num" val="3"/>
        <color rgb="FFF8696B"/>
        <color rgb="FFFFEB84"/>
        <color rgb="FF63BE7B"/>
      </colorScale>
    </cfRule>
    <cfRule type="colorScale" priority="4334">
      <colorScale>
        <cfvo type="num" val="1"/>
        <cfvo type="num" val="2"/>
        <cfvo type="num" val="3"/>
        <color rgb="FFF8696B"/>
        <color rgb="FFFFEB84"/>
        <color rgb="FF63BE7B"/>
      </colorScale>
    </cfRule>
    <cfRule type="colorScale" priority="4335">
      <colorScale>
        <cfvo type="num" val="1"/>
        <cfvo type="num" val="2"/>
        <cfvo type="num" val="3"/>
        <color rgb="FFF8696B"/>
        <color rgb="FFFFEB84"/>
        <color rgb="FF63BE7B"/>
      </colorScale>
    </cfRule>
    <cfRule type="colorScale" priority="4336">
      <colorScale>
        <cfvo type="num" val="1"/>
        <cfvo type="num" val="2"/>
        <cfvo type="num" val="3"/>
        <color rgb="FFF8696B"/>
        <color rgb="FFFFEB84"/>
        <color rgb="FF63BE7B"/>
      </colorScale>
    </cfRule>
  </conditionalFormatting>
  <conditionalFormatting sqref="T308">
    <cfRule type="cellIs" dxfId="676" priority="4274" operator="equal">
      <formula>5</formula>
    </cfRule>
    <cfRule type="cellIs" dxfId="675" priority="4275" operator="equal">
      <formula>4</formula>
    </cfRule>
    <cfRule type="cellIs" dxfId="674" priority="4276" operator="equal">
      <formula>1</formula>
    </cfRule>
    <cfRule type="cellIs" dxfId="673" priority="4277" operator="equal">
      <formula>3</formula>
    </cfRule>
    <cfRule type="cellIs" dxfId="672" priority="4278" operator="equal">
      <formula>2</formula>
    </cfRule>
    <cfRule type="colorScale" priority="4279">
      <colorScale>
        <cfvo type="min" val="0"/>
        <cfvo type="percentile" val="50"/>
        <cfvo type="max" val="0"/>
        <color rgb="FFF8696B"/>
        <color rgb="FFFFEB84"/>
        <color rgb="FF63BE7B"/>
      </colorScale>
    </cfRule>
    <cfRule type="colorScale" priority="4280">
      <colorScale>
        <cfvo type="num" val="1"/>
        <cfvo type="num" val="2"/>
        <cfvo type="num" val="3"/>
        <color rgb="FFF8696B"/>
        <color rgb="FFFFEB84"/>
        <color rgb="FF63BE7B"/>
      </colorScale>
    </cfRule>
    <cfRule type="colorScale" priority="4281">
      <colorScale>
        <cfvo type="num" val="1"/>
        <cfvo type="num" val="2"/>
        <cfvo type="num" val="3"/>
        <color rgb="FFF8696B"/>
        <color rgb="FFFFEB84"/>
        <color rgb="FF63BE7B"/>
      </colorScale>
    </cfRule>
  </conditionalFormatting>
  <conditionalFormatting sqref="V308">
    <cfRule type="cellIs" dxfId="671" priority="4226" operator="equal">
      <formula>5</formula>
    </cfRule>
    <cfRule type="cellIs" dxfId="670" priority="4227" operator="equal">
      <formula>4</formula>
    </cfRule>
    <cfRule type="cellIs" dxfId="669" priority="4228" operator="equal">
      <formula>1</formula>
    </cfRule>
    <cfRule type="cellIs" dxfId="668" priority="4229" operator="equal">
      <formula>3</formula>
    </cfRule>
    <cfRule type="colorScale" priority="4230">
      <colorScale>
        <cfvo type="min" val="0"/>
        <cfvo type="percentile" val="50"/>
        <cfvo type="max" val="0"/>
        <color rgb="FFF8696B"/>
        <color rgb="FFFFEB84"/>
        <color rgb="FF63BE7B"/>
      </colorScale>
    </cfRule>
    <cfRule type="colorScale" priority="4231">
      <colorScale>
        <cfvo type="num" val="1"/>
        <cfvo type="num" val="2"/>
        <cfvo type="num" val="3"/>
        <color rgb="FFF8696B"/>
        <color rgb="FFFFEB84"/>
        <color rgb="FF63BE7B"/>
      </colorScale>
    </cfRule>
    <cfRule type="colorScale" priority="4232">
      <colorScale>
        <cfvo type="num" val="1"/>
        <cfvo type="num" val="2"/>
        <cfvo type="num" val="3"/>
        <color rgb="FFF8696B"/>
        <color rgb="FFFFEB84"/>
        <color rgb="FF63BE7B"/>
      </colorScale>
    </cfRule>
    <cfRule type="colorScale" priority="4233">
      <colorScale>
        <cfvo type="num" val="1"/>
        <cfvo type="num" val="2"/>
        <cfvo type="num" val="3"/>
        <color rgb="FFF8696B"/>
        <color rgb="FFFFEB84"/>
        <color rgb="FF63BE7B"/>
      </colorScale>
    </cfRule>
    <cfRule type="colorScale" priority="4234">
      <colorScale>
        <cfvo type="num" val="1"/>
        <cfvo type="num" val="2"/>
        <cfvo type="num" val="3"/>
        <color rgb="FFF8696B"/>
        <color rgb="FFFFEB84"/>
        <color rgb="FF63BE7B"/>
      </colorScale>
    </cfRule>
    <cfRule type="colorScale" priority="4235">
      <colorScale>
        <cfvo type="num" val="1"/>
        <cfvo type="num" val="2"/>
        <cfvo type="num" val="3"/>
        <color rgb="FFF8696B"/>
        <color rgb="FFFFEB84"/>
        <color rgb="FF63BE7B"/>
      </colorScale>
    </cfRule>
    <cfRule type="colorScale" priority="4236">
      <colorScale>
        <cfvo type="num" val="1"/>
        <cfvo type="num" val="2"/>
        <cfvo type="num" val="3"/>
        <color rgb="FFF8696B"/>
        <color rgb="FFFFEB84"/>
        <color rgb="FF63BE7B"/>
      </colorScale>
    </cfRule>
  </conditionalFormatting>
  <conditionalFormatting sqref="T308:V308">
    <cfRule type="cellIs" dxfId="667" priority="4189" operator="equal">
      <formula>5</formula>
    </cfRule>
    <cfRule type="cellIs" dxfId="666" priority="4190" operator="equal">
      <formula>4</formula>
    </cfRule>
    <cfRule type="cellIs" dxfId="665" priority="4191" operator="equal">
      <formula>1</formula>
    </cfRule>
    <cfRule type="cellIs" dxfId="664" priority="4192" operator="equal">
      <formula>3</formula>
    </cfRule>
    <cfRule type="cellIs" dxfId="663" priority="4193" operator="equal">
      <formula>2</formula>
    </cfRule>
    <cfRule type="colorScale" priority="4194">
      <colorScale>
        <cfvo type="min" val="0"/>
        <cfvo type="percentile" val="50"/>
        <cfvo type="max" val="0"/>
        <color rgb="FFF8696B"/>
        <color rgb="FFFFEB84"/>
        <color rgb="FF63BE7B"/>
      </colorScale>
    </cfRule>
    <cfRule type="colorScale" priority="4195">
      <colorScale>
        <cfvo type="num" val="1"/>
        <cfvo type="num" val="2"/>
        <cfvo type="num" val="3"/>
        <color rgb="FFF8696B"/>
        <color rgb="FFFFEB84"/>
        <color rgb="FF63BE7B"/>
      </colorScale>
    </cfRule>
    <cfRule type="colorScale" priority="4196">
      <colorScale>
        <cfvo type="num" val="1"/>
        <cfvo type="num" val="2"/>
        <cfvo type="num" val="3"/>
        <color rgb="FFF8696B"/>
        <color rgb="FFFFEB84"/>
        <color rgb="FF63BE7B"/>
      </colorScale>
    </cfRule>
    <cfRule type="colorScale" priority="4197">
      <colorScale>
        <cfvo type="num" val="1"/>
        <cfvo type="num" val="2"/>
        <cfvo type="num" val="3"/>
        <color rgb="FFF8696B"/>
        <color rgb="FFFFEB84"/>
        <color rgb="FF63BE7B"/>
      </colorScale>
    </cfRule>
    <cfRule type="colorScale" priority="4198">
      <colorScale>
        <cfvo type="num" val="1"/>
        <cfvo type="num" val="2"/>
        <cfvo type="num" val="3"/>
        <color rgb="FFF8696B"/>
        <color rgb="FFFFEB84"/>
        <color rgb="FF63BE7B"/>
      </colorScale>
    </cfRule>
    <cfRule type="colorScale" priority="4199">
      <colorScale>
        <cfvo type="num" val="1"/>
        <cfvo type="num" val="2"/>
        <cfvo type="num" val="3"/>
        <color rgb="FFF8696B"/>
        <color rgb="FFFFEB84"/>
        <color rgb="FF63BE7B"/>
      </colorScale>
    </cfRule>
    <cfRule type="colorScale" priority="4200">
      <colorScale>
        <cfvo type="num" val="1"/>
        <cfvo type="num" val="2"/>
        <cfvo type="num" val="3"/>
        <color rgb="FFF8696B"/>
        <color rgb="FFFFEB84"/>
        <color rgb="FF63BE7B"/>
      </colorScale>
    </cfRule>
  </conditionalFormatting>
  <conditionalFormatting sqref="Y308">
    <cfRule type="cellIs" dxfId="662" priority="4154" operator="equal">
      <formula>5</formula>
    </cfRule>
    <cfRule type="cellIs" dxfId="661" priority="4155" operator="equal">
      <formula>4</formula>
    </cfRule>
    <cfRule type="cellIs" dxfId="660" priority="4156" operator="equal">
      <formula>1</formula>
    </cfRule>
    <cfRule type="cellIs" dxfId="659" priority="4157" operator="equal">
      <formula>3</formula>
    </cfRule>
    <cfRule type="colorScale" priority="4158">
      <colorScale>
        <cfvo type="min" val="0"/>
        <cfvo type="percentile" val="50"/>
        <cfvo type="max" val="0"/>
        <color rgb="FFF8696B"/>
        <color rgb="FFFFEB84"/>
        <color rgb="FF63BE7B"/>
      </colorScale>
    </cfRule>
    <cfRule type="colorScale" priority="4159">
      <colorScale>
        <cfvo type="num" val="1"/>
        <cfvo type="num" val="2"/>
        <cfvo type="num" val="3"/>
        <color rgb="FFF8696B"/>
        <color rgb="FFFFEB84"/>
        <color rgb="FF63BE7B"/>
      </colorScale>
    </cfRule>
    <cfRule type="colorScale" priority="4160">
      <colorScale>
        <cfvo type="num" val="1"/>
        <cfvo type="num" val="2"/>
        <cfvo type="num" val="3"/>
        <color rgb="FFF8696B"/>
        <color rgb="FFFFEB84"/>
        <color rgb="FF63BE7B"/>
      </colorScale>
    </cfRule>
  </conditionalFormatting>
  <conditionalFormatting sqref="Z308">
    <cfRule type="cellIs" dxfId="658" priority="4147" operator="equal">
      <formula>5</formula>
    </cfRule>
    <cfRule type="cellIs" dxfId="657" priority="4148" operator="equal">
      <formula>4</formula>
    </cfRule>
    <cfRule type="cellIs" dxfId="656" priority="4149" operator="equal">
      <formula>1</formula>
    </cfRule>
    <cfRule type="cellIs" dxfId="655" priority="4150" operator="equal">
      <formula>3</formula>
    </cfRule>
    <cfRule type="colorScale" priority="4151">
      <colorScale>
        <cfvo type="min" val="0"/>
        <cfvo type="percentile" val="50"/>
        <cfvo type="max" val="0"/>
        <color rgb="FFF8696B"/>
        <color rgb="FFFFEB84"/>
        <color rgb="FF63BE7B"/>
      </colorScale>
    </cfRule>
    <cfRule type="colorScale" priority="4152">
      <colorScale>
        <cfvo type="num" val="1"/>
        <cfvo type="num" val="2"/>
        <cfvo type="num" val="3"/>
        <color rgb="FFF8696B"/>
        <color rgb="FFFFEB84"/>
        <color rgb="FF63BE7B"/>
      </colorScale>
    </cfRule>
    <cfRule type="colorScale" priority="4153">
      <colorScale>
        <cfvo type="num" val="1"/>
        <cfvo type="num" val="2"/>
        <cfvo type="num" val="3"/>
        <color rgb="FFF8696B"/>
        <color rgb="FFFFEB84"/>
        <color rgb="FF63BE7B"/>
      </colorScale>
    </cfRule>
  </conditionalFormatting>
  <conditionalFormatting sqref="Y308:Z308">
    <cfRule type="cellIs" dxfId="654" priority="4135" operator="equal">
      <formula>5</formula>
    </cfRule>
    <cfRule type="cellIs" dxfId="653" priority="4136" operator="equal">
      <formula>4</formula>
    </cfRule>
    <cfRule type="cellIs" dxfId="652" priority="4137" operator="equal">
      <formula>1</formula>
    </cfRule>
    <cfRule type="cellIs" dxfId="651" priority="4138" operator="equal">
      <formula>3</formula>
    </cfRule>
    <cfRule type="cellIs" dxfId="650" priority="4139" operator="equal">
      <formula>2</formula>
    </cfRule>
    <cfRule type="colorScale" priority="4140">
      <colorScale>
        <cfvo type="min" val="0"/>
        <cfvo type="percentile" val="50"/>
        <cfvo type="max" val="0"/>
        <color rgb="FFF8696B"/>
        <color rgb="FFFFEB84"/>
        <color rgb="FF63BE7B"/>
      </colorScale>
    </cfRule>
    <cfRule type="colorScale" priority="4141">
      <colorScale>
        <cfvo type="num" val="1"/>
        <cfvo type="num" val="2"/>
        <cfvo type="num" val="3"/>
        <color rgb="FFF8696B"/>
        <color rgb="FFFFEB84"/>
        <color rgb="FF63BE7B"/>
      </colorScale>
    </cfRule>
    <cfRule type="colorScale" priority="4142">
      <colorScale>
        <cfvo type="num" val="1"/>
        <cfvo type="num" val="2"/>
        <cfvo type="num" val="3"/>
        <color rgb="FFF8696B"/>
        <color rgb="FFFFEB84"/>
        <color rgb="FF63BE7B"/>
      </colorScale>
    </cfRule>
    <cfRule type="colorScale" priority="4143">
      <colorScale>
        <cfvo type="num" val="1"/>
        <cfvo type="num" val="2"/>
        <cfvo type="num" val="3"/>
        <color rgb="FFF8696B"/>
        <color rgb="FFFFEB84"/>
        <color rgb="FF63BE7B"/>
      </colorScale>
    </cfRule>
    <cfRule type="colorScale" priority="4144">
      <colorScale>
        <cfvo type="num" val="1"/>
        <cfvo type="num" val="2"/>
        <cfvo type="num" val="3"/>
        <color rgb="FFF8696B"/>
        <color rgb="FFFFEB84"/>
        <color rgb="FF63BE7B"/>
      </colorScale>
    </cfRule>
    <cfRule type="colorScale" priority="4145">
      <colorScale>
        <cfvo type="num" val="1"/>
        <cfvo type="num" val="2"/>
        <cfvo type="num" val="3"/>
        <color rgb="FFF8696B"/>
        <color rgb="FFFFEB84"/>
        <color rgb="FF63BE7B"/>
      </colorScale>
    </cfRule>
    <cfRule type="colorScale" priority="4146">
      <colorScale>
        <cfvo type="num" val="1"/>
        <cfvo type="num" val="2"/>
        <cfvo type="num" val="3"/>
        <color rgb="FFF8696B"/>
        <color rgb="FFFFEB84"/>
        <color rgb="FF63BE7B"/>
      </colorScale>
    </cfRule>
  </conditionalFormatting>
  <conditionalFormatting sqref="AA308">
    <cfRule type="cellIs" dxfId="649" priority="4123" operator="equal">
      <formula>5</formula>
    </cfRule>
    <cfRule type="cellIs" dxfId="648" priority="4124" operator="equal">
      <formula>4</formula>
    </cfRule>
    <cfRule type="cellIs" dxfId="647" priority="4125" operator="equal">
      <formula>1</formula>
    </cfRule>
    <cfRule type="cellIs" dxfId="646" priority="4126" operator="equal">
      <formula>3</formula>
    </cfRule>
    <cfRule type="cellIs" dxfId="645" priority="4127" operator="equal">
      <formula>2</formula>
    </cfRule>
    <cfRule type="colorScale" priority="4128">
      <colorScale>
        <cfvo type="min" val="0"/>
        <cfvo type="percentile" val="50"/>
        <cfvo type="max" val="0"/>
        <color rgb="FFF8696B"/>
        <color rgb="FFFFEB84"/>
        <color rgb="FF63BE7B"/>
      </colorScale>
    </cfRule>
    <cfRule type="colorScale" priority="4129">
      <colorScale>
        <cfvo type="num" val="1"/>
        <cfvo type="num" val="2"/>
        <cfvo type="num" val="3"/>
        <color rgb="FFF8696B"/>
        <color rgb="FFFFEB84"/>
        <color rgb="FF63BE7B"/>
      </colorScale>
    </cfRule>
    <cfRule type="colorScale" priority="4130">
      <colorScale>
        <cfvo type="num" val="1"/>
        <cfvo type="num" val="2"/>
        <cfvo type="num" val="3"/>
        <color rgb="FFF8696B"/>
        <color rgb="FFFFEB84"/>
        <color rgb="FF63BE7B"/>
      </colorScale>
    </cfRule>
    <cfRule type="colorScale" priority="4131">
      <colorScale>
        <cfvo type="num" val="1"/>
        <cfvo type="num" val="2"/>
        <cfvo type="num" val="3"/>
        <color rgb="FFF8696B"/>
        <color rgb="FFFFEB84"/>
        <color rgb="FF63BE7B"/>
      </colorScale>
    </cfRule>
    <cfRule type="colorScale" priority="4132">
      <colorScale>
        <cfvo type="num" val="1"/>
        <cfvo type="num" val="2"/>
        <cfvo type="num" val="3"/>
        <color rgb="FFF8696B"/>
        <color rgb="FFFFEB84"/>
        <color rgb="FF63BE7B"/>
      </colorScale>
    </cfRule>
    <cfRule type="colorScale" priority="4133">
      <colorScale>
        <cfvo type="num" val="1"/>
        <cfvo type="num" val="2"/>
        <cfvo type="num" val="3"/>
        <color rgb="FFF8696B"/>
        <color rgb="FFFFEB84"/>
        <color rgb="FF63BE7B"/>
      </colorScale>
    </cfRule>
    <cfRule type="colorScale" priority="4134">
      <colorScale>
        <cfvo type="num" val="1"/>
        <cfvo type="num" val="2"/>
        <cfvo type="num" val="3"/>
        <color rgb="FFF8696B"/>
        <color rgb="FFFFEB84"/>
        <color rgb="FF63BE7B"/>
      </colorScale>
    </cfRule>
  </conditionalFormatting>
  <conditionalFormatting sqref="Y308">
    <cfRule type="cellIs" dxfId="644" priority="4030" operator="equal">
      <formula>5</formula>
    </cfRule>
    <cfRule type="cellIs" dxfId="643" priority="4031" operator="equal">
      <formula>4</formula>
    </cfRule>
    <cfRule type="cellIs" dxfId="642" priority="4032" operator="equal">
      <formula>1</formula>
    </cfRule>
    <cfRule type="cellIs" dxfId="641" priority="4033" operator="equal">
      <formula>3</formula>
    </cfRule>
    <cfRule type="cellIs" dxfId="640" priority="4034" operator="equal">
      <formula>2</formula>
    </cfRule>
    <cfRule type="colorScale" priority="4035">
      <colorScale>
        <cfvo type="min" val="0"/>
        <cfvo type="percentile" val="50"/>
        <cfvo type="max" val="0"/>
        <color rgb="FFF8696B"/>
        <color rgb="FFFFEB84"/>
        <color rgb="FF63BE7B"/>
      </colorScale>
    </cfRule>
    <cfRule type="colorScale" priority="4036">
      <colorScale>
        <cfvo type="num" val="1"/>
        <cfvo type="num" val="2"/>
        <cfvo type="num" val="3"/>
        <color rgb="FFF8696B"/>
        <color rgb="FFFFEB84"/>
        <color rgb="FF63BE7B"/>
      </colorScale>
    </cfRule>
    <cfRule type="colorScale" priority="4037">
      <colorScale>
        <cfvo type="num" val="1"/>
        <cfvo type="num" val="2"/>
        <cfvo type="num" val="3"/>
        <color rgb="FFF8696B"/>
        <color rgb="FFFFEB84"/>
        <color rgb="FF63BE7B"/>
      </colorScale>
    </cfRule>
  </conditionalFormatting>
  <conditionalFormatting sqref="AA308">
    <cfRule type="cellIs" dxfId="639" priority="3982" operator="equal">
      <formula>5</formula>
    </cfRule>
    <cfRule type="cellIs" dxfId="638" priority="3983" operator="equal">
      <formula>4</formula>
    </cfRule>
    <cfRule type="cellIs" dxfId="637" priority="3984" operator="equal">
      <formula>1</formula>
    </cfRule>
    <cfRule type="cellIs" dxfId="636" priority="3985" operator="equal">
      <formula>3</formula>
    </cfRule>
    <cfRule type="colorScale" priority="3986">
      <colorScale>
        <cfvo type="min" val="0"/>
        <cfvo type="percentile" val="50"/>
        <cfvo type="max" val="0"/>
        <color rgb="FFF8696B"/>
        <color rgb="FFFFEB84"/>
        <color rgb="FF63BE7B"/>
      </colorScale>
    </cfRule>
    <cfRule type="colorScale" priority="3987">
      <colorScale>
        <cfvo type="num" val="1"/>
        <cfvo type="num" val="2"/>
        <cfvo type="num" val="3"/>
        <color rgb="FFF8696B"/>
        <color rgb="FFFFEB84"/>
        <color rgb="FF63BE7B"/>
      </colorScale>
    </cfRule>
    <cfRule type="colorScale" priority="3988">
      <colorScale>
        <cfvo type="num" val="1"/>
        <cfvo type="num" val="2"/>
        <cfvo type="num" val="3"/>
        <color rgb="FFF8696B"/>
        <color rgb="FFFFEB84"/>
        <color rgb="FF63BE7B"/>
      </colorScale>
    </cfRule>
    <cfRule type="colorScale" priority="3989">
      <colorScale>
        <cfvo type="num" val="1"/>
        <cfvo type="num" val="2"/>
        <cfvo type="num" val="3"/>
        <color rgb="FFF8696B"/>
        <color rgb="FFFFEB84"/>
        <color rgb="FF63BE7B"/>
      </colorScale>
    </cfRule>
    <cfRule type="colorScale" priority="3990">
      <colorScale>
        <cfvo type="num" val="1"/>
        <cfvo type="num" val="2"/>
        <cfvo type="num" val="3"/>
        <color rgb="FFF8696B"/>
        <color rgb="FFFFEB84"/>
        <color rgb="FF63BE7B"/>
      </colorScale>
    </cfRule>
    <cfRule type="colorScale" priority="3991">
      <colorScale>
        <cfvo type="num" val="1"/>
        <cfvo type="num" val="2"/>
        <cfvo type="num" val="3"/>
        <color rgb="FFF8696B"/>
        <color rgb="FFFFEB84"/>
        <color rgb="FF63BE7B"/>
      </colorScale>
    </cfRule>
    <cfRule type="colorScale" priority="3992">
      <colorScale>
        <cfvo type="num" val="1"/>
        <cfvo type="num" val="2"/>
        <cfvo type="num" val="3"/>
        <color rgb="FFF8696B"/>
        <color rgb="FFFFEB84"/>
        <color rgb="FF63BE7B"/>
      </colorScale>
    </cfRule>
  </conditionalFormatting>
  <conditionalFormatting sqref="Y308:AA308">
    <cfRule type="cellIs" dxfId="635" priority="3945" operator="equal">
      <formula>5</formula>
    </cfRule>
    <cfRule type="cellIs" dxfId="634" priority="3946" operator="equal">
      <formula>4</formula>
    </cfRule>
    <cfRule type="cellIs" dxfId="633" priority="3947" operator="equal">
      <formula>1</formula>
    </cfRule>
    <cfRule type="cellIs" dxfId="632" priority="3948" operator="equal">
      <formula>3</formula>
    </cfRule>
    <cfRule type="cellIs" dxfId="631" priority="3949" operator="equal">
      <formula>2</formula>
    </cfRule>
    <cfRule type="colorScale" priority="3950">
      <colorScale>
        <cfvo type="min" val="0"/>
        <cfvo type="percentile" val="50"/>
        <cfvo type="max" val="0"/>
        <color rgb="FFF8696B"/>
        <color rgb="FFFFEB84"/>
        <color rgb="FF63BE7B"/>
      </colorScale>
    </cfRule>
    <cfRule type="colorScale" priority="3951">
      <colorScale>
        <cfvo type="num" val="1"/>
        <cfvo type="num" val="2"/>
        <cfvo type="num" val="3"/>
        <color rgb="FFF8696B"/>
        <color rgb="FFFFEB84"/>
        <color rgb="FF63BE7B"/>
      </colorScale>
    </cfRule>
    <cfRule type="colorScale" priority="3952">
      <colorScale>
        <cfvo type="num" val="1"/>
        <cfvo type="num" val="2"/>
        <cfvo type="num" val="3"/>
        <color rgb="FFF8696B"/>
        <color rgb="FFFFEB84"/>
        <color rgb="FF63BE7B"/>
      </colorScale>
    </cfRule>
    <cfRule type="colorScale" priority="3953">
      <colorScale>
        <cfvo type="num" val="1"/>
        <cfvo type="num" val="2"/>
        <cfvo type="num" val="3"/>
        <color rgb="FFF8696B"/>
        <color rgb="FFFFEB84"/>
        <color rgb="FF63BE7B"/>
      </colorScale>
    </cfRule>
    <cfRule type="colorScale" priority="3954">
      <colorScale>
        <cfvo type="num" val="1"/>
        <cfvo type="num" val="2"/>
        <cfvo type="num" val="3"/>
        <color rgb="FFF8696B"/>
        <color rgb="FFFFEB84"/>
        <color rgb="FF63BE7B"/>
      </colorScale>
    </cfRule>
    <cfRule type="colorScale" priority="3955">
      <colorScale>
        <cfvo type="num" val="1"/>
        <cfvo type="num" val="2"/>
        <cfvo type="num" val="3"/>
        <color rgb="FFF8696B"/>
        <color rgb="FFFFEB84"/>
        <color rgb="FF63BE7B"/>
      </colorScale>
    </cfRule>
    <cfRule type="colorScale" priority="3956">
      <colorScale>
        <cfvo type="num" val="1"/>
        <cfvo type="num" val="2"/>
        <cfvo type="num" val="3"/>
        <color rgb="FFF8696B"/>
        <color rgb="FFFFEB84"/>
        <color rgb="FF63BE7B"/>
      </colorScale>
    </cfRule>
  </conditionalFormatting>
  <conditionalFormatting sqref="AD308">
    <cfRule type="cellIs" dxfId="630" priority="3893" operator="equal">
      <formula>5</formula>
    </cfRule>
    <cfRule type="cellIs" dxfId="629" priority="3894" operator="equal">
      <formula>4</formula>
    </cfRule>
    <cfRule type="cellIs" dxfId="628" priority="3895" operator="equal">
      <formula>1</formula>
    </cfRule>
    <cfRule type="cellIs" dxfId="627" priority="3896" operator="equal">
      <formula>3</formula>
    </cfRule>
    <cfRule type="colorScale" priority="3897">
      <colorScale>
        <cfvo type="min" val="0"/>
        <cfvo type="percentile" val="50"/>
        <cfvo type="max" val="0"/>
        <color rgb="FFF8696B"/>
        <color rgb="FFFFEB84"/>
        <color rgb="FF63BE7B"/>
      </colorScale>
    </cfRule>
    <cfRule type="colorScale" priority="3898">
      <colorScale>
        <cfvo type="num" val="1"/>
        <cfvo type="num" val="2"/>
        <cfvo type="num" val="3"/>
        <color rgb="FFF8696B"/>
        <color rgb="FFFFEB84"/>
        <color rgb="FF63BE7B"/>
      </colorScale>
    </cfRule>
    <cfRule type="colorScale" priority="3899">
      <colorScale>
        <cfvo type="num" val="1"/>
        <cfvo type="num" val="2"/>
        <cfvo type="num" val="3"/>
        <color rgb="FFF8696B"/>
        <color rgb="FFFFEB84"/>
        <color rgb="FF63BE7B"/>
      </colorScale>
    </cfRule>
  </conditionalFormatting>
  <conditionalFormatting sqref="AE308">
    <cfRule type="cellIs" dxfId="626" priority="3886" operator="equal">
      <formula>5</formula>
    </cfRule>
    <cfRule type="cellIs" dxfId="625" priority="3887" operator="equal">
      <formula>4</formula>
    </cfRule>
    <cfRule type="cellIs" dxfId="624" priority="3888" operator="equal">
      <formula>1</formula>
    </cfRule>
    <cfRule type="cellIs" dxfId="623" priority="3889" operator="equal">
      <formula>3</formula>
    </cfRule>
    <cfRule type="colorScale" priority="3890">
      <colorScale>
        <cfvo type="min" val="0"/>
        <cfvo type="percentile" val="50"/>
        <cfvo type="max" val="0"/>
        <color rgb="FFF8696B"/>
        <color rgb="FFFFEB84"/>
        <color rgb="FF63BE7B"/>
      </colorScale>
    </cfRule>
    <cfRule type="colorScale" priority="3891">
      <colorScale>
        <cfvo type="num" val="1"/>
        <cfvo type="num" val="2"/>
        <cfvo type="num" val="3"/>
        <color rgb="FFF8696B"/>
        <color rgb="FFFFEB84"/>
        <color rgb="FF63BE7B"/>
      </colorScale>
    </cfRule>
    <cfRule type="colorScale" priority="3892">
      <colorScale>
        <cfvo type="num" val="1"/>
        <cfvo type="num" val="2"/>
        <cfvo type="num" val="3"/>
        <color rgb="FFF8696B"/>
        <color rgb="FFFFEB84"/>
        <color rgb="FF63BE7B"/>
      </colorScale>
    </cfRule>
  </conditionalFormatting>
  <conditionalFormatting sqref="AD308:AE308">
    <cfRule type="cellIs" dxfId="622" priority="3874" operator="equal">
      <formula>5</formula>
    </cfRule>
    <cfRule type="cellIs" dxfId="621" priority="3875" operator="equal">
      <formula>4</formula>
    </cfRule>
    <cfRule type="cellIs" dxfId="620" priority="3876" operator="equal">
      <formula>1</formula>
    </cfRule>
    <cfRule type="cellIs" dxfId="619" priority="3877" operator="equal">
      <formula>3</formula>
    </cfRule>
    <cfRule type="cellIs" dxfId="618" priority="3878" operator="equal">
      <formula>2</formula>
    </cfRule>
    <cfRule type="colorScale" priority="3879">
      <colorScale>
        <cfvo type="min" val="0"/>
        <cfvo type="percentile" val="50"/>
        <cfvo type="max" val="0"/>
        <color rgb="FFF8696B"/>
        <color rgb="FFFFEB84"/>
        <color rgb="FF63BE7B"/>
      </colorScale>
    </cfRule>
    <cfRule type="colorScale" priority="3880">
      <colorScale>
        <cfvo type="num" val="1"/>
        <cfvo type="num" val="2"/>
        <cfvo type="num" val="3"/>
        <color rgb="FFF8696B"/>
        <color rgb="FFFFEB84"/>
        <color rgb="FF63BE7B"/>
      </colorScale>
    </cfRule>
    <cfRule type="colorScale" priority="3881">
      <colorScale>
        <cfvo type="num" val="1"/>
        <cfvo type="num" val="2"/>
        <cfvo type="num" val="3"/>
        <color rgb="FFF8696B"/>
        <color rgb="FFFFEB84"/>
        <color rgb="FF63BE7B"/>
      </colorScale>
    </cfRule>
    <cfRule type="colorScale" priority="3882">
      <colorScale>
        <cfvo type="num" val="1"/>
        <cfvo type="num" val="2"/>
        <cfvo type="num" val="3"/>
        <color rgb="FFF8696B"/>
        <color rgb="FFFFEB84"/>
        <color rgb="FF63BE7B"/>
      </colorScale>
    </cfRule>
    <cfRule type="colorScale" priority="3883">
      <colorScale>
        <cfvo type="num" val="1"/>
        <cfvo type="num" val="2"/>
        <cfvo type="num" val="3"/>
        <color rgb="FFF8696B"/>
        <color rgb="FFFFEB84"/>
        <color rgb="FF63BE7B"/>
      </colorScale>
    </cfRule>
    <cfRule type="colorScale" priority="3884">
      <colorScale>
        <cfvo type="num" val="1"/>
        <cfvo type="num" val="2"/>
        <cfvo type="num" val="3"/>
        <color rgb="FFF8696B"/>
        <color rgb="FFFFEB84"/>
        <color rgb="FF63BE7B"/>
      </colorScale>
    </cfRule>
    <cfRule type="colorScale" priority="3885">
      <colorScale>
        <cfvo type="num" val="1"/>
        <cfvo type="num" val="2"/>
        <cfvo type="num" val="3"/>
        <color rgb="FFF8696B"/>
        <color rgb="FFFFEB84"/>
        <color rgb="FF63BE7B"/>
      </colorScale>
    </cfRule>
  </conditionalFormatting>
  <conditionalFormatting sqref="AD308">
    <cfRule type="cellIs" dxfId="617" priority="3699" operator="equal">
      <formula>5</formula>
    </cfRule>
    <cfRule type="cellIs" dxfId="616" priority="3700" operator="equal">
      <formula>4</formula>
    </cfRule>
    <cfRule type="cellIs" dxfId="615" priority="3701" operator="equal">
      <formula>1</formula>
    </cfRule>
    <cfRule type="cellIs" dxfId="614" priority="3702" operator="equal">
      <formula>3</formula>
    </cfRule>
    <cfRule type="cellIs" dxfId="613" priority="3703" operator="equal">
      <formula>2</formula>
    </cfRule>
    <cfRule type="colorScale" priority="3704">
      <colorScale>
        <cfvo type="min" val="0"/>
        <cfvo type="percentile" val="50"/>
        <cfvo type="max" val="0"/>
        <color rgb="FFF8696B"/>
        <color rgb="FFFFEB84"/>
        <color rgb="FF63BE7B"/>
      </colorScale>
    </cfRule>
    <cfRule type="colorScale" priority="3705">
      <colorScale>
        <cfvo type="num" val="1"/>
        <cfvo type="num" val="2"/>
        <cfvo type="num" val="3"/>
        <color rgb="FFF8696B"/>
        <color rgb="FFFFEB84"/>
        <color rgb="FF63BE7B"/>
      </colorScale>
    </cfRule>
    <cfRule type="colorScale" priority="3706">
      <colorScale>
        <cfvo type="num" val="1"/>
        <cfvo type="num" val="2"/>
        <cfvo type="num" val="3"/>
        <color rgb="FFF8696B"/>
        <color rgb="FFFFEB84"/>
        <color rgb="FF63BE7B"/>
      </colorScale>
    </cfRule>
  </conditionalFormatting>
  <conditionalFormatting sqref="AF308">
    <cfRule type="cellIs" dxfId="612" priority="3651" operator="equal">
      <formula>5</formula>
    </cfRule>
    <cfRule type="cellIs" dxfId="611" priority="3652" operator="equal">
      <formula>4</formula>
    </cfRule>
    <cfRule type="cellIs" dxfId="610" priority="3653" operator="equal">
      <formula>1</formula>
    </cfRule>
    <cfRule type="cellIs" dxfId="609" priority="3654" operator="equal">
      <formula>3</formula>
    </cfRule>
    <cfRule type="colorScale" priority="3655">
      <colorScale>
        <cfvo type="min" val="0"/>
        <cfvo type="percentile" val="50"/>
        <cfvo type="max" val="0"/>
        <color rgb="FFF8696B"/>
        <color rgb="FFFFEB84"/>
        <color rgb="FF63BE7B"/>
      </colorScale>
    </cfRule>
    <cfRule type="colorScale" priority="3656">
      <colorScale>
        <cfvo type="num" val="1"/>
        <cfvo type="num" val="2"/>
        <cfvo type="num" val="3"/>
        <color rgb="FFF8696B"/>
        <color rgb="FFFFEB84"/>
        <color rgb="FF63BE7B"/>
      </colorScale>
    </cfRule>
    <cfRule type="colorScale" priority="3657">
      <colorScale>
        <cfvo type="num" val="1"/>
        <cfvo type="num" val="2"/>
        <cfvo type="num" val="3"/>
        <color rgb="FFF8696B"/>
        <color rgb="FFFFEB84"/>
        <color rgb="FF63BE7B"/>
      </colorScale>
    </cfRule>
    <cfRule type="colorScale" priority="3658">
      <colorScale>
        <cfvo type="num" val="1"/>
        <cfvo type="num" val="2"/>
        <cfvo type="num" val="3"/>
        <color rgb="FFF8696B"/>
        <color rgb="FFFFEB84"/>
        <color rgb="FF63BE7B"/>
      </colorScale>
    </cfRule>
    <cfRule type="colorScale" priority="3659">
      <colorScale>
        <cfvo type="num" val="1"/>
        <cfvo type="num" val="2"/>
        <cfvo type="num" val="3"/>
        <color rgb="FFF8696B"/>
        <color rgb="FFFFEB84"/>
        <color rgb="FF63BE7B"/>
      </colorScale>
    </cfRule>
    <cfRule type="colorScale" priority="3660">
      <colorScale>
        <cfvo type="num" val="1"/>
        <cfvo type="num" val="2"/>
        <cfvo type="num" val="3"/>
        <color rgb="FFF8696B"/>
        <color rgb="FFFFEB84"/>
        <color rgb="FF63BE7B"/>
      </colorScale>
    </cfRule>
    <cfRule type="colorScale" priority="3661">
      <colorScale>
        <cfvo type="num" val="1"/>
        <cfvo type="num" val="2"/>
        <cfvo type="num" val="3"/>
        <color rgb="FFF8696B"/>
        <color rgb="FFFFEB84"/>
        <color rgb="FF63BE7B"/>
      </colorScale>
    </cfRule>
  </conditionalFormatting>
  <conditionalFormatting sqref="AD308:AF308">
    <cfRule type="cellIs" dxfId="608" priority="3614" operator="equal">
      <formula>5</formula>
    </cfRule>
    <cfRule type="cellIs" dxfId="607" priority="3615" operator="equal">
      <formula>4</formula>
    </cfRule>
    <cfRule type="cellIs" dxfId="606" priority="3616" operator="equal">
      <formula>1</formula>
    </cfRule>
    <cfRule type="cellIs" dxfId="605" priority="3617" operator="equal">
      <formula>3</formula>
    </cfRule>
    <cfRule type="cellIs" dxfId="604" priority="3618" operator="equal">
      <formula>2</formula>
    </cfRule>
    <cfRule type="colorScale" priority="3619">
      <colorScale>
        <cfvo type="min" val="0"/>
        <cfvo type="percentile" val="50"/>
        <cfvo type="max" val="0"/>
        <color rgb="FFF8696B"/>
        <color rgb="FFFFEB84"/>
        <color rgb="FF63BE7B"/>
      </colorScale>
    </cfRule>
    <cfRule type="colorScale" priority="3620">
      <colorScale>
        <cfvo type="num" val="1"/>
        <cfvo type="num" val="2"/>
        <cfvo type="num" val="3"/>
        <color rgb="FFF8696B"/>
        <color rgb="FFFFEB84"/>
        <color rgb="FF63BE7B"/>
      </colorScale>
    </cfRule>
    <cfRule type="colorScale" priority="3621">
      <colorScale>
        <cfvo type="num" val="1"/>
        <cfvo type="num" val="2"/>
        <cfvo type="num" val="3"/>
        <color rgb="FFF8696B"/>
        <color rgb="FFFFEB84"/>
        <color rgb="FF63BE7B"/>
      </colorScale>
    </cfRule>
    <cfRule type="colorScale" priority="3622">
      <colorScale>
        <cfvo type="num" val="1"/>
        <cfvo type="num" val="2"/>
        <cfvo type="num" val="3"/>
        <color rgb="FFF8696B"/>
        <color rgb="FFFFEB84"/>
        <color rgb="FF63BE7B"/>
      </colorScale>
    </cfRule>
    <cfRule type="colorScale" priority="3623">
      <colorScale>
        <cfvo type="num" val="1"/>
        <cfvo type="num" val="2"/>
        <cfvo type="num" val="3"/>
        <color rgb="FFF8696B"/>
        <color rgb="FFFFEB84"/>
        <color rgb="FF63BE7B"/>
      </colorScale>
    </cfRule>
    <cfRule type="colorScale" priority="3624">
      <colorScale>
        <cfvo type="num" val="1"/>
        <cfvo type="num" val="2"/>
        <cfvo type="num" val="3"/>
        <color rgb="FFF8696B"/>
        <color rgb="FFFFEB84"/>
        <color rgb="FF63BE7B"/>
      </colorScale>
    </cfRule>
    <cfRule type="colorScale" priority="3625">
      <colorScale>
        <cfvo type="num" val="1"/>
        <cfvo type="num" val="2"/>
        <cfvo type="num" val="3"/>
        <color rgb="FFF8696B"/>
        <color rgb="FFFFEB84"/>
        <color rgb="FF63BE7B"/>
      </colorScale>
    </cfRule>
  </conditionalFormatting>
  <conditionalFormatting sqref="C258">
    <cfRule type="cellIs" dxfId="603" priority="3573" operator="equal">
      <formula>5</formula>
    </cfRule>
    <cfRule type="cellIs" dxfId="602" priority="3574" operator="equal">
      <formula>4</formula>
    </cfRule>
    <cfRule type="cellIs" dxfId="601" priority="3575" operator="equal">
      <formula>1</formula>
    </cfRule>
    <cfRule type="cellIs" dxfId="600" priority="3576" operator="equal">
      <formula>3</formula>
    </cfRule>
    <cfRule type="cellIs" dxfId="599" priority="3577" operator="equal">
      <formula>2</formula>
    </cfRule>
    <cfRule type="colorScale" priority="3578">
      <colorScale>
        <cfvo type="min" val="0"/>
        <cfvo type="percentile" val="50"/>
        <cfvo type="max" val="0"/>
        <color rgb="FFF8696B"/>
        <color rgb="FFFFEB84"/>
        <color rgb="FF63BE7B"/>
      </colorScale>
    </cfRule>
    <cfRule type="colorScale" priority="3579">
      <colorScale>
        <cfvo type="num" val="1"/>
        <cfvo type="num" val="2"/>
        <cfvo type="num" val="3"/>
        <color rgb="FFF8696B"/>
        <color rgb="FFFFEB84"/>
        <color rgb="FF63BE7B"/>
      </colorScale>
    </cfRule>
    <cfRule type="colorScale" priority="3580">
      <colorScale>
        <cfvo type="num" val="1"/>
        <cfvo type="num" val="2"/>
        <cfvo type="num" val="3"/>
        <color rgb="FFF8696B"/>
        <color rgb="FFFFEB84"/>
        <color rgb="FF63BE7B"/>
      </colorScale>
    </cfRule>
  </conditionalFormatting>
  <conditionalFormatting sqref="C268:G268">
    <cfRule type="cellIs" dxfId="598" priority="3565" operator="equal">
      <formula>5</formula>
    </cfRule>
    <cfRule type="cellIs" dxfId="597" priority="3566" operator="equal">
      <formula>4</formula>
    </cfRule>
    <cfRule type="cellIs" dxfId="596" priority="3567" operator="equal">
      <formula>1</formula>
    </cfRule>
    <cfRule type="cellIs" dxfId="595" priority="3568" operator="equal">
      <formula>3</formula>
    </cfRule>
    <cfRule type="cellIs" dxfId="594" priority="3569" operator="equal">
      <formula>2</formula>
    </cfRule>
    <cfRule type="colorScale" priority="3570">
      <colorScale>
        <cfvo type="min" val="0"/>
        <cfvo type="percentile" val="50"/>
        <cfvo type="max" val="0"/>
        <color rgb="FFF8696B"/>
        <color rgb="FFFFEB84"/>
        <color rgb="FF63BE7B"/>
      </colorScale>
    </cfRule>
    <cfRule type="colorScale" priority="3571">
      <colorScale>
        <cfvo type="num" val="1"/>
        <cfvo type="num" val="2"/>
        <cfvo type="num" val="3"/>
        <color rgb="FFF8696B"/>
        <color rgb="FFFFEB84"/>
        <color rgb="FF63BE7B"/>
      </colorScale>
    </cfRule>
    <cfRule type="colorScale" priority="3572">
      <colorScale>
        <cfvo type="num" val="1"/>
        <cfvo type="num" val="2"/>
        <cfvo type="num" val="3"/>
        <color rgb="FFF8696B"/>
        <color rgb="FFFFEB84"/>
        <color rgb="FF63BE7B"/>
      </colorScale>
    </cfRule>
  </conditionalFormatting>
  <conditionalFormatting sqref="C264:E264">
    <cfRule type="cellIs" dxfId="593" priority="3553" operator="equal">
      <formula>5</formula>
    </cfRule>
    <cfRule type="cellIs" dxfId="592" priority="3554" operator="equal">
      <formula>4</formula>
    </cfRule>
    <cfRule type="cellIs" dxfId="591" priority="3555" operator="equal">
      <formula>1</formula>
    </cfRule>
    <cfRule type="cellIs" dxfId="590" priority="3556" operator="equal">
      <formula>3</formula>
    </cfRule>
    <cfRule type="cellIs" dxfId="589" priority="3557" operator="equal">
      <formula>2</formula>
    </cfRule>
    <cfRule type="colorScale" priority="3558">
      <colorScale>
        <cfvo type="min" val="0"/>
        <cfvo type="percentile" val="50"/>
        <cfvo type="max" val="0"/>
        <color rgb="FFF8696B"/>
        <color rgb="FFFFEB84"/>
        <color rgb="FF63BE7B"/>
      </colorScale>
    </cfRule>
    <cfRule type="colorScale" priority="3559">
      <colorScale>
        <cfvo type="num" val="1"/>
        <cfvo type="num" val="2"/>
        <cfvo type="num" val="3"/>
        <color rgb="FFF8696B"/>
        <color rgb="FFFFEB84"/>
        <color rgb="FF63BE7B"/>
      </colorScale>
    </cfRule>
    <cfRule type="colorScale" priority="3560">
      <colorScale>
        <cfvo type="num" val="1"/>
        <cfvo type="num" val="2"/>
        <cfvo type="num" val="3"/>
        <color rgb="FFF8696B"/>
        <color rgb="FFFFEB84"/>
        <color rgb="FF63BE7B"/>
      </colorScale>
    </cfRule>
    <cfRule type="colorScale" priority="3561">
      <colorScale>
        <cfvo type="num" val="1"/>
        <cfvo type="num" val="2"/>
        <cfvo type="num" val="3"/>
        <color rgb="FFF8696B"/>
        <color rgb="FFFFEB84"/>
        <color rgb="FF63BE7B"/>
      </colorScale>
    </cfRule>
    <cfRule type="colorScale" priority="3562">
      <colorScale>
        <cfvo type="num" val="1"/>
        <cfvo type="num" val="2"/>
        <cfvo type="num" val="3"/>
        <color rgb="FFF8696B"/>
        <color rgb="FFFFEB84"/>
        <color rgb="FF63BE7B"/>
      </colorScale>
    </cfRule>
    <cfRule type="colorScale" priority="3563">
      <colorScale>
        <cfvo type="num" val="1"/>
        <cfvo type="num" val="2"/>
        <cfvo type="num" val="3"/>
        <color rgb="FFF8696B"/>
        <color rgb="FFFFEB84"/>
        <color rgb="FF63BE7B"/>
      </colorScale>
    </cfRule>
    <cfRule type="colorScale" priority="3564">
      <colorScale>
        <cfvo type="num" val="1"/>
        <cfvo type="num" val="2"/>
        <cfvo type="num" val="3"/>
        <color rgb="FFF8696B"/>
        <color rgb="FFFFEB84"/>
        <color rgb="FF63BE7B"/>
      </colorScale>
    </cfRule>
  </conditionalFormatting>
  <conditionalFormatting sqref="C262:F262">
    <cfRule type="cellIs" dxfId="588" priority="3541" operator="equal">
      <formula>5</formula>
    </cfRule>
    <cfRule type="cellIs" dxfId="587" priority="3542" operator="equal">
      <formula>4</formula>
    </cfRule>
    <cfRule type="cellIs" dxfId="586" priority="3543" operator="equal">
      <formula>1</formula>
    </cfRule>
    <cfRule type="cellIs" dxfId="585" priority="3544" operator="equal">
      <formula>3</formula>
    </cfRule>
    <cfRule type="cellIs" dxfId="584" priority="3545" operator="equal">
      <formula>2</formula>
    </cfRule>
    <cfRule type="colorScale" priority="3546">
      <colorScale>
        <cfvo type="min" val="0"/>
        <cfvo type="percentile" val="50"/>
        <cfvo type="max" val="0"/>
        <color rgb="FFF8696B"/>
        <color rgb="FFFFEB84"/>
        <color rgb="FF63BE7B"/>
      </colorScale>
    </cfRule>
    <cfRule type="colorScale" priority="3547">
      <colorScale>
        <cfvo type="num" val="1"/>
        <cfvo type="num" val="2"/>
        <cfvo type="num" val="3"/>
        <color rgb="FFF8696B"/>
        <color rgb="FFFFEB84"/>
        <color rgb="FF63BE7B"/>
      </colorScale>
    </cfRule>
    <cfRule type="colorScale" priority="3548">
      <colorScale>
        <cfvo type="num" val="1"/>
        <cfvo type="num" val="2"/>
        <cfvo type="num" val="3"/>
        <color rgb="FFF8696B"/>
        <color rgb="FFFFEB84"/>
        <color rgb="FF63BE7B"/>
      </colorScale>
    </cfRule>
    <cfRule type="colorScale" priority="3549">
      <colorScale>
        <cfvo type="num" val="1"/>
        <cfvo type="num" val="2"/>
        <cfvo type="num" val="3"/>
        <color rgb="FFF8696B"/>
        <color rgb="FFFFEB84"/>
        <color rgb="FF63BE7B"/>
      </colorScale>
    </cfRule>
    <cfRule type="colorScale" priority="3550">
      <colorScale>
        <cfvo type="num" val="1"/>
        <cfvo type="num" val="2"/>
        <cfvo type="num" val="3"/>
        <color rgb="FFF8696B"/>
        <color rgb="FFFFEB84"/>
        <color rgb="FF63BE7B"/>
      </colorScale>
    </cfRule>
    <cfRule type="colorScale" priority="3551">
      <colorScale>
        <cfvo type="num" val="1"/>
        <cfvo type="num" val="2"/>
        <cfvo type="num" val="3"/>
        <color rgb="FFF8696B"/>
        <color rgb="FFFFEB84"/>
        <color rgb="FF63BE7B"/>
      </colorScale>
    </cfRule>
    <cfRule type="colorScale" priority="3552">
      <colorScale>
        <cfvo type="num" val="1"/>
        <cfvo type="num" val="2"/>
        <cfvo type="num" val="3"/>
        <color rgb="FFF8696B"/>
        <color rgb="FFFFEB84"/>
        <color rgb="FF63BE7B"/>
      </colorScale>
    </cfRule>
  </conditionalFormatting>
  <conditionalFormatting sqref="F266">
    <cfRule type="cellIs" dxfId="583" priority="3524" operator="equal">
      <formula>5</formula>
    </cfRule>
    <cfRule type="cellIs" dxfId="582" priority="3525" operator="equal">
      <formula>4</formula>
    </cfRule>
    <cfRule type="cellIs" dxfId="581" priority="3526" operator="equal">
      <formula>1</formula>
    </cfRule>
    <cfRule type="cellIs" dxfId="580" priority="3527" operator="equal">
      <formula>3</formula>
    </cfRule>
    <cfRule type="cellIs" dxfId="579" priority="3528" operator="equal">
      <formula>2</formula>
    </cfRule>
    <cfRule type="colorScale" priority="3529">
      <colorScale>
        <cfvo type="min" val="0"/>
        <cfvo type="percentile" val="50"/>
        <cfvo type="max" val="0"/>
        <color rgb="FFF8696B"/>
        <color rgb="FFFFEB84"/>
        <color rgb="FF63BE7B"/>
      </colorScale>
    </cfRule>
    <cfRule type="colorScale" priority="3530">
      <colorScale>
        <cfvo type="num" val="1"/>
        <cfvo type="num" val="2"/>
        <cfvo type="num" val="3"/>
        <color rgb="FFF8696B"/>
        <color rgb="FFFFEB84"/>
        <color rgb="FF63BE7B"/>
      </colorScale>
    </cfRule>
    <cfRule type="colorScale" priority="3531">
      <colorScale>
        <cfvo type="num" val="1"/>
        <cfvo type="num" val="2"/>
        <cfvo type="num" val="3"/>
        <color rgb="FFF8696B"/>
        <color rgb="FFFFEB84"/>
        <color rgb="FF63BE7B"/>
      </colorScale>
    </cfRule>
    <cfRule type="colorScale" priority="3532">
      <colorScale>
        <cfvo type="num" val="1"/>
        <cfvo type="num" val="2"/>
        <cfvo type="num" val="3"/>
        <color rgb="FFF8696B"/>
        <color rgb="FFFFEB84"/>
        <color rgb="FF63BE7B"/>
      </colorScale>
    </cfRule>
    <cfRule type="colorScale" priority="3533">
      <colorScale>
        <cfvo type="num" val="1"/>
        <cfvo type="num" val="2"/>
        <cfvo type="num" val="3"/>
        <color rgb="FFF8696B"/>
        <color rgb="FFFFEB84"/>
        <color rgb="FF63BE7B"/>
      </colorScale>
    </cfRule>
    <cfRule type="colorScale" priority="3534">
      <colorScale>
        <cfvo type="num" val="1"/>
        <cfvo type="num" val="2"/>
        <cfvo type="num" val="3"/>
        <color rgb="FFF8696B"/>
        <color rgb="FFFFEB84"/>
        <color rgb="FF63BE7B"/>
      </colorScale>
    </cfRule>
    <cfRule type="colorScale" priority="3535">
      <colorScale>
        <cfvo type="num" val="1"/>
        <cfvo type="num" val="2"/>
        <cfvo type="num" val="3"/>
        <color rgb="FFF8696B"/>
        <color rgb="FFFFEB84"/>
        <color rgb="FF63BE7B"/>
      </colorScale>
    </cfRule>
  </conditionalFormatting>
  <conditionalFormatting sqref="F264:G264">
    <cfRule type="cellIs" dxfId="578" priority="3512" operator="equal">
      <formula>5</formula>
    </cfRule>
    <cfRule type="cellIs" dxfId="577" priority="3513" operator="equal">
      <formula>4</formula>
    </cfRule>
    <cfRule type="cellIs" dxfId="576" priority="3514" operator="equal">
      <formula>1</formula>
    </cfRule>
    <cfRule type="cellIs" dxfId="575" priority="3515" operator="equal">
      <formula>3</formula>
    </cfRule>
    <cfRule type="cellIs" dxfId="574" priority="3516" operator="equal">
      <formula>2</formula>
    </cfRule>
    <cfRule type="colorScale" priority="3517">
      <colorScale>
        <cfvo type="min" val="0"/>
        <cfvo type="percentile" val="50"/>
        <cfvo type="max" val="0"/>
        <color rgb="FFF8696B"/>
        <color rgb="FFFFEB84"/>
        <color rgb="FF63BE7B"/>
      </colorScale>
    </cfRule>
    <cfRule type="colorScale" priority="3518">
      <colorScale>
        <cfvo type="num" val="1"/>
        <cfvo type="num" val="2"/>
        <cfvo type="num" val="3"/>
        <color rgb="FFF8696B"/>
        <color rgb="FFFFEB84"/>
        <color rgb="FF63BE7B"/>
      </colorScale>
    </cfRule>
    <cfRule type="colorScale" priority="3519">
      <colorScale>
        <cfvo type="num" val="1"/>
        <cfvo type="num" val="2"/>
        <cfvo type="num" val="3"/>
        <color rgb="FFF8696B"/>
        <color rgb="FFFFEB84"/>
        <color rgb="FF63BE7B"/>
      </colorScale>
    </cfRule>
    <cfRule type="colorScale" priority="3520">
      <colorScale>
        <cfvo type="num" val="1"/>
        <cfvo type="num" val="2"/>
        <cfvo type="num" val="3"/>
        <color rgb="FFF8696B"/>
        <color rgb="FFFFEB84"/>
        <color rgb="FF63BE7B"/>
      </colorScale>
    </cfRule>
    <cfRule type="colorScale" priority="3521">
      <colorScale>
        <cfvo type="num" val="1"/>
        <cfvo type="num" val="2"/>
        <cfvo type="num" val="3"/>
        <color rgb="FFF8696B"/>
        <color rgb="FFFFEB84"/>
        <color rgb="FF63BE7B"/>
      </colorScale>
    </cfRule>
    <cfRule type="colorScale" priority="3522">
      <colorScale>
        <cfvo type="num" val="1"/>
        <cfvo type="num" val="2"/>
        <cfvo type="num" val="3"/>
        <color rgb="FFF8696B"/>
        <color rgb="FFFFEB84"/>
        <color rgb="FF63BE7B"/>
      </colorScale>
    </cfRule>
    <cfRule type="colorScale" priority="3523">
      <colorScale>
        <cfvo type="num" val="1"/>
        <cfvo type="num" val="2"/>
        <cfvo type="num" val="3"/>
        <color rgb="FFF8696B"/>
        <color rgb="FFFFEB84"/>
        <color rgb="FF63BE7B"/>
      </colorScale>
    </cfRule>
  </conditionalFormatting>
  <conditionalFormatting sqref="H266:J266">
    <cfRule type="cellIs" dxfId="573" priority="3475" operator="equal">
      <formula>5</formula>
    </cfRule>
    <cfRule type="cellIs" dxfId="572" priority="3476" operator="equal">
      <formula>4</formula>
    </cfRule>
    <cfRule type="cellIs" dxfId="571" priority="3477" operator="equal">
      <formula>1</formula>
    </cfRule>
    <cfRule type="cellIs" dxfId="570" priority="3478" operator="equal">
      <formula>3</formula>
    </cfRule>
    <cfRule type="cellIs" dxfId="569" priority="3479" operator="equal">
      <formula>2</formula>
    </cfRule>
    <cfRule type="colorScale" priority="3480">
      <colorScale>
        <cfvo type="min" val="0"/>
        <cfvo type="percentile" val="50"/>
        <cfvo type="max" val="0"/>
        <color rgb="FFF8696B"/>
        <color rgb="FFFFEB84"/>
        <color rgb="FF63BE7B"/>
      </colorScale>
    </cfRule>
    <cfRule type="colorScale" priority="3481">
      <colorScale>
        <cfvo type="num" val="1"/>
        <cfvo type="num" val="2"/>
        <cfvo type="num" val="3"/>
        <color rgb="FFF8696B"/>
        <color rgb="FFFFEB84"/>
        <color rgb="FF63BE7B"/>
      </colorScale>
    </cfRule>
    <cfRule type="colorScale" priority="3482">
      <colorScale>
        <cfvo type="num" val="1"/>
        <cfvo type="num" val="2"/>
        <cfvo type="num" val="3"/>
        <color rgb="FFF8696B"/>
        <color rgb="FFFFEB84"/>
        <color rgb="FF63BE7B"/>
      </colorScale>
    </cfRule>
    <cfRule type="colorScale" priority="3483">
      <colorScale>
        <cfvo type="num" val="1"/>
        <cfvo type="num" val="2"/>
        <cfvo type="num" val="3"/>
        <color rgb="FFF8696B"/>
        <color rgb="FFFFEB84"/>
        <color rgb="FF63BE7B"/>
      </colorScale>
    </cfRule>
    <cfRule type="colorScale" priority="3484">
      <colorScale>
        <cfvo type="num" val="1"/>
        <cfvo type="num" val="2"/>
        <cfvo type="num" val="3"/>
        <color rgb="FFF8696B"/>
        <color rgb="FFFFEB84"/>
        <color rgb="FF63BE7B"/>
      </colorScale>
    </cfRule>
    <cfRule type="colorScale" priority="3485">
      <colorScale>
        <cfvo type="num" val="1"/>
        <cfvo type="num" val="2"/>
        <cfvo type="num" val="3"/>
        <color rgb="FFF8696B"/>
        <color rgb="FFFFEB84"/>
        <color rgb="FF63BE7B"/>
      </colorScale>
    </cfRule>
    <cfRule type="colorScale" priority="3486">
      <colorScale>
        <cfvo type="num" val="1"/>
        <cfvo type="num" val="2"/>
        <cfvo type="num" val="3"/>
        <color rgb="FFF8696B"/>
        <color rgb="FFFFEB84"/>
        <color rgb="FF63BE7B"/>
      </colorScale>
    </cfRule>
  </conditionalFormatting>
  <conditionalFormatting sqref="I258">
    <cfRule type="cellIs" dxfId="568" priority="3454" operator="equal">
      <formula>5</formula>
    </cfRule>
    <cfRule type="cellIs" dxfId="567" priority="3455" operator="equal">
      <formula>4</formula>
    </cfRule>
    <cfRule type="cellIs" dxfId="566" priority="3456" operator="equal">
      <formula>1</formula>
    </cfRule>
    <cfRule type="cellIs" dxfId="565" priority="3457" operator="equal">
      <formula>3</formula>
    </cfRule>
    <cfRule type="cellIs" dxfId="564" priority="3458" operator="equal">
      <formula>2</formula>
    </cfRule>
    <cfRule type="colorScale" priority="3459">
      <colorScale>
        <cfvo type="min" val="0"/>
        <cfvo type="percentile" val="50"/>
        <cfvo type="max" val="0"/>
        <color rgb="FFF8696B"/>
        <color rgb="FFFFEB84"/>
        <color rgb="FF63BE7B"/>
      </colorScale>
    </cfRule>
    <cfRule type="colorScale" priority="3460">
      <colorScale>
        <cfvo type="num" val="1"/>
        <cfvo type="num" val="2"/>
        <cfvo type="num" val="3"/>
        <color rgb="FFF8696B"/>
        <color rgb="FFFFEB84"/>
        <color rgb="FF63BE7B"/>
      </colorScale>
    </cfRule>
    <cfRule type="colorScale" priority="3461">
      <colorScale>
        <cfvo type="num" val="1"/>
        <cfvo type="num" val="2"/>
        <cfvo type="num" val="3"/>
        <color rgb="FFF8696B"/>
        <color rgb="FFFFEB84"/>
        <color rgb="FF63BE7B"/>
      </colorScale>
    </cfRule>
    <cfRule type="colorScale" priority="3462">
      <colorScale>
        <cfvo type="num" val="1"/>
        <cfvo type="num" val="2"/>
        <cfvo type="num" val="3"/>
        <color rgb="FFF8696B"/>
        <color rgb="FFFFEB84"/>
        <color rgb="FF63BE7B"/>
      </colorScale>
    </cfRule>
    <cfRule type="colorScale" priority="3463">
      <colorScale>
        <cfvo type="num" val="1"/>
        <cfvo type="num" val="2"/>
        <cfvo type="num" val="3"/>
        <color rgb="FFF8696B"/>
        <color rgb="FFFFEB84"/>
        <color rgb="FF63BE7B"/>
      </colorScale>
    </cfRule>
    <cfRule type="colorScale" priority="3464">
      <colorScale>
        <cfvo type="num" val="1"/>
        <cfvo type="num" val="2"/>
        <cfvo type="num" val="3"/>
        <color rgb="FFF8696B"/>
        <color rgb="FFFFEB84"/>
        <color rgb="FF63BE7B"/>
      </colorScale>
    </cfRule>
    <cfRule type="colorScale" priority="3465">
      <colorScale>
        <cfvo type="num" val="1"/>
        <cfvo type="num" val="2"/>
        <cfvo type="num" val="3"/>
        <color rgb="FFF8696B"/>
        <color rgb="FFFFEB84"/>
        <color rgb="FF63BE7B"/>
      </colorScale>
    </cfRule>
  </conditionalFormatting>
  <conditionalFormatting sqref="I260">
    <cfRule type="cellIs" dxfId="563" priority="3446" operator="equal">
      <formula>5</formula>
    </cfRule>
    <cfRule type="cellIs" dxfId="562" priority="3447" operator="equal">
      <formula>4</formula>
    </cfRule>
    <cfRule type="cellIs" dxfId="561" priority="3448" operator="equal">
      <formula>1</formula>
    </cfRule>
    <cfRule type="cellIs" dxfId="560" priority="3449" operator="equal">
      <formula>3</formula>
    </cfRule>
    <cfRule type="cellIs" dxfId="559" priority="3450" operator="equal">
      <formula>2</formula>
    </cfRule>
    <cfRule type="colorScale" priority="3451">
      <colorScale>
        <cfvo type="min" val="0"/>
        <cfvo type="percentile" val="50"/>
        <cfvo type="max" val="0"/>
        <color rgb="FFF8696B"/>
        <color rgb="FFFFEB84"/>
        <color rgb="FF63BE7B"/>
      </colorScale>
    </cfRule>
    <cfRule type="colorScale" priority="3452">
      <colorScale>
        <cfvo type="num" val="1"/>
        <cfvo type="num" val="2"/>
        <cfvo type="num" val="3"/>
        <color rgb="FFF8696B"/>
        <color rgb="FFFFEB84"/>
        <color rgb="FF63BE7B"/>
      </colorScale>
    </cfRule>
    <cfRule type="colorScale" priority="3453">
      <colorScale>
        <cfvo type="num" val="1"/>
        <cfvo type="num" val="2"/>
        <cfvo type="num" val="3"/>
        <color rgb="FFF8696B"/>
        <color rgb="FFFFEB84"/>
        <color rgb="FF63BE7B"/>
      </colorScale>
    </cfRule>
  </conditionalFormatting>
  <conditionalFormatting sqref="I262">
    <cfRule type="cellIs" dxfId="558" priority="3439" operator="equal">
      <formula>5</formula>
    </cfRule>
    <cfRule type="cellIs" dxfId="557" priority="3440" operator="equal">
      <formula>4</formula>
    </cfRule>
    <cfRule type="cellIs" dxfId="556" priority="3441" operator="equal">
      <formula>1</formula>
    </cfRule>
    <cfRule type="cellIs" dxfId="555" priority="3442" operator="equal">
      <formula>3</formula>
    </cfRule>
    <cfRule type="colorScale" priority="3443">
      <colorScale>
        <cfvo type="min" val="0"/>
        <cfvo type="percentile" val="50"/>
        <cfvo type="max" val="0"/>
        <color rgb="FFF8696B"/>
        <color rgb="FFFFEB84"/>
        <color rgb="FF63BE7B"/>
      </colorScale>
    </cfRule>
    <cfRule type="colorScale" priority="3444">
      <colorScale>
        <cfvo type="num" val="1"/>
        <cfvo type="num" val="2"/>
        <cfvo type="num" val="3"/>
        <color rgb="FFF8696B"/>
        <color rgb="FFFFEB84"/>
        <color rgb="FF63BE7B"/>
      </colorScale>
    </cfRule>
    <cfRule type="colorScale" priority="3445">
      <colorScale>
        <cfvo type="num" val="1"/>
        <cfvo type="num" val="2"/>
        <cfvo type="num" val="3"/>
        <color rgb="FFF8696B"/>
        <color rgb="FFFFEB84"/>
        <color rgb="FF63BE7B"/>
      </colorScale>
    </cfRule>
  </conditionalFormatting>
  <conditionalFormatting sqref="I264">
    <cfRule type="cellIs" dxfId="554" priority="3432" operator="equal">
      <formula>5</formula>
    </cfRule>
    <cfRule type="cellIs" dxfId="553" priority="3433" operator="equal">
      <formula>4</formula>
    </cfRule>
    <cfRule type="cellIs" dxfId="552" priority="3434" operator="equal">
      <formula>1</formula>
    </cfRule>
    <cfRule type="cellIs" dxfId="551" priority="3435" operator="equal">
      <formula>3</formula>
    </cfRule>
    <cfRule type="colorScale" priority="3436">
      <colorScale>
        <cfvo type="min" val="0"/>
        <cfvo type="percentile" val="50"/>
        <cfvo type="max" val="0"/>
        <color rgb="FFF8696B"/>
        <color rgb="FFFFEB84"/>
        <color rgb="FF63BE7B"/>
      </colorScale>
    </cfRule>
    <cfRule type="colorScale" priority="3437">
      <colorScale>
        <cfvo type="num" val="1"/>
        <cfvo type="num" val="2"/>
        <cfvo type="num" val="3"/>
        <color rgb="FFF8696B"/>
        <color rgb="FFFFEB84"/>
        <color rgb="FF63BE7B"/>
      </colorScale>
    </cfRule>
    <cfRule type="colorScale" priority="3438">
      <colorScale>
        <cfvo type="num" val="1"/>
        <cfvo type="num" val="2"/>
        <cfvo type="num" val="3"/>
        <color rgb="FFF8696B"/>
        <color rgb="FFFFEB84"/>
        <color rgb="FF63BE7B"/>
      </colorScale>
    </cfRule>
  </conditionalFormatting>
  <conditionalFormatting sqref="J262">
    <cfRule type="cellIs" dxfId="550" priority="3411" operator="equal">
      <formula>5</formula>
    </cfRule>
    <cfRule type="cellIs" dxfId="549" priority="3412" operator="equal">
      <formula>4</formula>
    </cfRule>
    <cfRule type="cellIs" dxfId="548" priority="3413" operator="equal">
      <formula>1</formula>
    </cfRule>
    <cfRule type="cellIs" dxfId="547" priority="3414" operator="equal">
      <formula>3</formula>
    </cfRule>
    <cfRule type="colorScale" priority="3415">
      <colorScale>
        <cfvo type="min" val="0"/>
        <cfvo type="percentile" val="50"/>
        <cfvo type="max" val="0"/>
        <color rgb="FFF8696B"/>
        <color rgb="FFFFEB84"/>
        <color rgb="FF63BE7B"/>
      </colorScale>
    </cfRule>
    <cfRule type="colorScale" priority="3416">
      <colorScale>
        <cfvo type="num" val="1"/>
        <cfvo type="num" val="2"/>
        <cfvo type="num" val="3"/>
        <color rgb="FFF8696B"/>
        <color rgb="FFFFEB84"/>
        <color rgb="FF63BE7B"/>
      </colorScale>
    </cfRule>
    <cfRule type="colorScale" priority="3417">
      <colorScale>
        <cfvo type="num" val="1"/>
        <cfvo type="num" val="2"/>
        <cfvo type="num" val="3"/>
        <color rgb="FFF8696B"/>
        <color rgb="FFFFEB84"/>
        <color rgb="FF63BE7B"/>
      </colorScale>
    </cfRule>
    <cfRule type="colorScale" priority="3418">
      <colorScale>
        <cfvo type="num" val="1"/>
        <cfvo type="num" val="2"/>
        <cfvo type="num" val="3"/>
        <color rgb="FFF8696B"/>
        <color rgb="FFFFEB84"/>
        <color rgb="FF63BE7B"/>
      </colorScale>
    </cfRule>
    <cfRule type="colorScale" priority="3419">
      <colorScale>
        <cfvo type="num" val="1"/>
        <cfvo type="num" val="2"/>
        <cfvo type="num" val="3"/>
        <color rgb="FFF8696B"/>
        <color rgb="FFFFEB84"/>
        <color rgb="FF63BE7B"/>
      </colorScale>
    </cfRule>
    <cfRule type="colorScale" priority="3420">
      <colorScale>
        <cfvo type="num" val="1"/>
        <cfvo type="num" val="2"/>
        <cfvo type="num" val="3"/>
        <color rgb="FFF8696B"/>
        <color rgb="FFFFEB84"/>
        <color rgb="FF63BE7B"/>
      </colorScale>
    </cfRule>
    <cfRule type="colorScale" priority="3421">
      <colorScale>
        <cfvo type="num" val="1"/>
        <cfvo type="num" val="2"/>
        <cfvo type="num" val="3"/>
        <color rgb="FFF8696B"/>
        <color rgb="FFFFEB84"/>
        <color rgb="FF63BE7B"/>
      </colorScale>
    </cfRule>
  </conditionalFormatting>
  <conditionalFormatting sqref="J264">
    <cfRule type="cellIs" dxfId="546" priority="3404" operator="equal">
      <formula>5</formula>
    </cfRule>
    <cfRule type="cellIs" dxfId="545" priority="3405" operator="equal">
      <formula>4</formula>
    </cfRule>
    <cfRule type="cellIs" dxfId="544" priority="3406" operator="equal">
      <formula>1</formula>
    </cfRule>
    <cfRule type="cellIs" dxfId="543" priority="3407" operator="equal">
      <formula>3</formula>
    </cfRule>
    <cfRule type="colorScale" priority="3408">
      <colorScale>
        <cfvo type="min" val="0"/>
        <cfvo type="percentile" val="50"/>
        <cfvo type="max" val="0"/>
        <color rgb="FFF8696B"/>
        <color rgb="FFFFEB84"/>
        <color rgb="FF63BE7B"/>
      </colorScale>
    </cfRule>
    <cfRule type="colorScale" priority="3409">
      <colorScale>
        <cfvo type="num" val="1"/>
        <cfvo type="num" val="2"/>
        <cfvo type="num" val="3"/>
        <color rgb="FFF8696B"/>
        <color rgb="FFFFEB84"/>
        <color rgb="FF63BE7B"/>
      </colorScale>
    </cfRule>
    <cfRule type="colorScale" priority="3410">
      <colorScale>
        <cfvo type="num" val="1"/>
        <cfvo type="num" val="2"/>
        <cfvo type="num" val="3"/>
        <color rgb="FFF8696B"/>
        <color rgb="FFFFEB84"/>
        <color rgb="FF63BE7B"/>
      </colorScale>
    </cfRule>
  </conditionalFormatting>
  <conditionalFormatting sqref="M258">
    <cfRule type="cellIs" dxfId="542" priority="3392" operator="equal">
      <formula>5</formula>
    </cfRule>
    <cfRule type="cellIs" dxfId="541" priority="3393" operator="equal">
      <formula>4</formula>
    </cfRule>
    <cfRule type="cellIs" dxfId="540" priority="3394" operator="equal">
      <formula>1</formula>
    </cfRule>
    <cfRule type="cellIs" dxfId="539" priority="3395" operator="equal">
      <formula>3</formula>
    </cfRule>
    <cfRule type="cellIs" dxfId="538" priority="3396" operator="equal">
      <formula>2</formula>
    </cfRule>
    <cfRule type="colorScale" priority="3397">
      <colorScale>
        <cfvo type="min" val="0"/>
        <cfvo type="percentile" val="50"/>
        <cfvo type="max" val="0"/>
        <color rgb="FFF8696B"/>
        <color rgb="FFFFEB84"/>
        <color rgb="FF63BE7B"/>
      </colorScale>
    </cfRule>
    <cfRule type="colorScale" priority="3398">
      <colorScale>
        <cfvo type="num" val="1"/>
        <cfvo type="num" val="2"/>
        <cfvo type="num" val="3"/>
        <color rgb="FFF8696B"/>
        <color rgb="FFFFEB84"/>
        <color rgb="FF63BE7B"/>
      </colorScale>
    </cfRule>
    <cfRule type="colorScale" priority="3399">
      <colorScale>
        <cfvo type="num" val="1"/>
        <cfvo type="num" val="2"/>
        <cfvo type="num" val="3"/>
        <color rgb="FFF8696B"/>
        <color rgb="FFFFEB84"/>
        <color rgb="FF63BE7B"/>
      </colorScale>
    </cfRule>
    <cfRule type="colorScale" priority="3400">
      <colorScale>
        <cfvo type="num" val="1"/>
        <cfvo type="num" val="2"/>
        <cfvo type="num" val="3"/>
        <color rgb="FFF8696B"/>
        <color rgb="FFFFEB84"/>
        <color rgb="FF63BE7B"/>
      </colorScale>
    </cfRule>
    <cfRule type="colorScale" priority="3401">
      <colorScale>
        <cfvo type="num" val="1"/>
        <cfvo type="num" val="2"/>
        <cfvo type="num" val="3"/>
        <color rgb="FFF8696B"/>
        <color rgb="FFFFEB84"/>
        <color rgb="FF63BE7B"/>
      </colorScale>
    </cfRule>
    <cfRule type="colorScale" priority="3402">
      <colorScale>
        <cfvo type="num" val="1"/>
        <cfvo type="num" val="2"/>
        <cfvo type="num" val="3"/>
        <color rgb="FFF8696B"/>
        <color rgb="FFFFEB84"/>
        <color rgb="FF63BE7B"/>
      </colorScale>
    </cfRule>
    <cfRule type="colorScale" priority="3403">
      <colorScale>
        <cfvo type="num" val="1"/>
        <cfvo type="num" val="2"/>
        <cfvo type="num" val="3"/>
        <color rgb="FFF8696B"/>
        <color rgb="FFFFEB84"/>
        <color rgb="FF63BE7B"/>
      </colorScale>
    </cfRule>
  </conditionalFormatting>
  <conditionalFormatting sqref="M260">
    <cfRule type="cellIs" dxfId="537" priority="3384" operator="equal">
      <formula>5</formula>
    </cfRule>
    <cfRule type="cellIs" dxfId="536" priority="3385" operator="equal">
      <formula>4</formula>
    </cfRule>
    <cfRule type="cellIs" dxfId="535" priority="3386" operator="equal">
      <formula>1</formula>
    </cfRule>
    <cfRule type="cellIs" dxfId="534" priority="3387" operator="equal">
      <formula>3</formula>
    </cfRule>
    <cfRule type="cellIs" dxfId="533" priority="3388" operator="equal">
      <formula>2</formula>
    </cfRule>
    <cfRule type="colorScale" priority="3389">
      <colorScale>
        <cfvo type="min" val="0"/>
        <cfvo type="percentile" val="50"/>
        <cfvo type="max" val="0"/>
        <color rgb="FFF8696B"/>
        <color rgb="FFFFEB84"/>
        <color rgb="FF63BE7B"/>
      </colorScale>
    </cfRule>
    <cfRule type="colorScale" priority="3390">
      <colorScale>
        <cfvo type="num" val="1"/>
        <cfvo type="num" val="2"/>
        <cfvo type="num" val="3"/>
        <color rgb="FFF8696B"/>
        <color rgb="FFFFEB84"/>
        <color rgb="FF63BE7B"/>
      </colorScale>
    </cfRule>
    <cfRule type="colorScale" priority="3391">
      <colorScale>
        <cfvo type="num" val="1"/>
        <cfvo type="num" val="2"/>
        <cfvo type="num" val="3"/>
        <color rgb="FFF8696B"/>
        <color rgb="FFFFEB84"/>
        <color rgb="FF63BE7B"/>
      </colorScale>
    </cfRule>
  </conditionalFormatting>
  <conditionalFormatting sqref="M262">
    <cfRule type="cellIs" dxfId="532" priority="3376" operator="equal">
      <formula>5</formula>
    </cfRule>
    <cfRule type="cellIs" dxfId="531" priority="3377" operator="equal">
      <formula>4</formula>
    </cfRule>
    <cfRule type="cellIs" dxfId="530" priority="3378" operator="equal">
      <formula>1</formula>
    </cfRule>
    <cfRule type="cellIs" dxfId="529" priority="3379" operator="equal">
      <formula>3</formula>
    </cfRule>
    <cfRule type="cellIs" dxfId="528" priority="3380" operator="equal">
      <formula>2</formula>
    </cfRule>
    <cfRule type="colorScale" priority="3381">
      <colorScale>
        <cfvo type="min" val="0"/>
        <cfvo type="percentile" val="50"/>
        <cfvo type="max" val="0"/>
        <color rgb="FFF8696B"/>
        <color rgb="FFFFEB84"/>
        <color rgb="FF63BE7B"/>
      </colorScale>
    </cfRule>
    <cfRule type="colorScale" priority="3382">
      <colorScale>
        <cfvo type="num" val="1"/>
        <cfvo type="num" val="2"/>
        <cfvo type="num" val="3"/>
        <color rgb="FFF8696B"/>
        <color rgb="FFFFEB84"/>
        <color rgb="FF63BE7B"/>
      </colorScale>
    </cfRule>
    <cfRule type="colorScale" priority="3383">
      <colorScale>
        <cfvo type="num" val="1"/>
        <cfvo type="num" val="2"/>
        <cfvo type="num" val="3"/>
        <color rgb="FFF8696B"/>
        <color rgb="FFFFEB84"/>
        <color rgb="FF63BE7B"/>
      </colorScale>
    </cfRule>
  </conditionalFormatting>
  <conditionalFormatting sqref="O262">
    <cfRule type="cellIs" dxfId="527" priority="3321" operator="equal">
      <formula>5</formula>
    </cfRule>
    <cfRule type="cellIs" dxfId="526" priority="3322" operator="equal">
      <formula>4</formula>
    </cfRule>
    <cfRule type="cellIs" dxfId="525" priority="3323" operator="equal">
      <formula>1</formula>
    </cfRule>
    <cfRule type="cellIs" dxfId="524" priority="3324" operator="equal">
      <formula>3</formula>
    </cfRule>
    <cfRule type="cellIs" dxfId="523" priority="3325" operator="equal">
      <formula>2</formula>
    </cfRule>
    <cfRule type="colorScale" priority="3326">
      <colorScale>
        <cfvo type="min" val="0"/>
        <cfvo type="percentile" val="50"/>
        <cfvo type="max" val="0"/>
        <color rgb="FFF8696B"/>
        <color rgb="FFFFEB84"/>
        <color rgb="FF63BE7B"/>
      </colorScale>
    </cfRule>
    <cfRule type="colorScale" priority="3327">
      <colorScale>
        <cfvo type="num" val="1"/>
        <cfvo type="num" val="2"/>
        <cfvo type="num" val="3"/>
        <color rgb="FFF8696B"/>
        <color rgb="FFFFEB84"/>
        <color rgb="FF63BE7B"/>
      </colorScale>
    </cfRule>
    <cfRule type="colorScale" priority="3328">
      <colorScale>
        <cfvo type="num" val="1"/>
        <cfvo type="num" val="2"/>
        <cfvo type="num" val="3"/>
        <color rgb="FFF8696B"/>
        <color rgb="FFFFEB84"/>
        <color rgb="FF63BE7B"/>
      </colorScale>
    </cfRule>
  </conditionalFormatting>
  <conditionalFormatting sqref="P264">
    <cfRule type="cellIs" dxfId="522" priority="3287" operator="equal">
      <formula>5</formula>
    </cfRule>
    <cfRule type="cellIs" dxfId="521" priority="3288" operator="equal">
      <formula>4</formula>
    </cfRule>
    <cfRule type="cellIs" dxfId="520" priority="3289" operator="equal">
      <formula>1</formula>
    </cfRule>
    <cfRule type="cellIs" dxfId="519" priority="3290" operator="equal">
      <formula>3</formula>
    </cfRule>
    <cfRule type="cellIs" dxfId="518" priority="3291" operator="equal">
      <formula>2</formula>
    </cfRule>
    <cfRule type="colorScale" priority="3292">
      <colorScale>
        <cfvo type="min" val="0"/>
        <cfvo type="percentile" val="50"/>
        <cfvo type="max" val="0"/>
        <color rgb="FFF8696B"/>
        <color rgb="FFFFEB84"/>
        <color rgb="FF63BE7B"/>
      </colorScale>
    </cfRule>
    <cfRule type="colorScale" priority="3293">
      <colorScale>
        <cfvo type="num" val="1"/>
        <cfvo type="num" val="2"/>
        <cfvo type="num" val="3"/>
        <color rgb="FFF8696B"/>
        <color rgb="FFFFEB84"/>
        <color rgb="FF63BE7B"/>
      </colorScale>
    </cfRule>
    <cfRule type="colorScale" priority="3294">
      <colorScale>
        <cfvo type="num" val="1"/>
        <cfvo type="num" val="2"/>
        <cfvo type="num" val="3"/>
        <color rgb="FFF8696B"/>
        <color rgb="FFFFEB84"/>
        <color rgb="FF63BE7B"/>
      </colorScale>
    </cfRule>
  </conditionalFormatting>
  <conditionalFormatting sqref="R260">
    <cfRule type="cellIs" dxfId="517" priority="3279" operator="equal">
      <formula>5</formula>
    </cfRule>
    <cfRule type="cellIs" dxfId="516" priority="3280" operator="equal">
      <formula>4</formula>
    </cfRule>
    <cfRule type="cellIs" dxfId="515" priority="3281" operator="equal">
      <formula>1</formula>
    </cfRule>
    <cfRule type="cellIs" dxfId="514" priority="3282" operator="equal">
      <formula>3</formula>
    </cfRule>
    <cfRule type="cellIs" dxfId="513" priority="3283" operator="equal">
      <formula>2</formula>
    </cfRule>
    <cfRule type="colorScale" priority="3284">
      <colorScale>
        <cfvo type="min" val="0"/>
        <cfvo type="percentile" val="50"/>
        <cfvo type="max" val="0"/>
        <color rgb="FFF8696B"/>
        <color rgb="FFFFEB84"/>
        <color rgb="FF63BE7B"/>
      </colorScale>
    </cfRule>
    <cfRule type="colorScale" priority="3285">
      <colorScale>
        <cfvo type="num" val="1"/>
        <cfvo type="num" val="2"/>
        <cfvo type="num" val="3"/>
        <color rgb="FFF8696B"/>
        <color rgb="FFFFEB84"/>
        <color rgb="FF63BE7B"/>
      </colorScale>
    </cfRule>
    <cfRule type="colorScale" priority="3286">
      <colorScale>
        <cfvo type="num" val="1"/>
        <cfvo type="num" val="2"/>
        <cfvo type="num" val="3"/>
        <color rgb="FFF8696B"/>
        <color rgb="FFFFEB84"/>
        <color rgb="FF63BE7B"/>
      </colorScale>
    </cfRule>
  </conditionalFormatting>
  <conditionalFormatting sqref="U260">
    <cfRule type="cellIs" dxfId="512" priority="3240" operator="equal">
      <formula>5</formula>
    </cfRule>
    <cfRule type="cellIs" dxfId="511" priority="3241" operator="equal">
      <formula>4</formula>
    </cfRule>
    <cfRule type="cellIs" dxfId="510" priority="3242" operator="equal">
      <formula>1</formula>
    </cfRule>
    <cfRule type="cellIs" dxfId="509" priority="3243" operator="equal">
      <formula>3</formula>
    </cfRule>
    <cfRule type="cellIs" dxfId="508" priority="3244" operator="equal">
      <formula>2</formula>
    </cfRule>
    <cfRule type="colorScale" priority="3245">
      <colorScale>
        <cfvo type="min" val="0"/>
        <cfvo type="percentile" val="50"/>
        <cfvo type="max" val="0"/>
        <color rgb="FFF8696B"/>
        <color rgb="FFFFEB84"/>
        <color rgb="FF63BE7B"/>
      </colorScale>
    </cfRule>
    <cfRule type="colorScale" priority="3246">
      <colorScale>
        <cfvo type="num" val="1"/>
        <cfvo type="num" val="2"/>
        <cfvo type="num" val="3"/>
        <color rgb="FFF8696B"/>
        <color rgb="FFFFEB84"/>
        <color rgb="FF63BE7B"/>
      </colorScale>
    </cfRule>
    <cfRule type="colorScale" priority="3247">
      <colorScale>
        <cfvo type="num" val="1"/>
        <cfvo type="num" val="2"/>
        <cfvo type="num" val="3"/>
        <color rgb="FFF8696B"/>
        <color rgb="FFFFEB84"/>
        <color rgb="FF63BE7B"/>
      </colorScale>
    </cfRule>
    <cfRule type="colorScale" priority="3248">
      <colorScale>
        <cfvo type="num" val="1"/>
        <cfvo type="num" val="2"/>
        <cfvo type="num" val="3"/>
        <color rgb="FFF8696B"/>
        <color rgb="FFFFEB84"/>
        <color rgb="FF63BE7B"/>
      </colorScale>
    </cfRule>
    <cfRule type="colorScale" priority="3249">
      <colorScale>
        <cfvo type="num" val="1"/>
        <cfvo type="num" val="2"/>
        <cfvo type="num" val="3"/>
        <color rgb="FFF8696B"/>
        <color rgb="FFFFEB84"/>
        <color rgb="FF63BE7B"/>
      </colorScale>
    </cfRule>
    <cfRule type="colorScale" priority="3250">
      <colorScale>
        <cfvo type="num" val="1"/>
        <cfvo type="num" val="2"/>
        <cfvo type="num" val="3"/>
        <color rgb="FFF8696B"/>
        <color rgb="FFFFEB84"/>
        <color rgb="FF63BE7B"/>
      </colorScale>
    </cfRule>
    <cfRule type="colorScale" priority="3251">
      <colorScale>
        <cfvo type="num" val="1"/>
        <cfvo type="num" val="2"/>
        <cfvo type="num" val="3"/>
        <color rgb="FFF8696B"/>
        <color rgb="FFFFEB84"/>
        <color rgb="FF63BE7B"/>
      </colorScale>
    </cfRule>
  </conditionalFormatting>
  <conditionalFormatting sqref="U262">
    <cfRule type="cellIs" dxfId="507" priority="3232" operator="equal">
      <formula>5</formula>
    </cfRule>
    <cfRule type="cellIs" dxfId="506" priority="3233" operator="equal">
      <formula>4</formula>
    </cfRule>
    <cfRule type="cellIs" dxfId="505" priority="3234" operator="equal">
      <formula>1</formula>
    </cfRule>
    <cfRule type="cellIs" dxfId="504" priority="3235" operator="equal">
      <formula>3</formula>
    </cfRule>
    <cfRule type="cellIs" dxfId="503" priority="3236" operator="equal">
      <formula>2</formula>
    </cfRule>
    <cfRule type="colorScale" priority="3237">
      <colorScale>
        <cfvo type="min" val="0"/>
        <cfvo type="percentile" val="50"/>
        <cfvo type="max" val="0"/>
        <color rgb="FFF8696B"/>
        <color rgb="FFFFEB84"/>
        <color rgb="FF63BE7B"/>
      </colorScale>
    </cfRule>
    <cfRule type="colorScale" priority="3238">
      <colorScale>
        <cfvo type="num" val="1"/>
        <cfvo type="num" val="2"/>
        <cfvo type="num" val="3"/>
        <color rgb="FFF8696B"/>
        <color rgb="FFFFEB84"/>
        <color rgb="FF63BE7B"/>
      </colorScale>
    </cfRule>
    <cfRule type="colorScale" priority="3239">
      <colorScale>
        <cfvo type="num" val="1"/>
        <cfvo type="num" val="2"/>
        <cfvo type="num" val="3"/>
        <color rgb="FFF8696B"/>
        <color rgb="FFFFEB84"/>
        <color rgb="FF63BE7B"/>
      </colorScale>
    </cfRule>
  </conditionalFormatting>
  <conditionalFormatting sqref="V266">
    <cfRule type="cellIs" dxfId="502" priority="3167" operator="equal">
      <formula>5</formula>
    </cfRule>
    <cfRule type="cellIs" dxfId="501" priority="3168" operator="equal">
      <formula>4</formula>
    </cfRule>
    <cfRule type="cellIs" dxfId="500" priority="3169" operator="equal">
      <formula>1</formula>
    </cfRule>
    <cfRule type="cellIs" dxfId="499" priority="3170" operator="equal">
      <formula>3</formula>
    </cfRule>
    <cfRule type="cellIs" dxfId="498" priority="3171" operator="equal">
      <formula>2</formula>
    </cfRule>
    <cfRule type="colorScale" priority="3172">
      <colorScale>
        <cfvo type="min" val="0"/>
        <cfvo type="percentile" val="50"/>
        <cfvo type="max" val="0"/>
        <color rgb="FFF8696B"/>
        <color rgb="FFFFEB84"/>
        <color rgb="FF63BE7B"/>
      </colorScale>
    </cfRule>
    <cfRule type="colorScale" priority="3173">
      <colorScale>
        <cfvo type="num" val="1"/>
        <cfvo type="num" val="2"/>
        <cfvo type="num" val="3"/>
        <color rgb="FFF8696B"/>
        <color rgb="FFFFEB84"/>
        <color rgb="FF63BE7B"/>
      </colorScale>
    </cfRule>
    <cfRule type="colorScale" priority="3174">
      <colorScale>
        <cfvo type="num" val="1"/>
        <cfvo type="num" val="2"/>
        <cfvo type="num" val="3"/>
        <color rgb="FFF8696B"/>
        <color rgb="FFFFEB84"/>
        <color rgb="FF63BE7B"/>
      </colorScale>
    </cfRule>
  </conditionalFormatting>
  <conditionalFormatting sqref="W260">
    <cfRule type="cellIs" dxfId="497" priority="3155" operator="equal">
      <formula>5</formula>
    </cfRule>
    <cfRule type="cellIs" dxfId="496" priority="3156" operator="equal">
      <formula>4</formula>
    </cfRule>
    <cfRule type="cellIs" dxfId="495" priority="3157" operator="equal">
      <formula>1</formula>
    </cfRule>
    <cfRule type="cellIs" dxfId="494" priority="3158" operator="equal">
      <formula>3</formula>
    </cfRule>
    <cfRule type="cellIs" dxfId="493" priority="3159" operator="equal">
      <formula>2</formula>
    </cfRule>
    <cfRule type="colorScale" priority="3160">
      <colorScale>
        <cfvo type="min" val="0"/>
        <cfvo type="percentile" val="50"/>
        <cfvo type="max" val="0"/>
        <color rgb="FFF8696B"/>
        <color rgb="FFFFEB84"/>
        <color rgb="FF63BE7B"/>
      </colorScale>
    </cfRule>
    <cfRule type="colorScale" priority="3161">
      <colorScale>
        <cfvo type="num" val="1"/>
        <cfvo type="num" val="2"/>
        <cfvo type="num" val="3"/>
        <color rgb="FFF8696B"/>
        <color rgb="FFFFEB84"/>
        <color rgb="FF63BE7B"/>
      </colorScale>
    </cfRule>
    <cfRule type="colorScale" priority="3162">
      <colorScale>
        <cfvo type="num" val="1"/>
        <cfvo type="num" val="2"/>
        <cfvo type="num" val="3"/>
        <color rgb="FFF8696B"/>
        <color rgb="FFFFEB84"/>
        <color rgb="FF63BE7B"/>
      </colorScale>
    </cfRule>
    <cfRule type="colorScale" priority="3163">
      <colorScale>
        <cfvo type="num" val="1"/>
        <cfvo type="num" val="2"/>
        <cfvo type="num" val="3"/>
        <color rgb="FFF8696B"/>
        <color rgb="FFFFEB84"/>
        <color rgb="FF63BE7B"/>
      </colorScale>
    </cfRule>
    <cfRule type="colorScale" priority="3164">
      <colorScale>
        <cfvo type="num" val="1"/>
        <cfvo type="num" val="2"/>
        <cfvo type="num" val="3"/>
        <color rgb="FFF8696B"/>
        <color rgb="FFFFEB84"/>
        <color rgb="FF63BE7B"/>
      </colorScale>
    </cfRule>
    <cfRule type="colorScale" priority="3165">
      <colorScale>
        <cfvo type="num" val="1"/>
        <cfvo type="num" val="2"/>
        <cfvo type="num" val="3"/>
        <color rgb="FFF8696B"/>
        <color rgb="FFFFEB84"/>
        <color rgb="FF63BE7B"/>
      </colorScale>
    </cfRule>
    <cfRule type="colorScale" priority="3166">
      <colorScale>
        <cfvo type="num" val="1"/>
        <cfvo type="num" val="2"/>
        <cfvo type="num" val="3"/>
        <color rgb="FFF8696B"/>
        <color rgb="FFFFEB84"/>
        <color rgb="FF63BE7B"/>
      </colorScale>
    </cfRule>
  </conditionalFormatting>
  <conditionalFormatting sqref="W264">
    <cfRule type="cellIs" dxfId="492" priority="3147" operator="equal">
      <formula>5</formula>
    </cfRule>
    <cfRule type="cellIs" dxfId="491" priority="3148" operator="equal">
      <formula>4</formula>
    </cfRule>
    <cfRule type="cellIs" dxfId="490" priority="3149" operator="equal">
      <formula>1</formula>
    </cfRule>
    <cfRule type="cellIs" dxfId="489" priority="3150" operator="equal">
      <formula>3</formula>
    </cfRule>
    <cfRule type="cellIs" dxfId="488" priority="3151" operator="equal">
      <formula>2</formula>
    </cfRule>
    <cfRule type="colorScale" priority="3152">
      <colorScale>
        <cfvo type="min" val="0"/>
        <cfvo type="percentile" val="50"/>
        <cfvo type="max" val="0"/>
        <color rgb="FFF8696B"/>
        <color rgb="FFFFEB84"/>
        <color rgb="FF63BE7B"/>
      </colorScale>
    </cfRule>
    <cfRule type="colorScale" priority="3153">
      <colorScale>
        <cfvo type="num" val="1"/>
        <cfvo type="num" val="2"/>
        <cfvo type="num" val="3"/>
        <color rgb="FFF8696B"/>
        <color rgb="FFFFEB84"/>
        <color rgb="FF63BE7B"/>
      </colorScale>
    </cfRule>
    <cfRule type="colorScale" priority="3154">
      <colorScale>
        <cfvo type="num" val="1"/>
        <cfvo type="num" val="2"/>
        <cfvo type="num" val="3"/>
        <color rgb="FFF8696B"/>
        <color rgb="FFFFEB84"/>
        <color rgb="FF63BE7B"/>
      </colorScale>
    </cfRule>
  </conditionalFormatting>
  <conditionalFormatting sqref="Y264">
    <cfRule type="cellIs" dxfId="487" priority="3118" operator="equal">
      <formula>5</formula>
    </cfRule>
    <cfRule type="cellIs" dxfId="486" priority="3119" operator="equal">
      <formula>4</formula>
    </cfRule>
    <cfRule type="cellIs" dxfId="485" priority="3120" operator="equal">
      <formula>1</formula>
    </cfRule>
    <cfRule type="cellIs" dxfId="484" priority="3121" operator="equal">
      <formula>3</formula>
    </cfRule>
    <cfRule type="cellIs" dxfId="483" priority="3122" operator="equal">
      <formula>2</formula>
    </cfRule>
    <cfRule type="colorScale" priority="3123">
      <colorScale>
        <cfvo type="min" val="0"/>
        <cfvo type="percentile" val="50"/>
        <cfvo type="max" val="0"/>
        <color rgb="FFF8696B"/>
        <color rgb="FFFFEB84"/>
        <color rgb="FF63BE7B"/>
      </colorScale>
    </cfRule>
    <cfRule type="colorScale" priority="3124">
      <colorScale>
        <cfvo type="num" val="1"/>
        <cfvo type="num" val="2"/>
        <cfvo type="num" val="3"/>
        <color rgb="FFF8696B"/>
        <color rgb="FFFFEB84"/>
        <color rgb="FF63BE7B"/>
      </colorScale>
    </cfRule>
    <cfRule type="colorScale" priority="3125">
      <colorScale>
        <cfvo type="num" val="1"/>
        <cfvo type="num" val="2"/>
        <cfvo type="num" val="3"/>
        <color rgb="FFF8696B"/>
        <color rgb="FFFFEB84"/>
        <color rgb="FF63BE7B"/>
      </colorScale>
    </cfRule>
  </conditionalFormatting>
  <conditionalFormatting sqref="AE260">
    <cfRule type="cellIs" dxfId="482" priority="3110" operator="equal">
      <formula>5</formula>
    </cfRule>
    <cfRule type="cellIs" dxfId="481" priority="3111" operator="equal">
      <formula>4</formula>
    </cfRule>
    <cfRule type="cellIs" dxfId="480" priority="3112" operator="equal">
      <formula>1</formula>
    </cfRule>
    <cfRule type="cellIs" dxfId="479" priority="3113" operator="equal">
      <formula>3</formula>
    </cfRule>
    <cfRule type="cellIs" dxfId="478" priority="3114" operator="equal">
      <formula>2</formula>
    </cfRule>
    <cfRule type="colorScale" priority="3115">
      <colorScale>
        <cfvo type="min" val="0"/>
        <cfvo type="percentile" val="50"/>
        <cfvo type="max" val="0"/>
        <color rgb="FFF8696B"/>
        <color rgb="FFFFEB84"/>
        <color rgb="FF63BE7B"/>
      </colorScale>
    </cfRule>
    <cfRule type="colorScale" priority="3116">
      <colorScale>
        <cfvo type="num" val="1"/>
        <cfvo type="num" val="2"/>
        <cfvo type="num" val="3"/>
        <color rgb="FFF8696B"/>
        <color rgb="FFFFEB84"/>
        <color rgb="FF63BE7B"/>
      </colorScale>
    </cfRule>
    <cfRule type="colorScale" priority="3117">
      <colorScale>
        <cfvo type="num" val="1"/>
        <cfvo type="num" val="2"/>
        <cfvo type="num" val="3"/>
        <color rgb="FFF8696B"/>
        <color rgb="FFFFEB84"/>
        <color rgb="FF63BE7B"/>
      </colorScale>
    </cfRule>
  </conditionalFormatting>
  <conditionalFormatting sqref="AE264">
    <cfRule type="cellIs" dxfId="477" priority="3098" operator="equal">
      <formula>5</formula>
    </cfRule>
    <cfRule type="cellIs" dxfId="476" priority="3099" operator="equal">
      <formula>4</formula>
    </cfRule>
    <cfRule type="cellIs" dxfId="475" priority="3100" operator="equal">
      <formula>1</formula>
    </cfRule>
    <cfRule type="cellIs" dxfId="474" priority="3101" operator="equal">
      <formula>3</formula>
    </cfRule>
    <cfRule type="cellIs" dxfId="473" priority="3102" operator="equal">
      <formula>2</formula>
    </cfRule>
    <cfRule type="colorScale" priority="3103">
      <colorScale>
        <cfvo type="min" val="0"/>
        <cfvo type="percentile" val="50"/>
        <cfvo type="max" val="0"/>
        <color rgb="FFF8696B"/>
        <color rgb="FFFFEB84"/>
        <color rgb="FF63BE7B"/>
      </colorScale>
    </cfRule>
    <cfRule type="colorScale" priority="3104">
      <colorScale>
        <cfvo type="num" val="1"/>
        <cfvo type="num" val="2"/>
        <cfvo type="num" val="3"/>
        <color rgb="FFF8696B"/>
        <color rgb="FFFFEB84"/>
        <color rgb="FF63BE7B"/>
      </colorScale>
    </cfRule>
    <cfRule type="colorScale" priority="3105">
      <colorScale>
        <cfvo type="num" val="1"/>
        <cfvo type="num" val="2"/>
        <cfvo type="num" val="3"/>
        <color rgb="FFF8696B"/>
        <color rgb="FFFFEB84"/>
        <color rgb="FF63BE7B"/>
      </colorScale>
    </cfRule>
    <cfRule type="colorScale" priority="3106">
      <colorScale>
        <cfvo type="num" val="1"/>
        <cfvo type="num" val="2"/>
        <cfvo type="num" val="3"/>
        <color rgb="FFF8696B"/>
        <color rgb="FFFFEB84"/>
        <color rgb="FF63BE7B"/>
      </colorScale>
    </cfRule>
    <cfRule type="colorScale" priority="3107">
      <colorScale>
        <cfvo type="num" val="1"/>
        <cfvo type="num" val="2"/>
        <cfvo type="num" val="3"/>
        <color rgb="FFF8696B"/>
        <color rgb="FFFFEB84"/>
        <color rgb="FF63BE7B"/>
      </colorScale>
    </cfRule>
    <cfRule type="colorScale" priority="3108">
      <colorScale>
        <cfvo type="num" val="1"/>
        <cfvo type="num" val="2"/>
        <cfvo type="num" val="3"/>
        <color rgb="FFF8696B"/>
        <color rgb="FFFFEB84"/>
        <color rgb="FF63BE7B"/>
      </colorScale>
    </cfRule>
    <cfRule type="colorScale" priority="3109">
      <colorScale>
        <cfvo type="num" val="1"/>
        <cfvo type="num" val="2"/>
        <cfvo type="num" val="3"/>
        <color rgb="FFF8696B"/>
        <color rgb="FFFFEB84"/>
        <color rgb="FF63BE7B"/>
      </colorScale>
    </cfRule>
  </conditionalFormatting>
  <conditionalFormatting sqref="AF258">
    <cfRule type="cellIs" dxfId="472" priority="3090" operator="equal">
      <formula>5</formula>
    </cfRule>
    <cfRule type="cellIs" dxfId="471" priority="3091" operator="equal">
      <formula>4</formula>
    </cfRule>
    <cfRule type="cellIs" dxfId="470" priority="3092" operator="equal">
      <formula>1</formula>
    </cfRule>
    <cfRule type="cellIs" dxfId="469" priority="3093" operator="equal">
      <formula>3</formula>
    </cfRule>
    <cfRule type="cellIs" dxfId="468" priority="3094" operator="equal">
      <formula>2</formula>
    </cfRule>
    <cfRule type="colorScale" priority="3095">
      <colorScale>
        <cfvo type="min" val="0"/>
        <cfvo type="percentile" val="50"/>
        <cfvo type="max" val="0"/>
        <color rgb="FFF8696B"/>
        <color rgb="FFFFEB84"/>
        <color rgb="FF63BE7B"/>
      </colorScale>
    </cfRule>
    <cfRule type="colorScale" priority="3096">
      <colorScale>
        <cfvo type="num" val="1"/>
        <cfvo type="num" val="2"/>
        <cfvo type="num" val="3"/>
        <color rgb="FFF8696B"/>
        <color rgb="FFFFEB84"/>
        <color rgb="FF63BE7B"/>
      </colorScale>
    </cfRule>
    <cfRule type="colorScale" priority="3097">
      <colorScale>
        <cfvo type="num" val="1"/>
        <cfvo type="num" val="2"/>
        <cfvo type="num" val="3"/>
        <color rgb="FFF8696B"/>
        <color rgb="FFFFEB84"/>
        <color rgb="FF63BE7B"/>
      </colorScale>
    </cfRule>
  </conditionalFormatting>
  <conditionalFormatting sqref="AF266">
    <cfRule type="cellIs" dxfId="467" priority="3078" operator="equal">
      <formula>5</formula>
    </cfRule>
    <cfRule type="cellIs" dxfId="466" priority="3079" operator="equal">
      <formula>4</formula>
    </cfRule>
    <cfRule type="cellIs" dxfId="465" priority="3080" operator="equal">
      <formula>1</formula>
    </cfRule>
    <cfRule type="cellIs" dxfId="464" priority="3081" operator="equal">
      <formula>3</formula>
    </cfRule>
    <cfRule type="cellIs" dxfId="463" priority="3082" operator="equal">
      <formula>2</formula>
    </cfRule>
    <cfRule type="colorScale" priority="3083">
      <colorScale>
        <cfvo type="min" val="0"/>
        <cfvo type="percentile" val="50"/>
        <cfvo type="max" val="0"/>
        <color rgb="FFF8696B"/>
        <color rgb="FFFFEB84"/>
        <color rgb="FF63BE7B"/>
      </colorScale>
    </cfRule>
    <cfRule type="colorScale" priority="3084">
      <colorScale>
        <cfvo type="num" val="1"/>
        <cfvo type="num" val="2"/>
        <cfvo type="num" val="3"/>
        <color rgb="FFF8696B"/>
        <color rgb="FFFFEB84"/>
        <color rgb="FF63BE7B"/>
      </colorScale>
    </cfRule>
    <cfRule type="colorScale" priority="3085">
      <colorScale>
        <cfvo type="num" val="1"/>
        <cfvo type="num" val="2"/>
        <cfvo type="num" val="3"/>
        <color rgb="FFF8696B"/>
        <color rgb="FFFFEB84"/>
        <color rgb="FF63BE7B"/>
      </colorScale>
    </cfRule>
    <cfRule type="colorScale" priority="3086">
      <colorScale>
        <cfvo type="num" val="1"/>
        <cfvo type="num" val="2"/>
        <cfvo type="num" val="3"/>
        <color rgb="FFF8696B"/>
        <color rgb="FFFFEB84"/>
        <color rgb="FF63BE7B"/>
      </colorScale>
    </cfRule>
    <cfRule type="colorScale" priority="3087">
      <colorScale>
        <cfvo type="num" val="1"/>
        <cfvo type="num" val="2"/>
        <cfvo type="num" val="3"/>
        <color rgb="FFF8696B"/>
        <color rgb="FFFFEB84"/>
        <color rgb="FF63BE7B"/>
      </colorScale>
    </cfRule>
    <cfRule type="colorScale" priority="3088">
      <colorScale>
        <cfvo type="num" val="1"/>
        <cfvo type="num" val="2"/>
        <cfvo type="num" val="3"/>
        <color rgb="FFF8696B"/>
        <color rgb="FFFFEB84"/>
        <color rgb="FF63BE7B"/>
      </colorScale>
    </cfRule>
    <cfRule type="colorScale" priority="3089">
      <colorScale>
        <cfvo type="num" val="1"/>
        <cfvo type="num" val="2"/>
        <cfvo type="num" val="3"/>
        <color rgb="FFF8696B"/>
        <color rgb="FFFFEB84"/>
        <color rgb="FF63BE7B"/>
      </colorScale>
    </cfRule>
  </conditionalFormatting>
  <conditionalFormatting sqref="C262">
    <cfRule type="cellIs" dxfId="462" priority="3025" operator="equal">
      <formula>5</formula>
    </cfRule>
    <cfRule type="cellIs" dxfId="461" priority="3026" operator="equal">
      <formula>4</formula>
    </cfRule>
    <cfRule type="cellIs" dxfId="460" priority="3027" operator="equal">
      <formula>1</formula>
    </cfRule>
    <cfRule type="cellIs" dxfId="459" priority="3028" operator="equal">
      <formula>3</formula>
    </cfRule>
    <cfRule type="cellIs" dxfId="458" priority="3029" operator="equal">
      <formula>2</formula>
    </cfRule>
    <cfRule type="colorScale" priority="3030">
      <colorScale>
        <cfvo type="min" val="0"/>
        <cfvo type="percentile" val="50"/>
        <cfvo type="max" val="0"/>
        <color rgb="FFF8696B"/>
        <color rgb="FFFFEB84"/>
        <color rgb="FF63BE7B"/>
      </colorScale>
    </cfRule>
    <cfRule type="colorScale" priority="3031">
      <colorScale>
        <cfvo type="num" val="1"/>
        <cfvo type="num" val="2"/>
        <cfvo type="num" val="3"/>
        <color rgb="FFF8696B"/>
        <color rgb="FFFFEB84"/>
        <color rgb="FF63BE7B"/>
      </colorScale>
    </cfRule>
    <cfRule type="colorScale" priority="3032">
      <colorScale>
        <cfvo type="num" val="1"/>
        <cfvo type="num" val="2"/>
        <cfvo type="num" val="3"/>
        <color rgb="FFF8696B"/>
        <color rgb="FFFFEB84"/>
        <color rgb="FF63BE7B"/>
      </colorScale>
    </cfRule>
  </conditionalFormatting>
  <conditionalFormatting sqref="E258">
    <cfRule type="cellIs" dxfId="457" priority="3013" operator="equal">
      <formula>5</formula>
    </cfRule>
    <cfRule type="cellIs" dxfId="456" priority="3014" operator="equal">
      <formula>4</formula>
    </cfRule>
    <cfRule type="cellIs" dxfId="455" priority="3015" operator="equal">
      <formula>1</formula>
    </cfRule>
    <cfRule type="cellIs" dxfId="454" priority="3016" operator="equal">
      <formula>3</formula>
    </cfRule>
    <cfRule type="cellIs" dxfId="453" priority="3017" operator="equal">
      <formula>2</formula>
    </cfRule>
    <cfRule type="colorScale" priority="3018">
      <colorScale>
        <cfvo type="min" val="0"/>
        <cfvo type="percentile" val="50"/>
        <cfvo type="max" val="0"/>
        <color rgb="FFF8696B"/>
        <color rgb="FFFFEB84"/>
        <color rgb="FF63BE7B"/>
      </colorScale>
    </cfRule>
    <cfRule type="colorScale" priority="3019">
      <colorScale>
        <cfvo type="num" val="1"/>
        <cfvo type="num" val="2"/>
        <cfvo type="num" val="3"/>
        <color rgb="FFF8696B"/>
        <color rgb="FFFFEB84"/>
        <color rgb="FF63BE7B"/>
      </colorScale>
    </cfRule>
    <cfRule type="colorScale" priority="3020">
      <colorScale>
        <cfvo type="num" val="1"/>
        <cfvo type="num" val="2"/>
        <cfvo type="num" val="3"/>
        <color rgb="FFF8696B"/>
        <color rgb="FFFFEB84"/>
        <color rgb="FF63BE7B"/>
      </colorScale>
    </cfRule>
    <cfRule type="colorScale" priority="3021">
      <colorScale>
        <cfvo type="num" val="1"/>
        <cfvo type="num" val="2"/>
        <cfvo type="num" val="3"/>
        <color rgb="FFF8696B"/>
        <color rgb="FFFFEB84"/>
        <color rgb="FF63BE7B"/>
      </colorScale>
    </cfRule>
    <cfRule type="colorScale" priority="3022">
      <colorScale>
        <cfvo type="num" val="1"/>
        <cfvo type="num" val="2"/>
        <cfvo type="num" val="3"/>
        <color rgb="FFF8696B"/>
        <color rgb="FFFFEB84"/>
        <color rgb="FF63BE7B"/>
      </colorScale>
    </cfRule>
    <cfRule type="colorScale" priority="3023">
      <colorScale>
        <cfvo type="num" val="1"/>
        <cfvo type="num" val="2"/>
        <cfvo type="num" val="3"/>
        <color rgb="FFF8696B"/>
        <color rgb="FFFFEB84"/>
        <color rgb="FF63BE7B"/>
      </colorScale>
    </cfRule>
    <cfRule type="colorScale" priority="3024">
      <colorScale>
        <cfvo type="num" val="1"/>
        <cfvo type="num" val="2"/>
        <cfvo type="num" val="3"/>
        <color rgb="FFF8696B"/>
        <color rgb="FFFFEB84"/>
        <color rgb="FF63BE7B"/>
      </colorScale>
    </cfRule>
  </conditionalFormatting>
  <conditionalFormatting sqref="C355">
    <cfRule type="cellIs" dxfId="452" priority="2991" operator="equal">
      <formula>5</formula>
    </cfRule>
    <cfRule type="cellIs" dxfId="451" priority="2992" operator="equal">
      <formula>4</formula>
    </cfRule>
    <cfRule type="cellIs" dxfId="450" priority="2993" operator="equal">
      <formula>1</formula>
    </cfRule>
    <cfRule type="cellIs" dxfId="449" priority="2994" operator="equal">
      <formula>3</formula>
    </cfRule>
    <cfRule type="cellIs" dxfId="448" priority="2995" operator="equal">
      <formula>2</formula>
    </cfRule>
    <cfRule type="colorScale" priority="2996">
      <colorScale>
        <cfvo type="min" val="0"/>
        <cfvo type="percentile" val="50"/>
        <cfvo type="max" val="0"/>
        <color rgb="FFF8696B"/>
        <color rgb="FFFFEB84"/>
        <color rgb="FF63BE7B"/>
      </colorScale>
    </cfRule>
    <cfRule type="colorScale" priority="2997">
      <colorScale>
        <cfvo type="num" val="1"/>
        <cfvo type="num" val="2"/>
        <cfvo type="num" val="3"/>
        <color rgb="FFF8696B"/>
        <color rgb="FFFFEB84"/>
        <color rgb="FF63BE7B"/>
      </colorScale>
    </cfRule>
    <cfRule type="colorScale" priority="2998">
      <colorScale>
        <cfvo type="num" val="1"/>
        <cfvo type="num" val="2"/>
        <cfvo type="num" val="3"/>
        <color rgb="FFF8696B"/>
        <color rgb="FFFFEB84"/>
        <color rgb="FF63BE7B"/>
      </colorScale>
    </cfRule>
  </conditionalFormatting>
  <conditionalFormatting sqref="C365:D365">
    <cfRule type="cellIs" dxfId="447" priority="2983" operator="equal">
      <formula>5</formula>
    </cfRule>
    <cfRule type="cellIs" dxfId="446" priority="2984" operator="equal">
      <formula>4</formula>
    </cfRule>
    <cfRule type="cellIs" dxfId="445" priority="2985" operator="equal">
      <formula>1</formula>
    </cfRule>
    <cfRule type="cellIs" dxfId="444" priority="2986" operator="equal">
      <formula>3</formula>
    </cfRule>
    <cfRule type="cellIs" dxfId="443" priority="2987" operator="equal">
      <formula>2</formula>
    </cfRule>
    <cfRule type="colorScale" priority="2988">
      <colorScale>
        <cfvo type="min" val="0"/>
        <cfvo type="percentile" val="50"/>
        <cfvo type="max" val="0"/>
        <color rgb="FFF8696B"/>
        <color rgb="FFFFEB84"/>
        <color rgb="FF63BE7B"/>
      </colorScale>
    </cfRule>
    <cfRule type="colorScale" priority="2989">
      <colorScale>
        <cfvo type="num" val="1"/>
        <cfvo type="num" val="2"/>
        <cfvo type="num" val="3"/>
        <color rgb="FFF8696B"/>
        <color rgb="FFFFEB84"/>
        <color rgb="FF63BE7B"/>
      </colorScale>
    </cfRule>
    <cfRule type="colorScale" priority="2990">
      <colorScale>
        <cfvo type="num" val="1"/>
        <cfvo type="num" val="2"/>
        <cfvo type="num" val="3"/>
        <color rgb="FFF8696B"/>
        <color rgb="FFFFEB84"/>
        <color rgb="FF63BE7B"/>
      </colorScale>
    </cfRule>
  </conditionalFormatting>
  <conditionalFormatting sqref="C361:D361">
    <cfRule type="cellIs" dxfId="442" priority="2971" operator="equal">
      <formula>5</formula>
    </cfRule>
    <cfRule type="cellIs" dxfId="441" priority="2972" operator="equal">
      <formula>4</formula>
    </cfRule>
    <cfRule type="cellIs" dxfId="440" priority="2973" operator="equal">
      <formula>1</formula>
    </cfRule>
    <cfRule type="cellIs" dxfId="439" priority="2974" operator="equal">
      <formula>3</formula>
    </cfRule>
    <cfRule type="cellIs" dxfId="438" priority="2975" operator="equal">
      <formula>2</formula>
    </cfRule>
    <cfRule type="colorScale" priority="2976">
      <colorScale>
        <cfvo type="min" val="0"/>
        <cfvo type="percentile" val="50"/>
        <cfvo type="max" val="0"/>
        <color rgb="FFF8696B"/>
        <color rgb="FFFFEB84"/>
        <color rgb="FF63BE7B"/>
      </colorScale>
    </cfRule>
    <cfRule type="colorScale" priority="2977">
      <colorScale>
        <cfvo type="num" val="1"/>
        <cfvo type="num" val="2"/>
        <cfvo type="num" val="3"/>
        <color rgb="FFF8696B"/>
        <color rgb="FFFFEB84"/>
        <color rgb="FF63BE7B"/>
      </colorScale>
    </cfRule>
    <cfRule type="colorScale" priority="2978">
      <colorScale>
        <cfvo type="num" val="1"/>
        <cfvo type="num" val="2"/>
        <cfvo type="num" val="3"/>
        <color rgb="FFF8696B"/>
        <color rgb="FFFFEB84"/>
        <color rgb="FF63BE7B"/>
      </colorScale>
    </cfRule>
    <cfRule type="colorScale" priority="2979">
      <colorScale>
        <cfvo type="num" val="1"/>
        <cfvo type="num" val="2"/>
        <cfvo type="num" val="3"/>
        <color rgb="FFF8696B"/>
        <color rgb="FFFFEB84"/>
        <color rgb="FF63BE7B"/>
      </colorScale>
    </cfRule>
    <cfRule type="colorScale" priority="2980">
      <colorScale>
        <cfvo type="num" val="1"/>
        <cfvo type="num" val="2"/>
        <cfvo type="num" val="3"/>
        <color rgb="FFF8696B"/>
        <color rgb="FFFFEB84"/>
        <color rgb="FF63BE7B"/>
      </colorScale>
    </cfRule>
    <cfRule type="colorScale" priority="2981">
      <colorScale>
        <cfvo type="num" val="1"/>
        <cfvo type="num" val="2"/>
        <cfvo type="num" val="3"/>
        <color rgb="FFF8696B"/>
        <color rgb="FFFFEB84"/>
        <color rgb="FF63BE7B"/>
      </colorScale>
    </cfRule>
    <cfRule type="colorScale" priority="2982">
      <colorScale>
        <cfvo type="num" val="1"/>
        <cfvo type="num" val="2"/>
        <cfvo type="num" val="3"/>
        <color rgb="FFF8696B"/>
        <color rgb="FFFFEB84"/>
        <color rgb="FF63BE7B"/>
      </colorScale>
    </cfRule>
  </conditionalFormatting>
  <conditionalFormatting sqref="C359:D359">
    <cfRule type="cellIs" dxfId="437" priority="2959" operator="equal">
      <formula>5</formula>
    </cfRule>
    <cfRule type="cellIs" dxfId="436" priority="2960" operator="equal">
      <formula>4</formula>
    </cfRule>
    <cfRule type="cellIs" dxfId="435" priority="2961" operator="equal">
      <formula>1</formula>
    </cfRule>
    <cfRule type="cellIs" dxfId="434" priority="2962" operator="equal">
      <formula>3</formula>
    </cfRule>
    <cfRule type="cellIs" dxfId="433" priority="2963" operator="equal">
      <formula>2</formula>
    </cfRule>
    <cfRule type="colorScale" priority="2964">
      <colorScale>
        <cfvo type="min" val="0"/>
        <cfvo type="percentile" val="50"/>
        <cfvo type="max" val="0"/>
        <color rgb="FFF8696B"/>
        <color rgb="FFFFEB84"/>
        <color rgb="FF63BE7B"/>
      </colorScale>
    </cfRule>
    <cfRule type="colorScale" priority="2965">
      <colorScale>
        <cfvo type="num" val="1"/>
        <cfvo type="num" val="2"/>
        <cfvo type="num" val="3"/>
        <color rgb="FFF8696B"/>
        <color rgb="FFFFEB84"/>
        <color rgb="FF63BE7B"/>
      </colorScale>
    </cfRule>
    <cfRule type="colorScale" priority="2966">
      <colorScale>
        <cfvo type="num" val="1"/>
        <cfvo type="num" val="2"/>
        <cfvo type="num" val="3"/>
        <color rgb="FFF8696B"/>
        <color rgb="FFFFEB84"/>
        <color rgb="FF63BE7B"/>
      </colorScale>
    </cfRule>
    <cfRule type="colorScale" priority="2967">
      <colorScale>
        <cfvo type="num" val="1"/>
        <cfvo type="num" val="2"/>
        <cfvo type="num" val="3"/>
        <color rgb="FFF8696B"/>
        <color rgb="FFFFEB84"/>
        <color rgb="FF63BE7B"/>
      </colorScale>
    </cfRule>
    <cfRule type="colorScale" priority="2968">
      <colorScale>
        <cfvo type="num" val="1"/>
        <cfvo type="num" val="2"/>
        <cfvo type="num" val="3"/>
        <color rgb="FFF8696B"/>
        <color rgb="FFFFEB84"/>
        <color rgb="FF63BE7B"/>
      </colorScale>
    </cfRule>
    <cfRule type="colorScale" priority="2969">
      <colorScale>
        <cfvo type="num" val="1"/>
        <cfvo type="num" val="2"/>
        <cfvo type="num" val="3"/>
        <color rgb="FFF8696B"/>
        <color rgb="FFFFEB84"/>
        <color rgb="FF63BE7B"/>
      </colorScale>
    </cfRule>
    <cfRule type="colorScale" priority="2970">
      <colorScale>
        <cfvo type="num" val="1"/>
        <cfvo type="num" val="2"/>
        <cfvo type="num" val="3"/>
        <color rgb="FFF8696B"/>
        <color rgb="FFFFEB84"/>
        <color rgb="FF63BE7B"/>
      </colorScale>
    </cfRule>
  </conditionalFormatting>
  <conditionalFormatting sqref="C359">
    <cfRule type="cellIs" dxfId="432" priority="2950" operator="equal">
      <formula>5</formula>
    </cfRule>
    <cfRule type="cellIs" dxfId="431" priority="2951" operator="equal">
      <formula>4</formula>
    </cfRule>
    <cfRule type="cellIs" dxfId="430" priority="2952" operator="equal">
      <formula>1</formula>
    </cfRule>
    <cfRule type="cellIs" dxfId="429" priority="2953" operator="equal">
      <formula>3</formula>
    </cfRule>
    <cfRule type="cellIs" dxfId="428" priority="2954" operator="equal">
      <formula>2</formula>
    </cfRule>
    <cfRule type="colorScale" priority="2955">
      <colorScale>
        <cfvo type="min" val="0"/>
        <cfvo type="percentile" val="50"/>
        <cfvo type="max" val="0"/>
        <color rgb="FFF8696B"/>
        <color rgb="FFFFEB84"/>
        <color rgb="FF63BE7B"/>
      </colorScale>
    </cfRule>
    <cfRule type="colorScale" priority="2956">
      <colorScale>
        <cfvo type="num" val="1"/>
        <cfvo type="num" val="2"/>
        <cfvo type="num" val="3"/>
        <color rgb="FFF8696B"/>
        <color rgb="FFFFEB84"/>
        <color rgb="FF63BE7B"/>
      </colorScale>
    </cfRule>
    <cfRule type="colorScale" priority="2957">
      <colorScale>
        <cfvo type="num" val="1"/>
        <cfvo type="num" val="2"/>
        <cfvo type="num" val="3"/>
        <color rgb="FFF8696B"/>
        <color rgb="FFFFEB84"/>
        <color rgb="FF63BE7B"/>
      </colorScale>
    </cfRule>
  </conditionalFormatting>
  <conditionalFormatting sqref="C391:D391">
    <cfRule type="cellIs" dxfId="427" priority="2930" operator="equal">
      <formula>5</formula>
    </cfRule>
    <cfRule type="cellIs" dxfId="426" priority="2931" operator="equal">
      <formula>4</formula>
    </cfRule>
    <cfRule type="cellIs" dxfId="425" priority="2932" operator="equal">
      <formula>1</formula>
    </cfRule>
    <cfRule type="cellIs" dxfId="424" priority="2933" operator="equal">
      <formula>3</formula>
    </cfRule>
    <cfRule type="cellIs" dxfId="423" priority="2934" operator="equal">
      <formula>2</formula>
    </cfRule>
    <cfRule type="colorScale" priority="2935">
      <colorScale>
        <cfvo type="min" val="0"/>
        <cfvo type="percentile" val="50"/>
        <cfvo type="max" val="0"/>
        <color rgb="FFF8696B"/>
        <color rgb="FFFFEB84"/>
        <color rgb="FF63BE7B"/>
      </colorScale>
    </cfRule>
    <cfRule type="colorScale" priority="2936">
      <colorScale>
        <cfvo type="num" val="1"/>
        <cfvo type="num" val="2"/>
        <cfvo type="num" val="3"/>
        <color rgb="FFF8696B"/>
        <color rgb="FFFFEB84"/>
        <color rgb="FF63BE7B"/>
      </colorScale>
    </cfRule>
    <cfRule type="colorScale" priority="2937">
      <colorScale>
        <cfvo type="num" val="1"/>
        <cfvo type="num" val="2"/>
        <cfvo type="num" val="3"/>
        <color rgb="FFF8696B"/>
        <color rgb="FFFFEB84"/>
        <color rgb="FF63BE7B"/>
      </colorScale>
    </cfRule>
    <cfRule type="colorScale" priority="2938">
      <colorScale>
        <cfvo type="num" val="1"/>
        <cfvo type="num" val="2"/>
        <cfvo type="num" val="3"/>
        <color rgb="FFF8696B"/>
        <color rgb="FFFFEB84"/>
        <color rgb="FF63BE7B"/>
      </colorScale>
    </cfRule>
    <cfRule type="colorScale" priority="2939">
      <colorScale>
        <cfvo type="num" val="1"/>
        <cfvo type="num" val="2"/>
        <cfvo type="num" val="3"/>
        <color rgb="FFF8696B"/>
        <color rgb="FFFFEB84"/>
        <color rgb="FF63BE7B"/>
      </colorScale>
    </cfRule>
    <cfRule type="colorScale" priority="2940">
      <colorScale>
        <cfvo type="num" val="1"/>
        <cfvo type="num" val="2"/>
        <cfvo type="num" val="3"/>
        <color rgb="FFF8696B"/>
        <color rgb="FFFFEB84"/>
        <color rgb="FF63BE7B"/>
      </colorScale>
    </cfRule>
    <cfRule type="colorScale" priority="2941">
      <colorScale>
        <cfvo type="num" val="1"/>
        <cfvo type="num" val="2"/>
        <cfvo type="num" val="3"/>
        <color rgb="FFF8696B"/>
        <color rgb="FFFFEB84"/>
        <color rgb="FF63BE7B"/>
      </colorScale>
    </cfRule>
  </conditionalFormatting>
  <conditionalFormatting sqref="C393:D393">
    <cfRule type="cellIs" dxfId="422" priority="2918" operator="equal">
      <formula>5</formula>
    </cfRule>
    <cfRule type="cellIs" dxfId="421" priority="2919" operator="equal">
      <formula>4</formula>
    </cfRule>
    <cfRule type="cellIs" dxfId="420" priority="2920" operator="equal">
      <formula>1</formula>
    </cfRule>
    <cfRule type="cellIs" dxfId="419" priority="2921" operator="equal">
      <formula>3</formula>
    </cfRule>
    <cfRule type="cellIs" dxfId="418" priority="2922" operator="equal">
      <formula>2</formula>
    </cfRule>
    <cfRule type="colorScale" priority="2923">
      <colorScale>
        <cfvo type="min" val="0"/>
        <cfvo type="percentile" val="50"/>
        <cfvo type="max" val="0"/>
        <color rgb="FFF8696B"/>
        <color rgb="FFFFEB84"/>
        <color rgb="FF63BE7B"/>
      </colorScale>
    </cfRule>
    <cfRule type="colorScale" priority="2924">
      <colorScale>
        <cfvo type="num" val="1"/>
        <cfvo type="num" val="2"/>
        <cfvo type="num" val="3"/>
        <color rgb="FFF8696B"/>
        <color rgb="FFFFEB84"/>
        <color rgb="FF63BE7B"/>
      </colorScale>
    </cfRule>
    <cfRule type="colorScale" priority="2925">
      <colorScale>
        <cfvo type="num" val="1"/>
        <cfvo type="num" val="2"/>
        <cfvo type="num" val="3"/>
        <color rgb="FFF8696B"/>
        <color rgb="FFFFEB84"/>
        <color rgb="FF63BE7B"/>
      </colorScale>
    </cfRule>
    <cfRule type="colorScale" priority="2926">
      <colorScale>
        <cfvo type="num" val="1"/>
        <cfvo type="num" val="2"/>
        <cfvo type="num" val="3"/>
        <color rgb="FFF8696B"/>
        <color rgb="FFFFEB84"/>
        <color rgb="FF63BE7B"/>
      </colorScale>
    </cfRule>
    <cfRule type="colorScale" priority="2927">
      <colorScale>
        <cfvo type="num" val="1"/>
        <cfvo type="num" val="2"/>
        <cfvo type="num" val="3"/>
        <color rgb="FFF8696B"/>
        <color rgb="FFFFEB84"/>
        <color rgb="FF63BE7B"/>
      </colorScale>
    </cfRule>
    <cfRule type="colorScale" priority="2928">
      <colorScale>
        <cfvo type="num" val="1"/>
        <cfvo type="num" val="2"/>
        <cfvo type="num" val="3"/>
        <color rgb="FFF8696B"/>
        <color rgb="FFFFEB84"/>
        <color rgb="FF63BE7B"/>
      </colorScale>
    </cfRule>
    <cfRule type="colorScale" priority="2929">
      <colorScale>
        <cfvo type="num" val="1"/>
        <cfvo type="num" val="2"/>
        <cfvo type="num" val="3"/>
        <color rgb="FFF8696B"/>
        <color rgb="FFFFEB84"/>
        <color rgb="FF63BE7B"/>
      </colorScale>
    </cfRule>
  </conditionalFormatting>
  <conditionalFormatting sqref="C387">
    <cfRule type="cellIs" dxfId="417" priority="2907" operator="equal">
      <formula>5</formula>
    </cfRule>
    <cfRule type="cellIs" dxfId="416" priority="2908" operator="equal">
      <formula>4</formula>
    </cfRule>
    <cfRule type="cellIs" dxfId="415" priority="2909" operator="equal">
      <formula>1</formula>
    </cfRule>
    <cfRule type="cellIs" dxfId="414" priority="2910" operator="equal">
      <formula>3</formula>
    </cfRule>
    <cfRule type="cellIs" dxfId="413" priority="2911" operator="equal">
      <formula>2</formula>
    </cfRule>
    <cfRule type="colorScale" priority="2912">
      <colorScale>
        <cfvo type="min" val="0"/>
        <cfvo type="percentile" val="50"/>
        <cfvo type="max" val="0"/>
        <color rgb="FFF8696B"/>
        <color rgb="FFFFEB84"/>
        <color rgb="FF63BE7B"/>
      </colorScale>
    </cfRule>
    <cfRule type="colorScale" priority="2913">
      <colorScale>
        <cfvo type="num" val="1"/>
        <cfvo type="num" val="2"/>
        <cfvo type="num" val="3"/>
        <color rgb="FFF8696B"/>
        <color rgb="FFFFEB84"/>
        <color rgb="FF63BE7B"/>
      </colorScale>
    </cfRule>
    <cfRule type="colorScale" priority="2914">
      <colorScale>
        <cfvo type="num" val="1"/>
        <cfvo type="num" val="2"/>
        <cfvo type="num" val="3"/>
        <color rgb="FFF8696B"/>
        <color rgb="FFFFEB84"/>
        <color rgb="FF63BE7B"/>
      </colorScale>
    </cfRule>
  </conditionalFormatting>
  <conditionalFormatting sqref="C391">
    <cfRule type="cellIs" dxfId="412" priority="2866" operator="equal">
      <formula>5</formula>
    </cfRule>
    <cfRule type="cellIs" dxfId="411" priority="2867" operator="equal">
      <formula>4</formula>
    </cfRule>
    <cfRule type="cellIs" dxfId="410" priority="2868" operator="equal">
      <formula>1</formula>
    </cfRule>
    <cfRule type="cellIs" dxfId="409" priority="2869" operator="equal">
      <formula>3</formula>
    </cfRule>
    <cfRule type="cellIs" dxfId="408" priority="2870" operator="equal">
      <formula>2</formula>
    </cfRule>
    <cfRule type="colorScale" priority="2871">
      <colorScale>
        <cfvo type="min" val="0"/>
        <cfvo type="percentile" val="50"/>
        <cfvo type="max" val="0"/>
        <color rgb="FFF8696B"/>
        <color rgb="FFFFEB84"/>
        <color rgb="FF63BE7B"/>
      </colorScale>
    </cfRule>
    <cfRule type="colorScale" priority="2872">
      <colorScale>
        <cfvo type="num" val="1"/>
        <cfvo type="num" val="2"/>
        <cfvo type="num" val="3"/>
        <color rgb="FFF8696B"/>
        <color rgb="FFFFEB84"/>
        <color rgb="FF63BE7B"/>
      </colorScale>
    </cfRule>
    <cfRule type="colorScale" priority="2873">
      <colorScale>
        <cfvo type="num" val="1"/>
        <cfvo type="num" val="2"/>
        <cfvo type="num" val="3"/>
        <color rgb="FFF8696B"/>
        <color rgb="FFFFEB84"/>
        <color rgb="FF63BE7B"/>
      </colorScale>
    </cfRule>
  </conditionalFormatting>
  <conditionalFormatting sqref="J393">
    <cfRule type="cellIs" dxfId="407" priority="2324" operator="equal">
      <formula>5</formula>
    </cfRule>
    <cfRule type="cellIs" dxfId="406" priority="2325" operator="equal">
      <formula>4</formula>
    </cfRule>
    <cfRule type="cellIs" dxfId="405" priority="2326" operator="equal">
      <formula>1</formula>
    </cfRule>
    <cfRule type="cellIs" dxfId="404" priority="2327" operator="equal">
      <formula>3</formula>
    </cfRule>
    <cfRule type="cellIs" dxfId="403" priority="2328" operator="equal">
      <formula>2</formula>
    </cfRule>
    <cfRule type="colorScale" priority="2329">
      <colorScale>
        <cfvo type="min" val="0"/>
        <cfvo type="percentile" val="50"/>
        <cfvo type="max" val="0"/>
        <color rgb="FFF8696B"/>
        <color rgb="FFFFEB84"/>
        <color rgb="FF63BE7B"/>
      </colorScale>
    </cfRule>
    <cfRule type="colorScale" priority="2330">
      <colorScale>
        <cfvo type="num" val="1"/>
        <cfvo type="num" val="2"/>
        <cfvo type="num" val="3"/>
        <color rgb="FFF8696B"/>
        <color rgb="FFFFEB84"/>
        <color rgb="FF63BE7B"/>
      </colorScale>
    </cfRule>
    <cfRule type="colorScale" priority="2331">
      <colorScale>
        <cfvo type="num" val="1"/>
        <cfvo type="num" val="2"/>
        <cfvo type="num" val="3"/>
        <color rgb="FFF8696B"/>
        <color rgb="FFFFEB84"/>
        <color rgb="FF63BE7B"/>
      </colorScale>
    </cfRule>
    <cfRule type="colorScale" priority="2332">
      <colorScale>
        <cfvo type="num" val="1"/>
        <cfvo type="num" val="2"/>
        <cfvo type="num" val="3"/>
        <color rgb="FFF8696B"/>
        <color rgb="FFFFEB84"/>
        <color rgb="FF63BE7B"/>
      </colorScale>
    </cfRule>
    <cfRule type="colorScale" priority="2333">
      <colorScale>
        <cfvo type="num" val="1"/>
        <cfvo type="num" val="2"/>
        <cfvo type="num" val="3"/>
        <color rgb="FFF8696B"/>
        <color rgb="FFFFEB84"/>
        <color rgb="FF63BE7B"/>
      </colorScale>
    </cfRule>
    <cfRule type="colorScale" priority="2334">
      <colorScale>
        <cfvo type="num" val="1"/>
        <cfvo type="num" val="2"/>
        <cfvo type="num" val="3"/>
        <color rgb="FFF8696B"/>
        <color rgb="FFFFEB84"/>
        <color rgb="FF63BE7B"/>
      </colorScale>
    </cfRule>
    <cfRule type="colorScale" priority="2335">
      <colorScale>
        <cfvo type="num" val="1"/>
        <cfvo type="num" val="2"/>
        <cfvo type="num" val="3"/>
        <color rgb="FFF8696B"/>
        <color rgb="FFFFEB84"/>
        <color rgb="FF63BE7B"/>
      </colorScale>
    </cfRule>
  </conditionalFormatting>
  <conditionalFormatting sqref="I389">
    <cfRule type="cellIs" dxfId="402" priority="2009" operator="equal">
      <formula>5</formula>
    </cfRule>
    <cfRule type="cellIs" dxfId="401" priority="2010" operator="equal">
      <formula>4</formula>
    </cfRule>
    <cfRule type="cellIs" dxfId="400" priority="2011" operator="equal">
      <formula>1</formula>
    </cfRule>
    <cfRule type="cellIs" dxfId="399" priority="2012" operator="equal">
      <formula>3</formula>
    </cfRule>
    <cfRule type="colorScale" priority="2013">
      <colorScale>
        <cfvo type="min" val="0"/>
        <cfvo type="percentile" val="50"/>
        <cfvo type="max" val="0"/>
        <color rgb="FFF8696B"/>
        <color rgb="FFFFEB84"/>
        <color rgb="FF63BE7B"/>
      </colorScale>
    </cfRule>
    <cfRule type="colorScale" priority="2014">
      <colorScale>
        <cfvo type="num" val="1"/>
        <cfvo type="num" val="2"/>
        <cfvo type="num" val="3"/>
        <color rgb="FFF8696B"/>
        <color rgb="FFFFEB84"/>
        <color rgb="FF63BE7B"/>
      </colorScale>
    </cfRule>
    <cfRule type="colorScale" priority="2015">
      <colorScale>
        <cfvo type="num" val="1"/>
        <cfvo type="num" val="2"/>
        <cfvo type="num" val="3"/>
        <color rgb="FFF8696B"/>
        <color rgb="FFFFEB84"/>
        <color rgb="FF63BE7B"/>
      </colorScale>
    </cfRule>
  </conditionalFormatting>
  <conditionalFormatting sqref="I389">
    <cfRule type="cellIs" dxfId="398" priority="1997" operator="equal">
      <formula>5</formula>
    </cfRule>
    <cfRule type="cellIs" dxfId="397" priority="1998" operator="equal">
      <formula>4</formula>
    </cfRule>
    <cfRule type="cellIs" dxfId="396" priority="1999" operator="equal">
      <formula>1</formula>
    </cfRule>
    <cfRule type="cellIs" dxfId="395" priority="2000" operator="equal">
      <formula>3</formula>
    </cfRule>
    <cfRule type="cellIs" dxfId="394" priority="2001" operator="equal">
      <formula>2</formula>
    </cfRule>
    <cfRule type="colorScale" priority="2002">
      <colorScale>
        <cfvo type="min" val="0"/>
        <cfvo type="percentile" val="50"/>
        <cfvo type="max" val="0"/>
        <color rgb="FFF8696B"/>
        <color rgb="FFFFEB84"/>
        <color rgb="FF63BE7B"/>
      </colorScale>
    </cfRule>
    <cfRule type="colorScale" priority="2003">
      <colorScale>
        <cfvo type="num" val="1"/>
        <cfvo type="num" val="2"/>
        <cfvo type="num" val="3"/>
        <color rgb="FFF8696B"/>
        <color rgb="FFFFEB84"/>
        <color rgb="FF63BE7B"/>
      </colorScale>
    </cfRule>
    <cfRule type="colorScale" priority="2004">
      <colorScale>
        <cfvo type="num" val="1"/>
        <cfvo type="num" val="2"/>
        <cfvo type="num" val="3"/>
        <color rgb="FFF8696B"/>
        <color rgb="FFFFEB84"/>
        <color rgb="FF63BE7B"/>
      </colorScale>
    </cfRule>
    <cfRule type="colorScale" priority="2005">
      <colorScale>
        <cfvo type="num" val="1"/>
        <cfvo type="num" val="2"/>
        <cfvo type="num" val="3"/>
        <color rgb="FFF8696B"/>
        <color rgb="FFFFEB84"/>
        <color rgb="FF63BE7B"/>
      </colorScale>
    </cfRule>
    <cfRule type="colorScale" priority="2006">
      <colorScale>
        <cfvo type="num" val="1"/>
        <cfvo type="num" val="2"/>
        <cfvo type="num" val="3"/>
        <color rgb="FFF8696B"/>
        <color rgb="FFFFEB84"/>
        <color rgb="FF63BE7B"/>
      </colorScale>
    </cfRule>
    <cfRule type="colorScale" priority="2007">
      <colorScale>
        <cfvo type="num" val="1"/>
        <cfvo type="num" val="2"/>
        <cfvo type="num" val="3"/>
        <color rgb="FFF8696B"/>
        <color rgb="FFFFEB84"/>
        <color rgb="FF63BE7B"/>
      </colorScale>
    </cfRule>
    <cfRule type="colorScale" priority="2008">
      <colorScale>
        <cfvo type="num" val="1"/>
        <cfvo type="num" val="2"/>
        <cfvo type="num" val="3"/>
        <color rgb="FFF8696B"/>
        <color rgb="FFFFEB84"/>
        <color rgb="FF63BE7B"/>
      </colorScale>
    </cfRule>
  </conditionalFormatting>
  <conditionalFormatting sqref="D389">
    <cfRule type="cellIs" dxfId="393" priority="1868" operator="equal">
      <formula>5</formula>
    </cfRule>
    <cfRule type="cellIs" dxfId="392" priority="1869" operator="equal">
      <formula>4</formula>
    </cfRule>
    <cfRule type="cellIs" dxfId="391" priority="1870" operator="equal">
      <formula>1</formula>
    </cfRule>
    <cfRule type="cellIs" dxfId="390" priority="1871" operator="equal">
      <formula>3</formula>
    </cfRule>
    <cfRule type="cellIs" dxfId="389" priority="1872" operator="equal">
      <formula>2</formula>
    </cfRule>
    <cfRule type="colorScale" priority="1873">
      <colorScale>
        <cfvo type="min" val="0"/>
        <cfvo type="percentile" val="50"/>
        <cfvo type="max" val="0"/>
        <color rgb="FFF8696B"/>
        <color rgb="FFFFEB84"/>
        <color rgb="FF63BE7B"/>
      </colorScale>
    </cfRule>
    <cfRule type="colorScale" priority="1874">
      <colorScale>
        <cfvo type="num" val="1"/>
        <cfvo type="num" val="2"/>
        <cfvo type="num" val="3"/>
        <color rgb="FFF8696B"/>
        <color rgb="FFFFEB84"/>
        <color rgb="FF63BE7B"/>
      </colorScale>
    </cfRule>
    <cfRule type="colorScale" priority="1875">
      <colorScale>
        <cfvo type="num" val="1"/>
        <cfvo type="num" val="2"/>
        <cfvo type="num" val="3"/>
        <color rgb="FFF8696B"/>
        <color rgb="FFFFEB84"/>
        <color rgb="FF63BE7B"/>
      </colorScale>
    </cfRule>
  </conditionalFormatting>
  <conditionalFormatting sqref="E391">
    <cfRule type="cellIs" dxfId="388" priority="1732" operator="equal">
      <formula>5</formula>
    </cfRule>
    <cfRule type="cellIs" dxfId="387" priority="1733" operator="equal">
      <formula>4</formula>
    </cfRule>
    <cfRule type="cellIs" dxfId="386" priority="1734" operator="equal">
      <formula>1</formula>
    </cfRule>
    <cfRule type="cellIs" dxfId="385" priority="1735" operator="equal">
      <formula>3</formula>
    </cfRule>
    <cfRule type="cellIs" dxfId="384" priority="1736" operator="equal">
      <formula>2</formula>
    </cfRule>
    <cfRule type="colorScale" priority="1737">
      <colorScale>
        <cfvo type="min" val="0"/>
        <cfvo type="percentile" val="50"/>
        <cfvo type="max" val="0"/>
        <color rgb="FFF8696B"/>
        <color rgb="FFFFEB84"/>
        <color rgb="FF63BE7B"/>
      </colorScale>
    </cfRule>
    <cfRule type="colorScale" priority="1738">
      <colorScale>
        <cfvo type="num" val="1"/>
        <cfvo type="num" val="2"/>
        <cfvo type="num" val="3"/>
        <color rgb="FFF8696B"/>
        <color rgb="FFFFEB84"/>
        <color rgb="FF63BE7B"/>
      </colorScale>
    </cfRule>
    <cfRule type="colorScale" priority="1739">
      <colorScale>
        <cfvo type="num" val="1"/>
        <cfvo type="num" val="2"/>
        <cfvo type="num" val="3"/>
        <color rgb="FFF8696B"/>
        <color rgb="FFFFEB84"/>
        <color rgb="FF63BE7B"/>
      </colorScale>
    </cfRule>
  </conditionalFormatting>
  <conditionalFormatting sqref="E393:H393">
    <cfRule type="cellIs" dxfId="383" priority="1717" operator="equal">
      <formula>5</formula>
    </cfRule>
    <cfRule type="cellIs" dxfId="382" priority="1718" operator="equal">
      <formula>4</formula>
    </cfRule>
    <cfRule type="cellIs" dxfId="381" priority="1719" operator="equal">
      <formula>1</formula>
    </cfRule>
    <cfRule type="cellIs" dxfId="380" priority="1720" operator="equal">
      <formula>3</formula>
    </cfRule>
    <cfRule type="cellIs" dxfId="379" priority="1721" operator="equal">
      <formula>2</formula>
    </cfRule>
    <cfRule type="colorScale" priority="1722">
      <colorScale>
        <cfvo type="min" val="0"/>
        <cfvo type="percentile" val="50"/>
        <cfvo type="max" val="0"/>
        <color rgb="FFF8696B"/>
        <color rgb="FFFFEB84"/>
        <color rgb="FF63BE7B"/>
      </colorScale>
    </cfRule>
    <cfRule type="colorScale" priority="1723">
      <colorScale>
        <cfvo type="num" val="1"/>
        <cfvo type="num" val="2"/>
        <cfvo type="num" val="3"/>
        <color rgb="FFF8696B"/>
        <color rgb="FFFFEB84"/>
        <color rgb="FF63BE7B"/>
      </colorScale>
    </cfRule>
    <cfRule type="colorScale" priority="1724">
      <colorScale>
        <cfvo type="num" val="1"/>
        <cfvo type="num" val="2"/>
        <cfvo type="num" val="3"/>
        <color rgb="FFF8696B"/>
        <color rgb="FFFFEB84"/>
        <color rgb="FF63BE7B"/>
      </colorScale>
    </cfRule>
    <cfRule type="colorScale" priority="1725">
      <colorScale>
        <cfvo type="num" val="1"/>
        <cfvo type="num" val="2"/>
        <cfvo type="num" val="3"/>
        <color rgb="FFF8696B"/>
        <color rgb="FFFFEB84"/>
        <color rgb="FF63BE7B"/>
      </colorScale>
    </cfRule>
    <cfRule type="colorScale" priority="1726">
      <colorScale>
        <cfvo type="num" val="1"/>
        <cfvo type="num" val="2"/>
        <cfvo type="num" val="3"/>
        <color rgb="FFF8696B"/>
        <color rgb="FFFFEB84"/>
        <color rgb="FF63BE7B"/>
      </colorScale>
    </cfRule>
    <cfRule type="colorScale" priority="1727">
      <colorScale>
        <cfvo type="num" val="1"/>
        <cfvo type="num" val="2"/>
        <cfvo type="num" val="3"/>
        <color rgb="FFF8696B"/>
        <color rgb="FFFFEB84"/>
        <color rgb="FF63BE7B"/>
      </colorScale>
    </cfRule>
    <cfRule type="colorScale" priority="1728">
      <colorScale>
        <cfvo type="num" val="1"/>
        <cfvo type="num" val="2"/>
        <cfvo type="num" val="3"/>
        <color rgb="FFF8696B"/>
        <color rgb="FFFFEB84"/>
        <color rgb="FF63BE7B"/>
      </colorScale>
    </cfRule>
  </conditionalFormatting>
  <conditionalFormatting sqref="K393">
    <cfRule type="cellIs" dxfId="378" priority="1687" operator="equal">
      <formula>5</formula>
    </cfRule>
    <cfRule type="cellIs" dxfId="377" priority="1688" operator="equal">
      <formula>4</formula>
    </cfRule>
    <cfRule type="cellIs" dxfId="376" priority="1689" operator="equal">
      <formula>1</formula>
    </cfRule>
    <cfRule type="cellIs" dxfId="375" priority="1690" operator="equal">
      <formula>3</formula>
    </cfRule>
    <cfRule type="colorScale" priority="1691">
      <colorScale>
        <cfvo type="min" val="0"/>
        <cfvo type="percentile" val="50"/>
        <cfvo type="max" val="0"/>
        <color rgb="FFF8696B"/>
        <color rgb="FFFFEB84"/>
        <color rgb="FF63BE7B"/>
      </colorScale>
    </cfRule>
    <cfRule type="colorScale" priority="1692">
      <colorScale>
        <cfvo type="num" val="1"/>
        <cfvo type="num" val="2"/>
        <cfvo type="num" val="3"/>
        <color rgb="FFF8696B"/>
        <color rgb="FFFFEB84"/>
        <color rgb="FF63BE7B"/>
      </colorScale>
    </cfRule>
    <cfRule type="colorScale" priority="1693">
      <colorScale>
        <cfvo type="num" val="1"/>
        <cfvo type="num" val="2"/>
        <cfvo type="num" val="3"/>
        <color rgb="FFF8696B"/>
        <color rgb="FFFFEB84"/>
        <color rgb="FF63BE7B"/>
      </colorScale>
    </cfRule>
    <cfRule type="colorScale" priority="1694">
      <colorScale>
        <cfvo type="num" val="1"/>
        <cfvo type="num" val="2"/>
        <cfvo type="num" val="3"/>
        <color rgb="FFF8696B"/>
        <color rgb="FFFFEB84"/>
        <color rgb="FF63BE7B"/>
      </colorScale>
    </cfRule>
    <cfRule type="colorScale" priority="1695">
      <colorScale>
        <cfvo type="num" val="1"/>
        <cfvo type="num" val="2"/>
        <cfvo type="num" val="3"/>
        <color rgb="FFF8696B"/>
        <color rgb="FFFFEB84"/>
        <color rgb="FF63BE7B"/>
      </colorScale>
    </cfRule>
    <cfRule type="colorScale" priority="1696">
      <colorScale>
        <cfvo type="num" val="1"/>
        <cfvo type="num" val="2"/>
        <cfvo type="num" val="3"/>
        <color rgb="FFF8696B"/>
        <color rgb="FFFFEB84"/>
        <color rgb="FF63BE7B"/>
      </colorScale>
    </cfRule>
    <cfRule type="colorScale" priority="1697">
      <colorScale>
        <cfvo type="num" val="1"/>
        <cfvo type="num" val="2"/>
        <cfvo type="num" val="3"/>
        <color rgb="FFF8696B"/>
        <color rgb="FFFFEB84"/>
        <color rgb="FF63BE7B"/>
      </colorScale>
    </cfRule>
  </conditionalFormatting>
  <conditionalFormatting sqref="N393">
    <cfRule type="cellIs" dxfId="374" priority="1679" operator="equal">
      <formula>5</formula>
    </cfRule>
    <cfRule type="cellIs" dxfId="373" priority="1680" operator="equal">
      <formula>4</formula>
    </cfRule>
    <cfRule type="cellIs" dxfId="372" priority="1681" operator="equal">
      <formula>1</formula>
    </cfRule>
    <cfRule type="cellIs" dxfId="371" priority="1682" operator="equal">
      <formula>3</formula>
    </cfRule>
    <cfRule type="cellIs" dxfId="370" priority="1683" operator="equal">
      <formula>2</formula>
    </cfRule>
    <cfRule type="colorScale" priority="1684">
      <colorScale>
        <cfvo type="min" val="0"/>
        <cfvo type="percentile" val="50"/>
        <cfvo type="max" val="0"/>
        <color rgb="FFF8696B"/>
        <color rgb="FFFFEB84"/>
        <color rgb="FF63BE7B"/>
      </colorScale>
    </cfRule>
    <cfRule type="colorScale" priority="1685">
      <colorScale>
        <cfvo type="num" val="1"/>
        <cfvo type="num" val="2"/>
        <cfvo type="num" val="3"/>
        <color rgb="FFF8696B"/>
        <color rgb="FFFFEB84"/>
        <color rgb="FF63BE7B"/>
      </colorScale>
    </cfRule>
    <cfRule type="colorScale" priority="1686">
      <colorScale>
        <cfvo type="num" val="1"/>
        <cfvo type="num" val="2"/>
        <cfvo type="num" val="3"/>
        <color rgb="FFF8696B"/>
        <color rgb="FFFFEB84"/>
        <color rgb="FF63BE7B"/>
      </colorScale>
    </cfRule>
  </conditionalFormatting>
  <conditionalFormatting sqref="Q393">
    <cfRule type="cellIs" dxfId="369" priority="1667" operator="equal">
      <formula>5</formula>
    </cfRule>
    <cfRule type="cellIs" dxfId="368" priority="1668" operator="equal">
      <formula>4</formula>
    </cfRule>
    <cfRule type="cellIs" dxfId="367" priority="1669" operator="equal">
      <formula>1</formula>
    </cfRule>
    <cfRule type="cellIs" dxfId="366" priority="1670" operator="equal">
      <formula>3</formula>
    </cfRule>
    <cfRule type="cellIs" dxfId="365" priority="1671" operator="equal">
      <formula>2</formula>
    </cfRule>
    <cfRule type="colorScale" priority="1672">
      <colorScale>
        <cfvo type="min" val="0"/>
        <cfvo type="percentile" val="50"/>
        <cfvo type="max" val="0"/>
        <color rgb="FFF8696B"/>
        <color rgb="FFFFEB84"/>
        <color rgb="FF63BE7B"/>
      </colorScale>
    </cfRule>
    <cfRule type="colorScale" priority="1673">
      <colorScale>
        <cfvo type="num" val="1"/>
        <cfvo type="num" val="2"/>
        <cfvo type="num" val="3"/>
        <color rgb="FFF8696B"/>
        <color rgb="FFFFEB84"/>
        <color rgb="FF63BE7B"/>
      </colorScale>
    </cfRule>
    <cfRule type="colorScale" priority="1674">
      <colorScale>
        <cfvo type="num" val="1"/>
        <cfvo type="num" val="2"/>
        <cfvo type="num" val="3"/>
        <color rgb="FFF8696B"/>
        <color rgb="FFFFEB84"/>
        <color rgb="FF63BE7B"/>
      </colorScale>
    </cfRule>
    <cfRule type="colorScale" priority="1675">
      <colorScale>
        <cfvo type="num" val="1"/>
        <cfvo type="num" val="2"/>
        <cfvo type="num" val="3"/>
        <color rgb="FFF8696B"/>
        <color rgb="FFFFEB84"/>
        <color rgb="FF63BE7B"/>
      </colorScale>
    </cfRule>
    <cfRule type="colorScale" priority="1676">
      <colorScale>
        <cfvo type="num" val="1"/>
        <cfvo type="num" val="2"/>
        <cfvo type="num" val="3"/>
        <color rgb="FFF8696B"/>
        <color rgb="FFFFEB84"/>
        <color rgb="FF63BE7B"/>
      </colorScale>
    </cfRule>
    <cfRule type="colorScale" priority="1677">
      <colorScale>
        <cfvo type="num" val="1"/>
        <cfvo type="num" val="2"/>
        <cfvo type="num" val="3"/>
        <color rgb="FFF8696B"/>
        <color rgb="FFFFEB84"/>
        <color rgb="FF63BE7B"/>
      </colorScale>
    </cfRule>
    <cfRule type="colorScale" priority="1678">
      <colorScale>
        <cfvo type="num" val="1"/>
        <cfvo type="num" val="2"/>
        <cfvo type="num" val="3"/>
        <color rgb="FFF8696B"/>
        <color rgb="FFFFEB84"/>
        <color rgb="FF63BE7B"/>
      </colorScale>
    </cfRule>
  </conditionalFormatting>
  <conditionalFormatting sqref="V393">
    <cfRule type="cellIs" dxfId="364" priority="1659" operator="equal">
      <formula>5</formula>
    </cfRule>
    <cfRule type="cellIs" dxfId="363" priority="1660" operator="equal">
      <formula>4</formula>
    </cfRule>
    <cfRule type="cellIs" dxfId="362" priority="1661" operator="equal">
      <formula>1</formula>
    </cfRule>
    <cfRule type="cellIs" dxfId="361" priority="1662" operator="equal">
      <formula>3</formula>
    </cfRule>
    <cfRule type="cellIs" dxfId="360" priority="1663" operator="equal">
      <formula>2</formula>
    </cfRule>
    <cfRule type="colorScale" priority="1664">
      <colorScale>
        <cfvo type="min" val="0"/>
        <cfvo type="percentile" val="50"/>
        <cfvo type="max" val="0"/>
        <color rgb="FFF8696B"/>
        <color rgb="FFFFEB84"/>
        <color rgb="FF63BE7B"/>
      </colorScale>
    </cfRule>
    <cfRule type="colorScale" priority="1665">
      <colorScale>
        <cfvo type="num" val="1"/>
        <cfvo type="num" val="2"/>
        <cfvo type="num" val="3"/>
        <color rgb="FFF8696B"/>
        <color rgb="FFFFEB84"/>
        <color rgb="FF63BE7B"/>
      </colorScale>
    </cfRule>
    <cfRule type="colorScale" priority="1666">
      <colorScale>
        <cfvo type="num" val="1"/>
        <cfvo type="num" val="2"/>
        <cfvo type="num" val="3"/>
        <color rgb="FFF8696B"/>
        <color rgb="FFFFEB84"/>
        <color rgb="FF63BE7B"/>
      </colorScale>
    </cfRule>
  </conditionalFormatting>
  <conditionalFormatting sqref="E393">
    <cfRule type="cellIs" dxfId="359" priority="1647" operator="equal">
      <formula>5</formula>
    </cfRule>
    <cfRule type="cellIs" dxfId="358" priority="1648" operator="equal">
      <formula>4</formula>
    </cfRule>
    <cfRule type="cellIs" dxfId="357" priority="1649" operator="equal">
      <formula>1</formula>
    </cfRule>
    <cfRule type="cellIs" dxfId="356" priority="1650" operator="equal">
      <formula>3</formula>
    </cfRule>
    <cfRule type="cellIs" dxfId="355" priority="1651" operator="equal">
      <formula>2</formula>
    </cfRule>
    <cfRule type="colorScale" priority="1652">
      <colorScale>
        <cfvo type="min" val="0"/>
        <cfvo type="percentile" val="50"/>
        <cfvo type="max" val="0"/>
        <color rgb="FFF8696B"/>
        <color rgb="FFFFEB84"/>
        <color rgb="FF63BE7B"/>
      </colorScale>
    </cfRule>
    <cfRule type="colorScale" priority="1653">
      <colorScale>
        <cfvo type="num" val="1"/>
        <cfvo type="num" val="2"/>
        <cfvo type="num" val="3"/>
        <color rgb="FFF8696B"/>
        <color rgb="FFFFEB84"/>
        <color rgb="FF63BE7B"/>
      </colorScale>
    </cfRule>
    <cfRule type="colorScale" priority="1654">
      <colorScale>
        <cfvo type="num" val="1"/>
        <cfvo type="num" val="2"/>
        <cfvo type="num" val="3"/>
        <color rgb="FFF8696B"/>
        <color rgb="FFFFEB84"/>
        <color rgb="FF63BE7B"/>
      </colorScale>
    </cfRule>
    <cfRule type="colorScale" priority="1655">
      <colorScale>
        <cfvo type="num" val="1"/>
        <cfvo type="num" val="2"/>
        <cfvo type="num" val="3"/>
        <color rgb="FFF8696B"/>
        <color rgb="FFFFEB84"/>
        <color rgb="FF63BE7B"/>
      </colorScale>
    </cfRule>
    <cfRule type="colorScale" priority="1656">
      <colorScale>
        <cfvo type="num" val="1"/>
        <cfvo type="num" val="2"/>
        <cfvo type="num" val="3"/>
        <color rgb="FFF8696B"/>
        <color rgb="FFFFEB84"/>
        <color rgb="FF63BE7B"/>
      </colorScale>
    </cfRule>
    <cfRule type="colorScale" priority="1657">
      <colorScale>
        <cfvo type="num" val="1"/>
        <cfvo type="num" val="2"/>
        <cfvo type="num" val="3"/>
        <color rgb="FFF8696B"/>
        <color rgb="FFFFEB84"/>
        <color rgb="FF63BE7B"/>
      </colorScale>
    </cfRule>
    <cfRule type="colorScale" priority="1658">
      <colorScale>
        <cfvo type="num" val="1"/>
        <cfvo type="num" val="2"/>
        <cfvo type="num" val="3"/>
        <color rgb="FFF8696B"/>
        <color rgb="FFFFEB84"/>
        <color rgb="FF63BE7B"/>
      </colorScale>
    </cfRule>
  </conditionalFormatting>
  <conditionalFormatting sqref="F393">
    <cfRule type="cellIs" dxfId="354" priority="1563" operator="equal">
      <formula>5</formula>
    </cfRule>
    <cfRule type="cellIs" dxfId="353" priority="1564" operator="equal">
      <formula>4</formula>
    </cfRule>
    <cfRule type="cellIs" dxfId="352" priority="1565" operator="equal">
      <formula>1</formula>
    </cfRule>
    <cfRule type="cellIs" dxfId="351" priority="1566" operator="equal">
      <formula>3</formula>
    </cfRule>
    <cfRule type="cellIs" dxfId="350" priority="1567" operator="equal">
      <formula>2</formula>
    </cfRule>
    <cfRule type="colorScale" priority="1568">
      <colorScale>
        <cfvo type="min" val="0"/>
        <cfvo type="percentile" val="50"/>
        <cfvo type="max" val="0"/>
        <color rgb="FFF8696B"/>
        <color rgb="FFFFEB84"/>
        <color rgb="FF63BE7B"/>
      </colorScale>
    </cfRule>
    <cfRule type="colorScale" priority="1569">
      <colorScale>
        <cfvo type="num" val="1"/>
        <cfvo type="num" val="2"/>
        <cfvo type="num" val="3"/>
        <color rgb="FFF8696B"/>
        <color rgb="FFFFEB84"/>
        <color rgb="FF63BE7B"/>
      </colorScale>
    </cfRule>
    <cfRule type="colorScale" priority="1570">
      <colorScale>
        <cfvo type="num" val="1"/>
        <cfvo type="num" val="2"/>
        <cfvo type="num" val="3"/>
        <color rgb="FFF8696B"/>
        <color rgb="FFFFEB84"/>
        <color rgb="FF63BE7B"/>
      </colorScale>
    </cfRule>
  </conditionalFormatting>
  <conditionalFormatting sqref="G389">
    <cfRule type="cellIs" dxfId="349" priority="1543" operator="equal">
      <formula>5</formula>
    </cfRule>
    <cfRule type="cellIs" dxfId="348" priority="1544" operator="equal">
      <formula>4</formula>
    </cfRule>
    <cfRule type="cellIs" dxfId="347" priority="1545" operator="equal">
      <formula>1</formula>
    </cfRule>
    <cfRule type="cellIs" dxfId="346" priority="1546" operator="equal">
      <formula>3</formula>
    </cfRule>
    <cfRule type="cellIs" dxfId="345" priority="1547" operator="equal">
      <formula>2</formula>
    </cfRule>
    <cfRule type="colorScale" priority="1548">
      <colorScale>
        <cfvo type="min" val="0"/>
        <cfvo type="percentile" val="50"/>
        <cfvo type="max" val="0"/>
        <color rgb="FFF8696B"/>
        <color rgb="FFFFEB84"/>
        <color rgb="FF63BE7B"/>
      </colorScale>
    </cfRule>
    <cfRule type="colorScale" priority="1549">
      <colorScale>
        <cfvo type="num" val="1"/>
        <cfvo type="num" val="2"/>
        <cfvo type="num" val="3"/>
        <color rgb="FFF8696B"/>
        <color rgb="FFFFEB84"/>
        <color rgb="FF63BE7B"/>
      </colorScale>
    </cfRule>
    <cfRule type="colorScale" priority="1550">
      <colorScale>
        <cfvo type="num" val="1"/>
        <cfvo type="num" val="2"/>
        <cfvo type="num" val="3"/>
        <color rgb="FFF8696B"/>
        <color rgb="FFFFEB84"/>
        <color rgb="FF63BE7B"/>
      </colorScale>
    </cfRule>
  </conditionalFormatting>
  <conditionalFormatting sqref="G391:H391">
    <cfRule type="cellIs" dxfId="344" priority="1526" operator="equal">
      <formula>5</formula>
    </cfRule>
    <cfRule type="cellIs" dxfId="343" priority="1527" operator="equal">
      <formula>4</formula>
    </cfRule>
    <cfRule type="cellIs" dxfId="342" priority="1528" operator="equal">
      <formula>1</formula>
    </cfRule>
    <cfRule type="cellIs" dxfId="341" priority="1529" operator="equal">
      <formula>3</formula>
    </cfRule>
    <cfRule type="cellIs" dxfId="340" priority="1530" operator="equal">
      <formula>2</formula>
    </cfRule>
    <cfRule type="colorScale" priority="1531">
      <colorScale>
        <cfvo type="min" val="0"/>
        <cfvo type="percentile" val="50"/>
        <cfvo type="max" val="0"/>
        <color rgb="FFF8696B"/>
        <color rgb="FFFFEB84"/>
        <color rgb="FF63BE7B"/>
      </colorScale>
    </cfRule>
    <cfRule type="colorScale" priority="1532">
      <colorScale>
        <cfvo type="num" val="1"/>
        <cfvo type="num" val="2"/>
        <cfvo type="num" val="3"/>
        <color rgb="FFF8696B"/>
        <color rgb="FFFFEB84"/>
        <color rgb="FF63BE7B"/>
      </colorScale>
    </cfRule>
    <cfRule type="colorScale" priority="1533">
      <colorScale>
        <cfvo type="num" val="1"/>
        <cfvo type="num" val="2"/>
        <cfvo type="num" val="3"/>
        <color rgb="FFF8696B"/>
        <color rgb="FFFFEB84"/>
        <color rgb="FF63BE7B"/>
      </colorScale>
    </cfRule>
    <cfRule type="colorScale" priority="1534">
      <colorScale>
        <cfvo type="num" val="1"/>
        <cfvo type="num" val="2"/>
        <cfvo type="num" val="3"/>
        <color rgb="FFF8696B"/>
        <color rgb="FFFFEB84"/>
        <color rgb="FF63BE7B"/>
      </colorScale>
    </cfRule>
    <cfRule type="colorScale" priority="1535">
      <colorScale>
        <cfvo type="num" val="1"/>
        <cfvo type="num" val="2"/>
        <cfvo type="num" val="3"/>
        <color rgb="FFF8696B"/>
        <color rgb="FFFFEB84"/>
        <color rgb="FF63BE7B"/>
      </colorScale>
    </cfRule>
    <cfRule type="colorScale" priority="1536">
      <colorScale>
        <cfvo type="num" val="1"/>
        <cfvo type="num" val="2"/>
        <cfvo type="num" val="3"/>
        <color rgb="FFF8696B"/>
        <color rgb="FFFFEB84"/>
        <color rgb="FF63BE7B"/>
      </colorScale>
    </cfRule>
    <cfRule type="colorScale" priority="1537">
      <colorScale>
        <cfvo type="num" val="1"/>
        <cfvo type="num" val="2"/>
        <cfvo type="num" val="3"/>
        <color rgb="FFF8696B"/>
        <color rgb="FFFFEB84"/>
        <color rgb="FF63BE7B"/>
      </colorScale>
    </cfRule>
  </conditionalFormatting>
  <conditionalFormatting sqref="G393:H393">
    <cfRule type="cellIs" dxfId="339" priority="1514" operator="equal">
      <formula>5</formula>
    </cfRule>
    <cfRule type="cellIs" dxfId="338" priority="1515" operator="equal">
      <formula>4</formula>
    </cfRule>
    <cfRule type="cellIs" dxfId="337" priority="1516" operator="equal">
      <formula>1</formula>
    </cfRule>
    <cfRule type="cellIs" dxfId="336" priority="1517" operator="equal">
      <formula>3</formula>
    </cfRule>
    <cfRule type="cellIs" dxfId="335" priority="1518" operator="equal">
      <formula>2</formula>
    </cfRule>
    <cfRule type="colorScale" priority="1519">
      <colorScale>
        <cfvo type="min" val="0"/>
        <cfvo type="percentile" val="50"/>
        <cfvo type="max" val="0"/>
        <color rgb="FFF8696B"/>
        <color rgb="FFFFEB84"/>
        <color rgb="FF63BE7B"/>
      </colorScale>
    </cfRule>
    <cfRule type="colorScale" priority="1520">
      <colorScale>
        <cfvo type="num" val="1"/>
        <cfvo type="num" val="2"/>
        <cfvo type="num" val="3"/>
        <color rgb="FFF8696B"/>
        <color rgb="FFFFEB84"/>
        <color rgb="FF63BE7B"/>
      </colorScale>
    </cfRule>
    <cfRule type="colorScale" priority="1521">
      <colorScale>
        <cfvo type="num" val="1"/>
        <cfvo type="num" val="2"/>
        <cfvo type="num" val="3"/>
        <color rgb="FFF8696B"/>
        <color rgb="FFFFEB84"/>
        <color rgb="FF63BE7B"/>
      </colorScale>
    </cfRule>
    <cfRule type="colorScale" priority="1522">
      <colorScale>
        <cfvo type="num" val="1"/>
        <cfvo type="num" val="2"/>
        <cfvo type="num" val="3"/>
        <color rgb="FFF8696B"/>
        <color rgb="FFFFEB84"/>
        <color rgb="FF63BE7B"/>
      </colorScale>
    </cfRule>
    <cfRule type="colorScale" priority="1523">
      <colorScale>
        <cfvo type="num" val="1"/>
        <cfvo type="num" val="2"/>
        <cfvo type="num" val="3"/>
        <color rgb="FFF8696B"/>
        <color rgb="FFFFEB84"/>
        <color rgb="FF63BE7B"/>
      </colorScale>
    </cfRule>
    <cfRule type="colorScale" priority="1524">
      <colorScale>
        <cfvo type="num" val="1"/>
        <cfvo type="num" val="2"/>
        <cfvo type="num" val="3"/>
        <color rgb="FFF8696B"/>
        <color rgb="FFFFEB84"/>
        <color rgb="FF63BE7B"/>
      </colorScale>
    </cfRule>
    <cfRule type="colorScale" priority="1525">
      <colorScale>
        <cfvo type="num" val="1"/>
        <cfvo type="num" val="2"/>
        <cfvo type="num" val="3"/>
        <color rgb="FFF8696B"/>
        <color rgb="FFFFEB84"/>
        <color rgb="FF63BE7B"/>
      </colorScale>
    </cfRule>
  </conditionalFormatting>
  <conditionalFormatting sqref="G387">
    <cfRule type="cellIs" dxfId="334" priority="1506" operator="equal">
      <formula>5</formula>
    </cfRule>
    <cfRule type="cellIs" dxfId="333" priority="1507" operator="equal">
      <formula>4</formula>
    </cfRule>
    <cfRule type="cellIs" dxfId="332" priority="1508" operator="equal">
      <formula>1</formula>
    </cfRule>
    <cfRule type="cellIs" dxfId="331" priority="1509" operator="equal">
      <formula>3</formula>
    </cfRule>
    <cfRule type="cellIs" dxfId="330" priority="1510" operator="equal">
      <formula>2</formula>
    </cfRule>
    <cfRule type="colorScale" priority="1511">
      <colorScale>
        <cfvo type="min" val="0"/>
        <cfvo type="percentile" val="50"/>
        <cfvo type="max" val="0"/>
        <color rgb="FFF8696B"/>
        <color rgb="FFFFEB84"/>
        <color rgb="FF63BE7B"/>
      </colorScale>
    </cfRule>
    <cfRule type="colorScale" priority="1512">
      <colorScale>
        <cfvo type="num" val="1"/>
        <cfvo type="num" val="2"/>
        <cfvo type="num" val="3"/>
        <color rgb="FFF8696B"/>
        <color rgb="FFFFEB84"/>
        <color rgb="FF63BE7B"/>
      </colorScale>
    </cfRule>
    <cfRule type="colorScale" priority="1513">
      <colorScale>
        <cfvo type="num" val="1"/>
        <cfvo type="num" val="2"/>
        <cfvo type="num" val="3"/>
        <color rgb="FFF8696B"/>
        <color rgb="FFFFEB84"/>
        <color rgb="FF63BE7B"/>
      </colorScale>
    </cfRule>
  </conditionalFormatting>
  <conditionalFormatting sqref="G391">
    <cfRule type="cellIs" dxfId="329" priority="1498" operator="equal">
      <formula>5</formula>
    </cfRule>
    <cfRule type="cellIs" dxfId="328" priority="1499" operator="equal">
      <formula>4</formula>
    </cfRule>
    <cfRule type="cellIs" dxfId="327" priority="1500" operator="equal">
      <formula>1</formula>
    </cfRule>
    <cfRule type="cellIs" dxfId="326" priority="1501" operator="equal">
      <formula>3</formula>
    </cfRule>
    <cfRule type="cellIs" dxfId="325" priority="1502" operator="equal">
      <formula>2</formula>
    </cfRule>
    <cfRule type="colorScale" priority="1503">
      <colorScale>
        <cfvo type="min" val="0"/>
        <cfvo type="percentile" val="50"/>
        <cfvo type="max" val="0"/>
        <color rgb="FFF8696B"/>
        <color rgb="FFFFEB84"/>
        <color rgb="FF63BE7B"/>
      </colorScale>
    </cfRule>
    <cfRule type="colorScale" priority="1504">
      <colorScale>
        <cfvo type="num" val="1"/>
        <cfvo type="num" val="2"/>
        <cfvo type="num" val="3"/>
        <color rgb="FFF8696B"/>
        <color rgb="FFFFEB84"/>
        <color rgb="FF63BE7B"/>
      </colorScale>
    </cfRule>
    <cfRule type="colorScale" priority="1505">
      <colorScale>
        <cfvo type="num" val="1"/>
        <cfvo type="num" val="2"/>
        <cfvo type="num" val="3"/>
        <color rgb="FFF8696B"/>
        <color rgb="FFFFEB84"/>
        <color rgb="FF63BE7B"/>
      </colorScale>
    </cfRule>
  </conditionalFormatting>
  <conditionalFormatting sqref="H389">
    <cfRule type="cellIs" dxfId="324" priority="1484" operator="equal">
      <formula>5</formula>
    </cfRule>
    <cfRule type="cellIs" dxfId="323" priority="1485" operator="equal">
      <formula>4</formula>
    </cfRule>
    <cfRule type="cellIs" dxfId="322" priority="1486" operator="equal">
      <formula>1</formula>
    </cfRule>
    <cfRule type="cellIs" dxfId="321" priority="1487" operator="equal">
      <formula>3</formula>
    </cfRule>
    <cfRule type="cellIs" dxfId="320" priority="1488" operator="equal">
      <formula>2</formula>
    </cfRule>
    <cfRule type="colorScale" priority="1489">
      <colorScale>
        <cfvo type="min" val="0"/>
        <cfvo type="percentile" val="50"/>
        <cfvo type="max" val="0"/>
        <color rgb="FFF8696B"/>
        <color rgb="FFFFEB84"/>
        <color rgb="FF63BE7B"/>
      </colorScale>
    </cfRule>
    <cfRule type="colorScale" priority="1490">
      <colorScale>
        <cfvo type="num" val="1"/>
        <cfvo type="num" val="2"/>
        <cfvo type="num" val="3"/>
        <color rgb="FFF8696B"/>
        <color rgb="FFFFEB84"/>
        <color rgb="FF63BE7B"/>
      </colorScale>
    </cfRule>
    <cfRule type="colorScale" priority="1491">
      <colorScale>
        <cfvo type="num" val="1"/>
        <cfvo type="num" val="2"/>
        <cfvo type="num" val="3"/>
        <color rgb="FFF8696B"/>
        <color rgb="FFFFEB84"/>
        <color rgb="FF63BE7B"/>
      </colorScale>
    </cfRule>
  </conditionalFormatting>
  <conditionalFormatting sqref="I391">
    <cfRule type="cellIs" dxfId="319" priority="1470" operator="equal">
      <formula>5</formula>
    </cfRule>
    <cfRule type="cellIs" dxfId="318" priority="1471" operator="equal">
      <formula>4</formula>
    </cfRule>
    <cfRule type="cellIs" dxfId="317" priority="1472" operator="equal">
      <formula>1</formula>
    </cfRule>
    <cfRule type="cellIs" dxfId="316" priority="1473" operator="equal">
      <formula>3</formula>
    </cfRule>
    <cfRule type="cellIs" dxfId="315" priority="1474" operator="equal">
      <formula>2</formula>
    </cfRule>
    <cfRule type="colorScale" priority="1475">
      <colorScale>
        <cfvo type="min" val="0"/>
        <cfvo type="percentile" val="50"/>
        <cfvo type="max" val="0"/>
        <color rgb="FFF8696B"/>
        <color rgb="FFFFEB84"/>
        <color rgb="FF63BE7B"/>
      </colorScale>
    </cfRule>
    <cfRule type="colorScale" priority="1476">
      <colorScale>
        <cfvo type="num" val="1"/>
        <cfvo type="num" val="2"/>
        <cfvo type="num" val="3"/>
        <color rgb="FFF8696B"/>
        <color rgb="FFFFEB84"/>
        <color rgb="FF63BE7B"/>
      </colorScale>
    </cfRule>
    <cfRule type="colorScale" priority="1477">
      <colorScale>
        <cfvo type="num" val="1"/>
        <cfvo type="num" val="2"/>
        <cfvo type="num" val="3"/>
        <color rgb="FFF8696B"/>
        <color rgb="FFFFEB84"/>
        <color rgb="FF63BE7B"/>
      </colorScale>
    </cfRule>
  </conditionalFormatting>
  <conditionalFormatting sqref="I393:K393">
    <cfRule type="cellIs" dxfId="314" priority="1458" operator="equal">
      <formula>5</formula>
    </cfRule>
    <cfRule type="cellIs" dxfId="313" priority="1459" operator="equal">
      <formula>4</formula>
    </cfRule>
    <cfRule type="cellIs" dxfId="312" priority="1460" operator="equal">
      <formula>1</formula>
    </cfRule>
    <cfRule type="cellIs" dxfId="311" priority="1461" operator="equal">
      <formula>3</formula>
    </cfRule>
    <cfRule type="cellIs" dxfId="310" priority="1462" operator="equal">
      <formula>2</formula>
    </cfRule>
    <cfRule type="colorScale" priority="1463">
      <colorScale>
        <cfvo type="min" val="0"/>
        <cfvo type="percentile" val="50"/>
        <cfvo type="max" val="0"/>
        <color rgb="FFF8696B"/>
        <color rgb="FFFFEB84"/>
        <color rgb="FF63BE7B"/>
      </colorScale>
    </cfRule>
    <cfRule type="colorScale" priority="1464">
      <colorScale>
        <cfvo type="num" val="1"/>
        <cfvo type="num" val="2"/>
        <cfvo type="num" val="3"/>
        <color rgb="FFF8696B"/>
        <color rgb="FFFFEB84"/>
        <color rgb="FF63BE7B"/>
      </colorScale>
    </cfRule>
    <cfRule type="colorScale" priority="1465">
      <colorScale>
        <cfvo type="num" val="1"/>
        <cfvo type="num" val="2"/>
        <cfvo type="num" val="3"/>
        <color rgb="FFF8696B"/>
        <color rgb="FFFFEB84"/>
        <color rgb="FF63BE7B"/>
      </colorScale>
    </cfRule>
    <cfRule type="colorScale" priority="1466">
      <colorScale>
        <cfvo type="num" val="1"/>
        <cfvo type="num" val="2"/>
        <cfvo type="num" val="3"/>
        <color rgb="FFF8696B"/>
        <color rgb="FFFFEB84"/>
        <color rgb="FF63BE7B"/>
      </colorScale>
    </cfRule>
    <cfRule type="colorScale" priority="1467">
      <colorScale>
        <cfvo type="num" val="1"/>
        <cfvo type="num" val="2"/>
        <cfvo type="num" val="3"/>
        <color rgb="FFF8696B"/>
        <color rgb="FFFFEB84"/>
        <color rgb="FF63BE7B"/>
      </colorScale>
    </cfRule>
    <cfRule type="colorScale" priority="1468">
      <colorScale>
        <cfvo type="num" val="1"/>
        <cfvo type="num" val="2"/>
        <cfvo type="num" val="3"/>
        <color rgb="FFF8696B"/>
        <color rgb="FFFFEB84"/>
        <color rgb="FF63BE7B"/>
      </colorScale>
    </cfRule>
    <cfRule type="colorScale" priority="1469">
      <colorScale>
        <cfvo type="num" val="1"/>
        <cfvo type="num" val="2"/>
        <cfvo type="num" val="3"/>
        <color rgb="FFF8696B"/>
        <color rgb="FFFFEB84"/>
        <color rgb="FF63BE7B"/>
      </colorScale>
    </cfRule>
  </conditionalFormatting>
  <conditionalFormatting sqref="I393">
    <cfRule type="cellIs" dxfId="309" priority="1446" operator="equal">
      <formula>5</formula>
    </cfRule>
    <cfRule type="cellIs" dxfId="308" priority="1447" operator="equal">
      <formula>4</formula>
    </cfRule>
    <cfRule type="cellIs" dxfId="307" priority="1448" operator="equal">
      <formula>1</formula>
    </cfRule>
    <cfRule type="cellIs" dxfId="306" priority="1449" operator="equal">
      <formula>3</formula>
    </cfRule>
    <cfRule type="cellIs" dxfId="305" priority="1450" operator="equal">
      <formula>2</formula>
    </cfRule>
    <cfRule type="colorScale" priority="1451">
      <colorScale>
        <cfvo type="min" val="0"/>
        <cfvo type="percentile" val="50"/>
        <cfvo type="max" val="0"/>
        <color rgb="FFF8696B"/>
        <color rgb="FFFFEB84"/>
        <color rgb="FF63BE7B"/>
      </colorScale>
    </cfRule>
    <cfRule type="colorScale" priority="1452">
      <colorScale>
        <cfvo type="num" val="1"/>
        <cfvo type="num" val="2"/>
        <cfvo type="num" val="3"/>
        <color rgb="FFF8696B"/>
        <color rgb="FFFFEB84"/>
        <color rgb="FF63BE7B"/>
      </colorScale>
    </cfRule>
    <cfRule type="colorScale" priority="1453">
      <colorScale>
        <cfvo type="num" val="1"/>
        <cfvo type="num" val="2"/>
        <cfvo type="num" val="3"/>
        <color rgb="FFF8696B"/>
        <color rgb="FFFFEB84"/>
        <color rgb="FF63BE7B"/>
      </colorScale>
    </cfRule>
    <cfRule type="colorScale" priority="1454">
      <colorScale>
        <cfvo type="num" val="1"/>
        <cfvo type="num" val="2"/>
        <cfvo type="num" val="3"/>
        <color rgb="FFF8696B"/>
        <color rgb="FFFFEB84"/>
        <color rgb="FF63BE7B"/>
      </colorScale>
    </cfRule>
    <cfRule type="colorScale" priority="1455">
      <colorScale>
        <cfvo type="num" val="1"/>
        <cfvo type="num" val="2"/>
        <cfvo type="num" val="3"/>
        <color rgb="FFF8696B"/>
        <color rgb="FFFFEB84"/>
        <color rgb="FF63BE7B"/>
      </colorScale>
    </cfRule>
    <cfRule type="colorScale" priority="1456">
      <colorScale>
        <cfvo type="num" val="1"/>
        <cfvo type="num" val="2"/>
        <cfvo type="num" val="3"/>
        <color rgb="FFF8696B"/>
        <color rgb="FFFFEB84"/>
        <color rgb="FF63BE7B"/>
      </colorScale>
    </cfRule>
    <cfRule type="colorScale" priority="1457">
      <colorScale>
        <cfvo type="num" val="1"/>
        <cfvo type="num" val="2"/>
        <cfvo type="num" val="3"/>
        <color rgb="FFF8696B"/>
        <color rgb="FFFFEB84"/>
        <color rgb="FF63BE7B"/>
      </colorScale>
    </cfRule>
  </conditionalFormatting>
  <conditionalFormatting sqref="J393">
    <cfRule type="cellIs" dxfId="304" priority="1432" operator="equal">
      <formula>5</formula>
    </cfRule>
    <cfRule type="cellIs" dxfId="303" priority="1433" operator="equal">
      <formula>4</formula>
    </cfRule>
    <cfRule type="cellIs" dxfId="302" priority="1434" operator="equal">
      <formula>1</formula>
    </cfRule>
    <cfRule type="cellIs" dxfId="301" priority="1435" operator="equal">
      <formula>3</formula>
    </cfRule>
    <cfRule type="cellIs" dxfId="300" priority="1436" operator="equal">
      <formula>2</formula>
    </cfRule>
    <cfRule type="colorScale" priority="1437">
      <colorScale>
        <cfvo type="min" val="0"/>
        <cfvo type="percentile" val="50"/>
        <cfvo type="max" val="0"/>
        <color rgb="FFF8696B"/>
        <color rgb="FFFFEB84"/>
        <color rgb="FF63BE7B"/>
      </colorScale>
    </cfRule>
    <cfRule type="colorScale" priority="1438">
      <colorScale>
        <cfvo type="num" val="1"/>
        <cfvo type="num" val="2"/>
        <cfvo type="num" val="3"/>
        <color rgb="FFF8696B"/>
        <color rgb="FFFFEB84"/>
        <color rgb="FF63BE7B"/>
      </colorScale>
    </cfRule>
    <cfRule type="colorScale" priority="1439">
      <colorScale>
        <cfvo type="num" val="1"/>
        <cfvo type="num" val="2"/>
        <cfvo type="num" val="3"/>
        <color rgb="FFF8696B"/>
        <color rgb="FFFFEB84"/>
        <color rgb="FF63BE7B"/>
      </colorScale>
    </cfRule>
  </conditionalFormatting>
  <conditionalFormatting sqref="L389">
    <cfRule type="cellIs" dxfId="299" priority="1397" operator="equal">
      <formula>5</formula>
    </cfRule>
    <cfRule type="cellIs" dxfId="298" priority="1398" operator="equal">
      <formula>4</formula>
    </cfRule>
    <cfRule type="cellIs" dxfId="297" priority="1399" operator="equal">
      <formula>1</formula>
    </cfRule>
    <cfRule type="colorScale" priority="1400">
      <colorScale>
        <cfvo type="min" val="0"/>
        <cfvo type="percentile" val="50"/>
        <cfvo type="max" val="0"/>
        <color rgb="FFF8696B"/>
        <color rgb="FFFFEB84"/>
        <color rgb="FF63BE7B"/>
      </colorScale>
    </cfRule>
    <cfRule type="colorScale" priority="1401">
      <colorScale>
        <cfvo type="num" val="1"/>
        <cfvo type="num" val="2"/>
        <cfvo type="num" val="3"/>
        <color rgb="FFF8696B"/>
        <color rgb="FFFFEB84"/>
        <color rgb="FF63BE7B"/>
      </colorScale>
    </cfRule>
    <cfRule type="colorScale" priority="1402">
      <colorScale>
        <cfvo type="num" val="1"/>
        <cfvo type="num" val="2"/>
        <cfvo type="num" val="3"/>
        <color rgb="FFF8696B"/>
        <color rgb="FFFFEB84"/>
        <color rgb="FF63BE7B"/>
      </colorScale>
    </cfRule>
  </conditionalFormatting>
  <conditionalFormatting sqref="M389">
    <cfRule type="cellIs" dxfId="296" priority="1378" operator="equal">
      <formula>5</formula>
    </cfRule>
    <cfRule type="cellIs" dxfId="295" priority="1379" operator="equal">
      <formula>4</formula>
    </cfRule>
    <cfRule type="cellIs" dxfId="294" priority="1380" operator="equal">
      <formula>1</formula>
    </cfRule>
    <cfRule type="colorScale" priority="1381">
      <colorScale>
        <cfvo type="min" val="0"/>
        <cfvo type="percentile" val="50"/>
        <cfvo type="max" val="0"/>
        <color rgb="FFF8696B"/>
        <color rgb="FFFFEB84"/>
        <color rgb="FF63BE7B"/>
      </colorScale>
    </cfRule>
    <cfRule type="colorScale" priority="1382">
      <colorScale>
        <cfvo type="num" val="1"/>
        <cfvo type="num" val="2"/>
        <cfvo type="num" val="3"/>
        <color rgb="FFF8696B"/>
        <color rgb="FFFFEB84"/>
        <color rgb="FF63BE7B"/>
      </colorScale>
    </cfRule>
    <cfRule type="colorScale" priority="1383">
      <colorScale>
        <cfvo type="num" val="1"/>
        <cfvo type="num" val="2"/>
        <cfvo type="num" val="3"/>
        <color rgb="FFF8696B"/>
        <color rgb="FFFFEB84"/>
        <color rgb="FF63BE7B"/>
      </colorScale>
    </cfRule>
    <cfRule type="colorScale" priority="1384">
      <colorScale>
        <cfvo type="num" val="1"/>
        <cfvo type="num" val="2"/>
        <cfvo type="num" val="3"/>
        <color rgb="FFF8696B"/>
        <color rgb="FFFFEB84"/>
        <color rgb="FF63BE7B"/>
      </colorScale>
    </cfRule>
    <cfRule type="colorScale" priority="1385">
      <colorScale>
        <cfvo type="num" val="1"/>
        <cfvo type="num" val="2"/>
        <cfvo type="num" val="3"/>
        <color rgb="FFF8696B"/>
        <color rgb="FFFFEB84"/>
        <color rgb="FF63BE7B"/>
      </colorScale>
    </cfRule>
    <cfRule type="colorScale" priority="1386">
      <colorScale>
        <cfvo type="num" val="1"/>
        <cfvo type="num" val="2"/>
        <cfvo type="num" val="3"/>
        <color rgb="FFF8696B"/>
        <color rgb="FFFFEB84"/>
        <color rgb="FF63BE7B"/>
      </colorScale>
    </cfRule>
    <cfRule type="colorScale" priority="1387">
      <colorScale>
        <cfvo type="num" val="1"/>
        <cfvo type="num" val="2"/>
        <cfvo type="num" val="3"/>
        <color rgb="FFF8696B"/>
        <color rgb="FFFFEB84"/>
        <color rgb="FF63BE7B"/>
      </colorScale>
    </cfRule>
  </conditionalFormatting>
  <conditionalFormatting sqref="M391">
    <cfRule type="cellIs" dxfId="293" priority="1371" operator="equal">
      <formula>5</formula>
    </cfRule>
    <cfRule type="cellIs" dxfId="292" priority="1372" operator="equal">
      <formula>4</formula>
    </cfRule>
    <cfRule type="cellIs" dxfId="291" priority="1373" operator="equal">
      <formula>1</formula>
    </cfRule>
    <cfRule type="cellIs" dxfId="290" priority="1374" operator="equal">
      <formula>3</formula>
    </cfRule>
    <cfRule type="colorScale" priority="1375">
      <colorScale>
        <cfvo type="min" val="0"/>
        <cfvo type="percentile" val="50"/>
        <cfvo type="max" val="0"/>
        <color rgb="FFF8696B"/>
        <color rgb="FFFFEB84"/>
        <color rgb="FF63BE7B"/>
      </colorScale>
    </cfRule>
    <cfRule type="colorScale" priority="1376">
      <colorScale>
        <cfvo type="num" val="1"/>
        <cfvo type="num" val="2"/>
        <cfvo type="num" val="3"/>
        <color rgb="FFF8696B"/>
        <color rgb="FFFFEB84"/>
        <color rgb="FF63BE7B"/>
      </colorScale>
    </cfRule>
    <cfRule type="colorScale" priority="1377">
      <colorScale>
        <cfvo type="num" val="1"/>
        <cfvo type="num" val="2"/>
        <cfvo type="num" val="3"/>
        <color rgb="FFF8696B"/>
        <color rgb="FFFFEB84"/>
        <color rgb="FF63BE7B"/>
      </colorScale>
    </cfRule>
  </conditionalFormatting>
  <conditionalFormatting sqref="M393">
    <cfRule type="cellIs" dxfId="289" priority="1364" operator="equal">
      <formula>5</formula>
    </cfRule>
    <cfRule type="cellIs" dxfId="288" priority="1365" operator="equal">
      <formula>4</formula>
    </cfRule>
    <cfRule type="cellIs" dxfId="287" priority="1366" operator="equal">
      <formula>1</formula>
    </cfRule>
    <cfRule type="cellIs" dxfId="286" priority="1367" operator="equal">
      <formula>3</formula>
    </cfRule>
    <cfRule type="colorScale" priority="1368">
      <colorScale>
        <cfvo type="min" val="0"/>
        <cfvo type="percentile" val="50"/>
        <cfvo type="max" val="0"/>
        <color rgb="FFF8696B"/>
        <color rgb="FFFFEB84"/>
        <color rgb="FF63BE7B"/>
      </colorScale>
    </cfRule>
    <cfRule type="colorScale" priority="1369">
      <colorScale>
        <cfvo type="num" val="1"/>
        <cfvo type="num" val="2"/>
        <cfvo type="num" val="3"/>
        <color rgb="FFF8696B"/>
        <color rgb="FFFFEB84"/>
        <color rgb="FF63BE7B"/>
      </colorScale>
    </cfRule>
    <cfRule type="colorScale" priority="1370">
      <colorScale>
        <cfvo type="num" val="1"/>
        <cfvo type="num" val="2"/>
        <cfvo type="num" val="3"/>
        <color rgb="FFF8696B"/>
        <color rgb="FFFFEB84"/>
        <color rgb="FF63BE7B"/>
      </colorScale>
    </cfRule>
  </conditionalFormatting>
  <conditionalFormatting sqref="N391">
    <cfRule type="cellIs" dxfId="285" priority="1353" operator="equal">
      <formula>5</formula>
    </cfRule>
    <cfRule type="cellIs" dxfId="284" priority="1354" operator="equal">
      <formula>4</formula>
    </cfRule>
    <cfRule type="cellIs" dxfId="283" priority="1355" operator="equal">
      <formula>1</formula>
    </cfRule>
    <cfRule type="cellIs" dxfId="282" priority="1356" operator="equal">
      <formula>3</formula>
    </cfRule>
    <cfRule type="colorScale" priority="1357">
      <colorScale>
        <cfvo type="min" val="0"/>
        <cfvo type="percentile" val="50"/>
        <cfvo type="max" val="0"/>
        <color rgb="FFF8696B"/>
        <color rgb="FFFFEB84"/>
        <color rgb="FF63BE7B"/>
      </colorScale>
    </cfRule>
    <cfRule type="colorScale" priority="1358">
      <colorScale>
        <cfvo type="num" val="1"/>
        <cfvo type="num" val="2"/>
        <cfvo type="num" val="3"/>
        <color rgb="FFF8696B"/>
        <color rgb="FFFFEB84"/>
        <color rgb="FF63BE7B"/>
      </colorScale>
    </cfRule>
    <cfRule type="colorScale" priority="1359">
      <colorScale>
        <cfvo type="num" val="1"/>
        <cfvo type="num" val="2"/>
        <cfvo type="num" val="3"/>
        <color rgb="FFF8696B"/>
        <color rgb="FFFFEB84"/>
        <color rgb="FF63BE7B"/>
      </colorScale>
    </cfRule>
    <cfRule type="colorScale" priority="1360">
      <colorScale>
        <cfvo type="num" val="1"/>
        <cfvo type="num" val="2"/>
        <cfvo type="num" val="3"/>
        <color rgb="FFF8696B"/>
        <color rgb="FFFFEB84"/>
        <color rgb="FF63BE7B"/>
      </colorScale>
    </cfRule>
    <cfRule type="colorScale" priority="1361">
      <colorScale>
        <cfvo type="num" val="1"/>
        <cfvo type="num" val="2"/>
        <cfvo type="num" val="3"/>
        <color rgb="FFF8696B"/>
        <color rgb="FFFFEB84"/>
        <color rgb="FF63BE7B"/>
      </colorScale>
    </cfRule>
    <cfRule type="colorScale" priority="1362">
      <colorScale>
        <cfvo type="num" val="1"/>
        <cfvo type="num" val="2"/>
        <cfvo type="num" val="3"/>
        <color rgb="FFF8696B"/>
        <color rgb="FFFFEB84"/>
        <color rgb="FF63BE7B"/>
      </colorScale>
    </cfRule>
    <cfRule type="colorScale" priority="1363">
      <colorScale>
        <cfvo type="num" val="1"/>
        <cfvo type="num" val="2"/>
        <cfvo type="num" val="3"/>
        <color rgb="FFF8696B"/>
        <color rgb="FFFFEB84"/>
        <color rgb="FF63BE7B"/>
      </colorScale>
    </cfRule>
  </conditionalFormatting>
  <conditionalFormatting sqref="N393">
    <cfRule type="cellIs" dxfId="281" priority="1346" operator="equal">
      <formula>5</formula>
    </cfRule>
    <cfRule type="cellIs" dxfId="280" priority="1347" operator="equal">
      <formula>4</formula>
    </cfRule>
    <cfRule type="cellIs" dxfId="279" priority="1348" operator="equal">
      <formula>1</formula>
    </cfRule>
    <cfRule type="cellIs" dxfId="278" priority="1349" operator="equal">
      <formula>3</formula>
    </cfRule>
    <cfRule type="colorScale" priority="1350">
      <colorScale>
        <cfvo type="min" val="0"/>
        <cfvo type="percentile" val="50"/>
        <cfvo type="max" val="0"/>
        <color rgb="FFF8696B"/>
        <color rgb="FFFFEB84"/>
        <color rgb="FF63BE7B"/>
      </colorScale>
    </cfRule>
    <cfRule type="colorScale" priority="1351">
      <colorScale>
        <cfvo type="num" val="1"/>
        <cfvo type="num" val="2"/>
        <cfvo type="num" val="3"/>
        <color rgb="FFF8696B"/>
        <color rgb="FFFFEB84"/>
        <color rgb="FF63BE7B"/>
      </colorScale>
    </cfRule>
    <cfRule type="colorScale" priority="1352">
      <colorScale>
        <cfvo type="num" val="1"/>
        <cfvo type="num" val="2"/>
        <cfvo type="num" val="3"/>
        <color rgb="FFF8696B"/>
        <color rgb="FFFFEB84"/>
        <color rgb="FF63BE7B"/>
      </colorScale>
    </cfRule>
  </conditionalFormatting>
  <conditionalFormatting sqref="N393">
    <cfRule type="cellIs" dxfId="277" priority="1334" operator="equal">
      <formula>5</formula>
    </cfRule>
    <cfRule type="cellIs" dxfId="276" priority="1335" operator="equal">
      <formula>4</formula>
    </cfRule>
    <cfRule type="cellIs" dxfId="275" priority="1336" operator="equal">
      <formula>1</formula>
    </cfRule>
    <cfRule type="cellIs" dxfId="274" priority="1337" operator="equal">
      <formula>3</formula>
    </cfRule>
    <cfRule type="cellIs" dxfId="273" priority="1338" operator="equal">
      <formula>2</formula>
    </cfRule>
    <cfRule type="colorScale" priority="1339">
      <colorScale>
        <cfvo type="min" val="0"/>
        <cfvo type="percentile" val="50"/>
        <cfvo type="max" val="0"/>
        <color rgb="FFF8696B"/>
        <color rgb="FFFFEB84"/>
        <color rgb="FF63BE7B"/>
      </colorScale>
    </cfRule>
    <cfRule type="colorScale" priority="1340">
      <colorScale>
        <cfvo type="num" val="1"/>
        <cfvo type="num" val="2"/>
        <cfvo type="num" val="3"/>
        <color rgb="FFF8696B"/>
        <color rgb="FFFFEB84"/>
        <color rgb="FF63BE7B"/>
      </colorScale>
    </cfRule>
    <cfRule type="colorScale" priority="1341">
      <colorScale>
        <cfvo type="num" val="1"/>
        <cfvo type="num" val="2"/>
        <cfvo type="num" val="3"/>
        <color rgb="FFF8696B"/>
        <color rgb="FFFFEB84"/>
        <color rgb="FF63BE7B"/>
      </colorScale>
    </cfRule>
    <cfRule type="colorScale" priority="1342">
      <colorScale>
        <cfvo type="num" val="1"/>
        <cfvo type="num" val="2"/>
        <cfvo type="num" val="3"/>
        <color rgb="FFF8696B"/>
        <color rgb="FFFFEB84"/>
        <color rgb="FF63BE7B"/>
      </colorScale>
    </cfRule>
    <cfRule type="colorScale" priority="1343">
      <colorScale>
        <cfvo type="num" val="1"/>
        <cfvo type="num" val="2"/>
        <cfvo type="num" val="3"/>
        <color rgb="FFF8696B"/>
        <color rgb="FFFFEB84"/>
        <color rgb="FF63BE7B"/>
      </colorScale>
    </cfRule>
    <cfRule type="colorScale" priority="1344">
      <colorScale>
        <cfvo type="num" val="1"/>
        <cfvo type="num" val="2"/>
        <cfvo type="num" val="3"/>
        <color rgb="FFF8696B"/>
        <color rgb="FFFFEB84"/>
        <color rgb="FF63BE7B"/>
      </colorScale>
    </cfRule>
    <cfRule type="colorScale" priority="1345">
      <colorScale>
        <cfvo type="num" val="1"/>
        <cfvo type="num" val="2"/>
        <cfvo type="num" val="3"/>
        <color rgb="FFF8696B"/>
        <color rgb="FFFFEB84"/>
        <color rgb="FF63BE7B"/>
      </colorScale>
    </cfRule>
  </conditionalFormatting>
  <conditionalFormatting sqref="M389">
    <cfRule type="cellIs" dxfId="272" priority="1326" operator="equal">
      <formula>5</formula>
    </cfRule>
    <cfRule type="cellIs" dxfId="271" priority="1327" operator="equal">
      <formula>4</formula>
    </cfRule>
    <cfRule type="cellIs" dxfId="270" priority="1328" operator="equal">
      <formula>1</formula>
    </cfRule>
    <cfRule type="cellIs" dxfId="269" priority="1329" operator="equal">
      <formula>3</formula>
    </cfRule>
    <cfRule type="colorScale" priority="1330">
      <colorScale>
        <cfvo type="min" val="0"/>
        <cfvo type="percentile" val="50"/>
        <cfvo type="max" val="0"/>
        <color rgb="FFF8696B"/>
        <color rgb="FFFFEB84"/>
        <color rgb="FF63BE7B"/>
      </colorScale>
    </cfRule>
    <cfRule type="colorScale" priority="1331">
      <colorScale>
        <cfvo type="num" val="1"/>
        <cfvo type="num" val="2"/>
        <cfvo type="num" val="3"/>
        <color rgb="FFF8696B"/>
        <color rgb="FFFFEB84"/>
        <color rgb="FF63BE7B"/>
      </colorScale>
    </cfRule>
    <cfRule type="colorScale" priority="1332">
      <colorScale>
        <cfvo type="num" val="1"/>
        <cfvo type="num" val="2"/>
        <cfvo type="num" val="3"/>
        <color rgb="FFF8696B"/>
        <color rgb="FFFFEB84"/>
        <color rgb="FF63BE7B"/>
      </colorScale>
    </cfRule>
  </conditionalFormatting>
  <conditionalFormatting sqref="J393:L393">
    <cfRule type="cellIs" dxfId="268" priority="1249" operator="equal">
      <formula>5</formula>
    </cfRule>
    <cfRule type="cellIs" dxfId="267" priority="1250" operator="equal">
      <formula>4</formula>
    </cfRule>
    <cfRule type="cellIs" dxfId="266" priority="1251" operator="equal">
      <formula>1</formula>
    </cfRule>
    <cfRule type="cellIs" dxfId="265" priority="1252" operator="equal">
      <formula>3</formula>
    </cfRule>
    <cfRule type="cellIs" dxfId="264" priority="1253" operator="equal">
      <formula>2</formula>
    </cfRule>
    <cfRule type="colorScale" priority="1254">
      <colorScale>
        <cfvo type="min" val="0"/>
        <cfvo type="percentile" val="50"/>
        <cfvo type="max" val="0"/>
        <color rgb="FFF8696B"/>
        <color rgb="FFFFEB84"/>
        <color rgb="FF63BE7B"/>
      </colorScale>
    </cfRule>
    <cfRule type="colorScale" priority="1255">
      <colorScale>
        <cfvo type="num" val="1"/>
        <cfvo type="num" val="2"/>
        <cfvo type="num" val="3"/>
        <color rgb="FFF8696B"/>
        <color rgb="FFFFEB84"/>
        <color rgb="FF63BE7B"/>
      </colorScale>
    </cfRule>
    <cfRule type="colorScale" priority="1256">
      <colorScale>
        <cfvo type="num" val="1"/>
        <cfvo type="num" val="2"/>
        <cfvo type="num" val="3"/>
        <color rgb="FFF8696B"/>
        <color rgb="FFFFEB84"/>
        <color rgb="FF63BE7B"/>
      </colorScale>
    </cfRule>
    <cfRule type="colorScale" priority="1257">
      <colorScale>
        <cfvo type="num" val="1"/>
        <cfvo type="num" val="2"/>
        <cfvo type="num" val="3"/>
        <color rgb="FFF8696B"/>
        <color rgb="FFFFEB84"/>
        <color rgb="FF63BE7B"/>
      </colorScale>
    </cfRule>
    <cfRule type="colorScale" priority="1258">
      <colorScale>
        <cfvo type="num" val="1"/>
        <cfvo type="num" val="2"/>
        <cfvo type="num" val="3"/>
        <color rgb="FFF8696B"/>
        <color rgb="FFFFEB84"/>
        <color rgb="FF63BE7B"/>
      </colorScale>
    </cfRule>
    <cfRule type="colorScale" priority="1259">
      <colorScale>
        <cfvo type="num" val="1"/>
        <cfvo type="num" val="2"/>
        <cfvo type="num" val="3"/>
        <color rgb="FFF8696B"/>
        <color rgb="FFFFEB84"/>
        <color rgb="FF63BE7B"/>
      </colorScale>
    </cfRule>
    <cfRule type="colorScale" priority="1260">
      <colorScale>
        <cfvo type="num" val="1"/>
        <cfvo type="num" val="2"/>
        <cfvo type="num" val="3"/>
        <color rgb="FFF8696B"/>
        <color rgb="FFFFEB84"/>
        <color rgb="FF63BE7B"/>
      </colorScale>
    </cfRule>
  </conditionalFormatting>
  <conditionalFormatting sqref="O393">
    <cfRule type="cellIs" dxfId="263" priority="1231" operator="equal">
      <formula>5</formula>
    </cfRule>
    <cfRule type="cellIs" dxfId="262" priority="1232" operator="equal">
      <formula>4</formula>
    </cfRule>
    <cfRule type="cellIs" dxfId="261" priority="1233" operator="equal">
      <formula>1</formula>
    </cfRule>
    <cfRule type="cellIs" dxfId="260" priority="1234" operator="equal">
      <formula>3</formula>
    </cfRule>
    <cfRule type="colorScale" priority="1235">
      <colorScale>
        <cfvo type="min" val="0"/>
        <cfvo type="percentile" val="50"/>
        <cfvo type="max" val="0"/>
        <color rgb="FFF8696B"/>
        <color rgb="FFFFEB84"/>
        <color rgb="FF63BE7B"/>
      </colorScale>
    </cfRule>
    <cfRule type="colorScale" priority="1236">
      <colorScale>
        <cfvo type="num" val="1"/>
        <cfvo type="num" val="2"/>
        <cfvo type="num" val="3"/>
        <color rgb="FFF8696B"/>
        <color rgb="FFFFEB84"/>
        <color rgb="FF63BE7B"/>
      </colorScale>
    </cfRule>
    <cfRule type="colorScale" priority="1237">
      <colorScale>
        <cfvo type="num" val="1"/>
        <cfvo type="num" val="2"/>
        <cfvo type="num" val="3"/>
        <color rgb="FFF8696B"/>
        <color rgb="FFFFEB84"/>
        <color rgb="FF63BE7B"/>
      </colorScale>
    </cfRule>
    <cfRule type="colorScale" priority="1238">
      <colorScale>
        <cfvo type="num" val="1"/>
        <cfvo type="num" val="2"/>
        <cfvo type="num" val="3"/>
        <color rgb="FFF8696B"/>
        <color rgb="FFFFEB84"/>
        <color rgb="FF63BE7B"/>
      </colorScale>
    </cfRule>
    <cfRule type="colorScale" priority="1239">
      <colorScale>
        <cfvo type="num" val="1"/>
        <cfvo type="num" val="2"/>
        <cfvo type="num" val="3"/>
        <color rgb="FFF8696B"/>
        <color rgb="FFFFEB84"/>
        <color rgb="FF63BE7B"/>
      </colorScale>
    </cfRule>
    <cfRule type="colorScale" priority="1240">
      <colorScale>
        <cfvo type="num" val="1"/>
        <cfvo type="num" val="2"/>
        <cfvo type="num" val="3"/>
        <color rgb="FFF8696B"/>
        <color rgb="FFFFEB84"/>
        <color rgb="FF63BE7B"/>
      </colorScale>
    </cfRule>
    <cfRule type="colorScale" priority="1241">
      <colorScale>
        <cfvo type="num" val="1"/>
        <cfvo type="num" val="2"/>
        <cfvo type="num" val="3"/>
        <color rgb="FFF8696B"/>
        <color rgb="FFFFEB84"/>
        <color rgb="FF63BE7B"/>
      </colorScale>
    </cfRule>
  </conditionalFormatting>
  <conditionalFormatting sqref="K389">
    <cfRule type="cellIs" dxfId="259" priority="1185" operator="equal">
      <formula>5</formula>
    </cfRule>
    <cfRule type="cellIs" dxfId="258" priority="1186" operator="equal">
      <formula>4</formula>
    </cfRule>
    <cfRule type="cellIs" dxfId="257" priority="1187" operator="equal">
      <formula>1</formula>
    </cfRule>
    <cfRule type="cellIs" dxfId="256" priority="1188" operator="equal">
      <formula>3</formula>
    </cfRule>
    <cfRule type="cellIs" dxfId="255" priority="1189" operator="equal">
      <formula>2</formula>
    </cfRule>
    <cfRule type="colorScale" priority="1190">
      <colorScale>
        <cfvo type="min" val="0"/>
        <cfvo type="percentile" val="50"/>
        <cfvo type="max" val="0"/>
        <color rgb="FFF8696B"/>
        <color rgb="FFFFEB84"/>
        <color rgb="FF63BE7B"/>
      </colorScale>
    </cfRule>
    <cfRule type="colorScale" priority="1191">
      <colorScale>
        <cfvo type="num" val="1"/>
        <cfvo type="num" val="2"/>
        <cfvo type="num" val="3"/>
        <color rgb="FFF8696B"/>
        <color rgb="FFFFEB84"/>
        <color rgb="FF63BE7B"/>
      </colorScale>
    </cfRule>
    <cfRule type="colorScale" priority="1192">
      <colorScale>
        <cfvo type="num" val="1"/>
        <cfvo type="num" val="2"/>
        <cfvo type="num" val="3"/>
        <color rgb="FFF8696B"/>
        <color rgb="FFFFEB84"/>
        <color rgb="FF63BE7B"/>
      </colorScale>
    </cfRule>
  </conditionalFormatting>
  <conditionalFormatting sqref="K391:L391">
    <cfRule type="cellIs" dxfId="254" priority="1168" operator="equal">
      <formula>5</formula>
    </cfRule>
    <cfRule type="cellIs" dxfId="253" priority="1169" operator="equal">
      <formula>4</formula>
    </cfRule>
    <cfRule type="cellIs" dxfId="252" priority="1170" operator="equal">
      <formula>1</formula>
    </cfRule>
    <cfRule type="cellIs" dxfId="251" priority="1171" operator="equal">
      <formula>3</formula>
    </cfRule>
    <cfRule type="cellIs" dxfId="250" priority="1172" operator="equal">
      <formula>2</formula>
    </cfRule>
    <cfRule type="colorScale" priority="1173">
      <colorScale>
        <cfvo type="min" val="0"/>
        <cfvo type="percentile" val="50"/>
        <cfvo type="max" val="0"/>
        <color rgb="FFF8696B"/>
        <color rgb="FFFFEB84"/>
        <color rgb="FF63BE7B"/>
      </colorScale>
    </cfRule>
    <cfRule type="colorScale" priority="1174">
      <colorScale>
        <cfvo type="num" val="1"/>
        <cfvo type="num" val="2"/>
        <cfvo type="num" val="3"/>
        <color rgb="FFF8696B"/>
        <color rgb="FFFFEB84"/>
        <color rgb="FF63BE7B"/>
      </colorScale>
    </cfRule>
    <cfRule type="colorScale" priority="1175">
      <colorScale>
        <cfvo type="num" val="1"/>
        <cfvo type="num" val="2"/>
        <cfvo type="num" val="3"/>
        <color rgb="FFF8696B"/>
        <color rgb="FFFFEB84"/>
        <color rgb="FF63BE7B"/>
      </colorScale>
    </cfRule>
    <cfRule type="colorScale" priority="1176">
      <colorScale>
        <cfvo type="num" val="1"/>
        <cfvo type="num" val="2"/>
        <cfvo type="num" val="3"/>
        <color rgb="FFF8696B"/>
        <color rgb="FFFFEB84"/>
        <color rgb="FF63BE7B"/>
      </colorScale>
    </cfRule>
    <cfRule type="colorScale" priority="1177">
      <colorScale>
        <cfvo type="num" val="1"/>
        <cfvo type="num" val="2"/>
        <cfvo type="num" val="3"/>
        <color rgb="FFF8696B"/>
        <color rgb="FFFFEB84"/>
        <color rgb="FF63BE7B"/>
      </colorScale>
    </cfRule>
    <cfRule type="colorScale" priority="1178">
      <colorScale>
        <cfvo type="num" val="1"/>
        <cfvo type="num" val="2"/>
        <cfvo type="num" val="3"/>
        <color rgb="FFF8696B"/>
        <color rgb="FFFFEB84"/>
        <color rgb="FF63BE7B"/>
      </colorScale>
    </cfRule>
    <cfRule type="colorScale" priority="1179">
      <colorScale>
        <cfvo type="num" val="1"/>
        <cfvo type="num" val="2"/>
        <cfvo type="num" val="3"/>
        <color rgb="FFF8696B"/>
        <color rgb="FFFFEB84"/>
        <color rgb="FF63BE7B"/>
      </colorScale>
    </cfRule>
  </conditionalFormatting>
  <conditionalFormatting sqref="K393:L393">
    <cfRule type="cellIs" dxfId="249" priority="1156" operator="equal">
      <formula>5</formula>
    </cfRule>
    <cfRule type="cellIs" dxfId="248" priority="1157" operator="equal">
      <formula>4</formula>
    </cfRule>
    <cfRule type="cellIs" dxfId="247" priority="1158" operator="equal">
      <formula>1</formula>
    </cfRule>
    <cfRule type="cellIs" dxfId="246" priority="1159" operator="equal">
      <formula>3</formula>
    </cfRule>
    <cfRule type="cellIs" dxfId="245" priority="1160" operator="equal">
      <formula>2</formula>
    </cfRule>
    <cfRule type="colorScale" priority="1161">
      <colorScale>
        <cfvo type="min" val="0"/>
        <cfvo type="percentile" val="50"/>
        <cfvo type="max" val="0"/>
        <color rgb="FFF8696B"/>
        <color rgb="FFFFEB84"/>
        <color rgb="FF63BE7B"/>
      </colorScale>
    </cfRule>
    <cfRule type="colorScale" priority="1162">
      <colorScale>
        <cfvo type="num" val="1"/>
        <cfvo type="num" val="2"/>
        <cfvo type="num" val="3"/>
        <color rgb="FFF8696B"/>
        <color rgb="FFFFEB84"/>
        <color rgb="FF63BE7B"/>
      </colorScale>
    </cfRule>
    <cfRule type="colorScale" priority="1163">
      <colorScale>
        <cfvo type="num" val="1"/>
        <cfvo type="num" val="2"/>
        <cfvo type="num" val="3"/>
        <color rgb="FFF8696B"/>
        <color rgb="FFFFEB84"/>
        <color rgb="FF63BE7B"/>
      </colorScale>
    </cfRule>
    <cfRule type="colorScale" priority="1164">
      <colorScale>
        <cfvo type="num" val="1"/>
        <cfvo type="num" val="2"/>
        <cfvo type="num" val="3"/>
        <color rgb="FFF8696B"/>
        <color rgb="FFFFEB84"/>
        <color rgb="FF63BE7B"/>
      </colorScale>
    </cfRule>
    <cfRule type="colorScale" priority="1165">
      <colorScale>
        <cfvo type="num" val="1"/>
        <cfvo type="num" val="2"/>
        <cfvo type="num" val="3"/>
        <color rgb="FFF8696B"/>
        <color rgb="FFFFEB84"/>
        <color rgb="FF63BE7B"/>
      </colorScale>
    </cfRule>
    <cfRule type="colorScale" priority="1166">
      <colorScale>
        <cfvo type="num" val="1"/>
        <cfvo type="num" val="2"/>
        <cfvo type="num" val="3"/>
        <color rgb="FFF8696B"/>
        <color rgb="FFFFEB84"/>
        <color rgb="FF63BE7B"/>
      </colorScale>
    </cfRule>
    <cfRule type="colorScale" priority="1167">
      <colorScale>
        <cfvo type="num" val="1"/>
        <cfvo type="num" val="2"/>
        <cfvo type="num" val="3"/>
        <color rgb="FFF8696B"/>
        <color rgb="FFFFEB84"/>
        <color rgb="FF63BE7B"/>
      </colorScale>
    </cfRule>
  </conditionalFormatting>
  <conditionalFormatting sqref="K387">
    <cfRule type="cellIs" dxfId="244" priority="1148" operator="equal">
      <formula>5</formula>
    </cfRule>
    <cfRule type="cellIs" dxfId="243" priority="1149" operator="equal">
      <formula>4</formula>
    </cfRule>
    <cfRule type="cellIs" dxfId="242" priority="1150" operator="equal">
      <formula>1</formula>
    </cfRule>
    <cfRule type="cellIs" dxfId="241" priority="1151" operator="equal">
      <formula>3</formula>
    </cfRule>
    <cfRule type="cellIs" dxfId="240" priority="1152" operator="equal">
      <formula>2</formula>
    </cfRule>
    <cfRule type="colorScale" priority="1153">
      <colorScale>
        <cfvo type="min" val="0"/>
        <cfvo type="percentile" val="50"/>
        <cfvo type="max" val="0"/>
        <color rgb="FFF8696B"/>
        <color rgb="FFFFEB84"/>
        <color rgb="FF63BE7B"/>
      </colorScale>
    </cfRule>
    <cfRule type="colorScale" priority="1154">
      <colorScale>
        <cfvo type="num" val="1"/>
        <cfvo type="num" val="2"/>
        <cfvo type="num" val="3"/>
        <color rgb="FFF8696B"/>
        <color rgb="FFFFEB84"/>
        <color rgb="FF63BE7B"/>
      </colorScale>
    </cfRule>
    <cfRule type="colorScale" priority="1155">
      <colorScale>
        <cfvo type="num" val="1"/>
        <cfvo type="num" val="2"/>
        <cfvo type="num" val="3"/>
        <color rgb="FFF8696B"/>
        <color rgb="FFFFEB84"/>
        <color rgb="FF63BE7B"/>
      </colorScale>
    </cfRule>
  </conditionalFormatting>
  <conditionalFormatting sqref="K391">
    <cfRule type="cellIs" dxfId="239" priority="1140" operator="equal">
      <formula>5</formula>
    </cfRule>
    <cfRule type="cellIs" dxfId="238" priority="1141" operator="equal">
      <formula>4</formula>
    </cfRule>
    <cfRule type="cellIs" dxfId="237" priority="1142" operator="equal">
      <formula>1</formula>
    </cfRule>
    <cfRule type="cellIs" dxfId="236" priority="1143" operator="equal">
      <formula>3</formula>
    </cfRule>
    <cfRule type="cellIs" dxfId="235" priority="1144" operator="equal">
      <formula>2</formula>
    </cfRule>
    <cfRule type="colorScale" priority="1145">
      <colorScale>
        <cfvo type="min" val="0"/>
        <cfvo type="percentile" val="50"/>
        <cfvo type="max" val="0"/>
        <color rgb="FFF8696B"/>
        <color rgb="FFFFEB84"/>
        <color rgb="FF63BE7B"/>
      </colorScale>
    </cfRule>
    <cfRule type="colorScale" priority="1146">
      <colorScale>
        <cfvo type="num" val="1"/>
        <cfvo type="num" val="2"/>
        <cfvo type="num" val="3"/>
        <color rgb="FFF8696B"/>
        <color rgb="FFFFEB84"/>
        <color rgb="FF63BE7B"/>
      </colorScale>
    </cfRule>
    <cfRule type="colorScale" priority="1147">
      <colorScale>
        <cfvo type="num" val="1"/>
        <cfvo type="num" val="2"/>
        <cfvo type="num" val="3"/>
        <color rgb="FFF8696B"/>
        <color rgb="FFFFEB84"/>
        <color rgb="FF63BE7B"/>
      </colorScale>
    </cfRule>
  </conditionalFormatting>
  <conditionalFormatting sqref="L389">
    <cfRule type="cellIs" dxfId="234" priority="1126" operator="equal">
      <formula>5</formula>
    </cfRule>
    <cfRule type="cellIs" dxfId="233" priority="1127" operator="equal">
      <formula>4</formula>
    </cfRule>
    <cfRule type="cellIs" dxfId="232" priority="1128" operator="equal">
      <formula>1</formula>
    </cfRule>
    <cfRule type="cellIs" dxfId="231" priority="1129" operator="equal">
      <formula>3</formula>
    </cfRule>
    <cfRule type="cellIs" dxfId="230" priority="1130" operator="equal">
      <formula>2</formula>
    </cfRule>
    <cfRule type="colorScale" priority="1131">
      <colorScale>
        <cfvo type="min" val="0"/>
        <cfvo type="percentile" val="50"/>
        <cfvo type="max" val="0"/>
        <color rgb="FFF8696B"/>
        <color rgb="FFFFEB84"/>
        <color rgb="FF63BE7B"/>
      </colorScale>
    </cfRule>
    <cfRule type="colorScale" priority="1132">
      <colorScale>
        <cfvo type="num" val="1"/>
        <cfvo type="num" val="2"/>
        <cfvo type="num" val="3"/>
        <color rgb="FFF8696B"/>
        <color rgb="FFFFEB84"/>
        <color rgb="FF63BE7B"/>
      </colorScale>
    </cfRule>
    <cfRule type="colorScale" priority="1133">
      <colorScale>
        <cfvo type="num" val="1"/>
        <cfvo type="num" val="2"/>
        <cfvo type="num" val="3"/>
        <color rgb="FFF8696B"/>
        <color rgb="FFFFEB84"/>
        <color rgb="FF63BE7B"/>
      </colorScale>
    </cfRule>
  </conditionalFormatting>
  <conditionalFormatting sqref="M393:O393">
    <cfRule type="cellIs" dxfId="229" priority="1100" operator="equal">
      <formula>5</formula>
    </cfRule>
    <cfRule type="cellIs" dxfId="228" priority="1101" operator="equal">
      <formula>4</formula>
    </cfRule>
    <cfRule type="cellIs" dxfId="227" priority="1102" operator="equal">
      <formula>1</formula>
    </cfRule>
    <cfRule type="cellIs" dxfId="226" priority="1103" operator="equal">
      <formula>3</formula>
    </cfRule>
    <cfRule type="cellIs" dxfId="225" priority="1104" operator="equal">
      <formula>2</formula>
    </cfRule>
    <cfRule type="colorScale" priority="1105">
      <colorScale>
        <cfvo type="min" val="0"/>
        <cfvo type="percentile" val="50"/>
        <cfvo type="max" val="0"/>
        <color rgb="FFF8696B"/>
        <color rgb="FFFFEB84"/>
        <color rgb="FF63BE7B"/>
      </colorScale>
    </cfRule>
    <cfRule type="colorScale" priority="1106">
      <colorScale>
        <cfvo type="num" val="1"/>
        <cfvo type="num" val="2"/>
        <cfvo type="num" val="3"/>
        <color rgb="FFF8696B"/>
        <color rgb="FFFFEB84"/>
        <color rgb="FF63BE7B"/>
      </colorScale>
    </cfRule>
    <cfRule type="colorScale" priority="1107">
      <colorScale>
        <cfvo type="num" val="1"/>
        <cfvo type="num" val="2"/>
        <cfvo type="num" val="3"/>
        <color rgb="FFF8696B"/>
        <color rgb="FFFFEB84"/>
        <color rgb="FF63BE7B"/>
      </colorScale>
    </cfRule>
    <cfRule type="colorScale" priority="1108">
      <colorScale>
        <cfvo type="num" val="1"/>
        <cfvo type="num" val="2"/>
        <cfvo type="num" val="3"/>
        <color rgb="FFF8696B"/>
        <color rgb="FFFFEB84"/>
        <color rgb="FF63BE7B"/>
      </colorScale>
    </cfRule>
    <cfRule type="colorScale" priority="1109">
      <colorScale>
        <cfvo type="num" val="1"/>
        <cfvo type="num" val="2"/>
        <cfvo type="num" val="3"/>
        <color rgb="FFF8696B"/>
        <color rgb="FFFFEB84"/>
        <color rgb="FF63BE7B"/>
      </colorScale>
    </cfRule>
    <cfRule type="colorScale" priority="1110">
      <colorScale>
        <cfvo type="num" val="1"/>
        <cfvo type="num" val="2"/>
        <cfvo type="num" val="3"/>
        <color rgb="FFF8696B"/>
        <color rgb="FFFFEB84"/>
        <color rgb="FF63BE7B"/>
      </colorScale>
    </cfRule>
    <cfRule type="colorScale" priority="1111">
      <colorScale>
        <cfvo type="num" val="1"/>
        <cfvo type="num" val="2"/>
        <cfvo type="num" val="3"/>
        <color rgb="FFF8696B"/>
        <color rgb="FFFFEB84"/>
        <color rgb="FF63BE7B"/>
      </colorScale>
    </cfRule>
  </conditionalFormatting>
  <conditionalFormatting sqref="M393">
    <cfRule type="cellIs" dxfId="224" priority="1088" operator="equal">
      <formula>5</formula>
    </cfRule>
    <cfRule type="cellIs" dxfId="223" priority="1089" operator="equal">
      <formula>4</formula>
    </cfRule>
    <cfRule type="cellIs" dxfId="222" priority="1090" operator="equal">
      <formula>1</formula>
    </cfRule>
    <cfRule type="cellIs" dxfId="221" priority="1091" operator="equal">
      <formula>3</formula>
    </cfRule>
    <cfRule type="cellIs" dxfId="220" priority="1092" operator="equal">
      <formula>2</formula>
    </cfRule>
    <cfRule type="colorScale" priority="1093">
      <colorScale>
        <cfvo type="min" val="0"/>
        <cfvo type="percentile" val="50"/>
        <cfvo type="max" val="0"/>
        <color rgb="FFF8696B"/>
        <color rgb="FFFFEB84"/>
        <color rgb="FF63BE7B"/>
      </colorScale>
    </cfRule>
    <cfRule type="colorScale" priority="1094">
      <colorScale>
        <cfvo type="num" val="1"/>
        <cfvo type="num" val="2"/>
        <cfvo type="num" val="3"/>
        <color rgb="FFF8696B"/>
        <color rgb="FFFFEB84"/>
        <color rgb="FF63BE7B"/>
      </colorScale>
    </cfRule>
    <cfRule type="colorScale" priority="1095">
      <colorScale>
        <cfvo type="num" val="1"/>
        <cfvo type="num" val="2"/>
        <cfvo type="num" val="3"/>
        <color rgb="FFF8696B"/>
        <color rgb="FFFFEB84"/>
        <color rgb="FF63BE7B"/>
      </colorScale>
    </cfRule>
    <cfRule type="colorScale" priority="1096">
      <colorScale>
        <cfvo type="num" val="1"/>
        <cfvo type="num" val="2"/>
        <cfvo type="num" val="3"/>
        <color rgb="FFF8696B"/>
        <color rgb="FFFFEB84"/>
        <color rgb="FF63BE7B"/>
      </colorScale>
    </cfRule>
    <cfRule type="colorScale" priority="1097">
      <colorScale>
        <cfvo type="num" val="1"/>
        <cfvo type="num" val="2"/>
        <cfvo type="num" val="3"/>
        <color rgb="FFF8696B"/>
        <color rgb="FFFFEB84"/>
        <color rgb="FF63BE7B"/>
      </colorScale>
    </cfRule>
    <cfRule type="colorScale" priority="1098">
      <colorScale>
        <cfvo type="num" val="1"/>
        <cfvo type="num" val="2"/>
        <cfvo type="num" val="3"/>
        <color rgb="FFF8696B"/>
        <color rgb="FFFFEB84"/>
        <color rgb="FF63BE7B"/>
      </colorScale>
    </cfRule>
    <cfRule type="colorScale" priority="1099">
      <colorScale>
        <cfvo type="num" val="1"/>
        <cfvo type="num" val="2"/>
        <cfvo type="num" val="3"/>
        <color rgb="FFF8696B"/>
        <color rgb="FFFFEB84"/>
        <color rgb="FF63BE7B"/>
      </colorScale>
    </cfRule>
  </conditionalFormatting>
  <conditionalFormatting sqref="O389">
    <cfRule type="cellIs" dxfId="219" priority="769" operator="equal">
      <formula>5</formula>
    </cfRule>
    <cfRule type="cellIs" dxfId="218" priority="770" operator="equal">
      <formula>4</formula>
    </cfRule>
    <cfRule type="cellIs" dxfId="217" priority="771" operator="equal">
      <formula>1</formula>
    </cfRule>
    <cfRule type="cellIs" dxfId="216" priority="772" operator="equal">
      <formula>3</formula>
    </cfRule>
    <cfRule type="cellIs" dxfId="215" priority="773" operator="equal">
      <formula>2</formula>
    </cfRule>
    <cfRule type="colorScale" priority="774">
      <colorScale>
        <cfvo type="min" val="0"/>
        <cfvo type="percentile" val="50"/>
        <cfvo type="max" val="0"/>
        <color rgb="FFF8696B"/>
        <color rgb="FFFFEB84"/>
        <color rgb="FF63BE7B"/>
      </colorScale>
    </cfRule>
    <cfRule type="colorScale" priority="775">
      <colorScale>
        <cfvo type="num" val="1"/>
        <cfvo type="num" val="2"/>
        <cfvo type="num" val="3"/>
        <color rgb="FFF8696B"/>
        <color rgb="FFFFEB84"/>
        <color rgb="FF63BE7B"/>
      </colorScale>
    </cfRule>
    <cfRule type="colorScale" priority="776">
      <colorScale>
        <cfvo type="num" val="1"/>
        <cfvo type="num" val="2"/>
        <cfvo type="num" val="3"/>
        <color rgb="FFF8696B"/>
        <color rgb="FFFFEB84"/>
        <color rgb="FF63BE7B"/>
      </colorScale>
    </cfRule>
  </conditionalFormatting>
  <conditionalFormatting sqref="O391:P391">
    <cfRule type="cellIs" dxfId="214" priority="757" operator="equal">
      <formula>5</formula>
    </cfRule>
    <cfRule type="cellIs" dxfId="213" priority="758" operator="equal">
      <formula>4</formula>
    </cfRule>
    <cfRule type="cellIs" dxfId="212" priority="759" operator="equal">
      <formula>1</formula>
    </cfRule>
    <cfRule type="cellIs" dxfId="211" priority="760" operator="equal">
      <formula>3</formula>
    </cfRule>
    <cfRule type="cellIs" dxfId="210" priority="761" operator="equal">
      <formula>2</formula>
    </cfRule>
    <cfRule type="colorScale" priority="762">
      <colorScale>
        <cfvo type="min" val="0"/>
        <cfvo type="percentile" val="50"/>
        <cfvo type="max" val="0"/>
        <color rgb="FFF8696B"/>
        <color rgb="FFFFEB84"/>
        <color rgb="FF63BE7B"/>
      </colorScale>
    </cfRule>
    <cfRule type="colorScale" priority="763">
      <colorScale>
        <cfvo type="num" val="1"/>
        <cfvo type="num" val="2"/>
        <cfvo type="num" val="3"/>
        <color rgb="FFF8696B"/>
        <color rgb="FFFFEB84"/>
        <color rgb="FF63BE7B"/>
      </colorScale>
    </cfRule>
    <cfRule type="colorScale" priority="764">
      <colorScale>
        <cfvo type="num" val="1"/>
        <cfvo type="num" val="2"/>
        <cfvo type="num" val="3"/>
        <color rgb="FFF8696B"/>
        <color rgb="FFFFEB84"/>
        <color rgb="FF63BE7B"/>
      </colorScale>
    </cfRule>
    <cfRule type="colorScale" priority="765">
      <colorScale>
        <cfvo type="num" val="1"/>
        <cfvo type="num" val="2"/>
        <cfvo type="num" val="3"/>
        <color rgb="FFF8696B"/>
        <color rgb="FFFFEB84"/>
        <color rgb="FF63BE7B"/>
      </colorScale>
    </cfRule>
    <cfRule type="colorScale" priority="766">
      <colorScale>
        <cfvo type="num" val="1"/>
        <cfvo type="num" val="2"/>
        <cfvo type="num" val="3"/>
        <color rgb="FFF8696B"/>
        <color rgb="FFFFEB84"/>
        <color rgb="FF63BE7B"/>
      </colorScale>
    </cfRule>
    <cfRule type="colorScale" priority="767">
      <colorScale>
        <cfvo type="num" val="1"/>
        <cfvo type="num" val="2"/>
        <cfvo type="num" val="3"/>
        <color rgb="FFF8696B"/>
        <color rgb="FFFFEB84"/>
        <color rgb="FF63BE7B"/>
      </colorScale>
    </cfRule>
    <cfRule type="colorScale" priority="768">
      <colorScale>
        <cfvo type="num" val="1"/>
        <cfvo type="num" val="2"/>
        <cfvo type="num" val="3"/>
        <color rgb="FFF8696B"/>
        <color rgb="FFFFEB84"/>
        <color rgb="FF63BE7B"/>
      </colorScale>
    </cfRule>
  </conditionalFormatting>
  <conditionalFormatting sqref="O393:P393">
    <cfRule type="cellIs" dxfId="209" priority="745" operator="equal">
      <formula>5</formula>
    </cfRule>
    <cfRule type="cellIs" dxfId="208" priority="746" operator="equal">
      <formula>4</formula>
    </cfRule>
    <cfRule type="cellIs" dxfId="207" priority="747" operator="equal">
      <formula>1</formula>
    </cfRule>
    <cfRule type="cellIs" dxfId="206" priority="748" operator="equal">
      <formula>3</formula>
    </cfRule>
    <cfRule type="cellIs" dxfId="205" priority="749" operator="equal">
      <formula>2</formula>
    </cfRule>
    <cfRule type="colorScale" priority="750">
      <colorScale>
        <cfvo type="min" val="0"/>
        <cfvo type="percentile" val="50"/>
        <cfvo type="max" val="0"/>
        <color rgb="FFF8696B"/>
        <color rgb="FFFFEB84"/>
        <color rgb="FF63BE7B"/>
      </colorScale>
    </cfRule>
    <cfRule type="colorScale" priority="751">
      <colorScale>
        <cfvo type="num" val="1"/>
        <cfvo type="num" val="2"/>
        <cfvo type="num" val="3"/>
        <color rgb="FFF8696B"/>
        <color rgb="FFFFEB84"/>
        <color rgb="FF63BE7B"/>
      </colorScale>
    </cfRule>
    <cfRule type="colorScale" priority="752">
      <colorScale>
        <cfvo type="num" val="1"/>
        <cfvo type="num" val="2"/>
        <cfvo type="num" val="3"/>
        <color rgb="FFF8696B"/>
        <color rgb="FFFFEB84"/>
        <color rgb="FF63BE7B"/>
      </colorScale>
    </cfRule>
    <cfRule type="colorScale" priority="753">
      <colorScale>
        <cfvo type="num" val="1"/>
        <cfvo type="num" val="2"/>
        <cfvo type="num" val="3"/>
        <color rgb="FFF8696B"/>
        <color rgb="FFFFEB84"/>
        <color rgb="FF63BE7B"/>
      </colorScale>
    </cfRule>
    <cfRule type="colorScale" priority="754">
      <colorScale>
        <cfvo type="num" val="1"/>
        <cfvo type="num" val="2"/>
        <cfvo type="num" val="3"/>
        <color rgb="FFF8696B"/>
        <color rgb="FFFFEB84"/>
        <color rgb="FF63BE7B"/>
      </colorScale>
    </cfRule>
    <cfRule type="colorScale" priority="755">
      <colorScale>
        <cfvo type="num" val="1"/>
        <cfvo type="num" val="2"/>
        <cfvo type="num" val="3"/>
        <color rgb="FFF8696B"/>
        <color rgb="FFFFEB84"/>
        <color rgb="FF63BE7B"/>
      </colorScale>
    </cfRule>
    <cfRule type="colorScale" priority="756">
      <colorScale>
        <cfvo type="num" val="1"/>
        <cfvo type="num" val="2"/>
        <cfvo type="num" val="3"/>
        <color rgb="FFF8696B"/>
        <color rgb="FFFFEB84"/>
        <color rgb="FF63BE7B"/>
      </colorScale>
    </cfRule>
  </conditionalFormatting>
  <conditionalFormatting sqref="O387">
    <cfRule type="cellIs" dxfId="204" priority="737" operator="equal">
      <formula>5</formula>
    </cfRule>
    <cfRule type="cellIs" dxfId="203" priority="738" operator="equal">
      <formula>4</formula>
    </cfRule>
    <cfRule type="cellIs" dxfId="202" priority="739" operator="equal">
      <formula>1</formula>
    </cfRule>
    <cfRule type="cellIs" dxfId="201" priority="740" operator="equal">
      <formula>3</formula>
    </cfRule>
    <cfRule type="cellIs" dxfId="200" priority="741" operator="equal">
      <formula>2</formula>
    </cfRule>
    <cfRule type="colorScale" priority="742">
      <colorScale>
        <cfvo type="min" val="0"/>
        <cfvo type="percentile" val="50"/>
        <cfvo type="max" val="0"/>
        <color rgb="FFF8696B"/>
        <color rgb="FFFFEB84"/>
        <color rgb="FF63BE7B"/>
      </colorScale>
    </cfRule>
    <cfRule type="colorScale" priority="743">
      <colorScale>
        <cfvo type="num" val="1"/>
        <cfvo type="num" val="2"/>
        <cfvo type="num" val="3"/>
        <color rgb="FFF8696B"/>
        <color rgb="FFFFEB84"/>
        <color rgb="FF63BE7B"/>
      </colorScale>
    </cfRule>
    <cfRule type="colorScale" priority="744">
      <colorScale>
        <cfvo type="num" val="1"/>
        <cfvo type="num" val="2"/>
        <cfvo type="num" val="3"/>
        <color rgb="FFF8696B"/>
        <color rgb="FFFFEB84"/>
        <color rgb="FF63BE7B"/>
      </colorScale>
    </cfRule>
  </conditionalFormatting>
  <conditionalFormatting sqref="O391">
    <cfRule type="cellIs" dxfId="199" priority="729" operator="equal">
      <formula>5</formula>
    </cfRule>
    <cfRule type="cellIs" dxfId="198" priority="730" operator="equal">
      <formula>4</formula>
    </cfRule>
    <cfRule type="cellIs" dxfId="197" priority="731" operator="equal">
      <formula>1</formula>
    </cfRule>
    <cfRule type="cellIs" dxfId="196" priority="732" operator="equal">
      <formula>3</formula>
    </cfRule>
    <cfRule type="cellIs" dxfId="195" priority="733" operator="equal">
      <formula>2</formula>
    </cfRule>
    <cfRule type="colorScale" priority="734">
      <colorScale>
        <cfvo type="min" val="0"/>
        <cfvo type="percentile" val="50"/>
        <cfvo type="max" val="0"/>
        <color rgb="FFF8696B"/>
        <color rgb="FFFFEB84"/>
        <color rgb="FF63BE7B"/>
      </colorScale>
    </cfRule>
    <cfRule type="colorScale" priority="735">
      <colorScale>
        <cfvo type="num" val="1"/>
        <cfvo type="num" val="2"/>
        <cfvo type="num" val="3"/>
        <color rgb="FFF8696B"/>
        <color rgb="FFFFEB84"/>
        <color rgb="FF63BE7B"/>
      </colorScale>
    </cfRule>
    <cfRule type="colorScale" priority="736">
      <colorScale>
        <cfvo type="num" val="1"/>
        <cfvo type="num" val="2"/>
        <cfvo type="num" val="3"/>
        <color rgb="FFF8696B"/>
        <color rgb="FFFFEB84"/>
        <color rgb="FF63BE7B"/>
      </colorScale>
    </cfRule>
  </conditionalFormatting>
  <conditionalFormatting sqref="P389">
    <cfRule type="cellIs" dxfId="194" priority="715" operator="equal">
      <formula>5</formula>
    </cfRule>
    <cfRule type="cellIs" dxfId="193" priority="716" operator="equal">
      <formula>4</formula>
    </cfRule>
    <cfRule type="cellIs" dxfId="192" priority="717" operator="equal">
      <formula>1</formula>
    </cfRule>
    <cfRule type="cellIs" dxfId="191" priority="718" operator="equal">
      <formula>3</formula>
    </cfRule>
    <cfRule type="cellIs" dxfId="190" priority="719" operator="equal">
      <formula>2</formula>
    </cfRule>
    <cfRule type="colorScale" priority="720">
      <colorScale>
        <cfvo type="min" val="0"/>
        <cfvo type="percentile" val="50"/>
        <cfvo type="max" val="0"/>
        <color rgb="FFF8696B"/>
        <color rgb="FFFFEB84"/>
        <color rgb="FF63BE7B"/>
      </colorScale>
    </cfRule>
    <cfRule type="colorScale" priority="721">
      <colorScale>
        <cfvo type="num" val="1"/>
        <cfvo type="num" val="2"/>
        <cfvo type="num" val="3"/>
        <color rgb="FFF8696B"/>
        <color rgb="FFFFEB84"/>
        <color rgb="FF63BE7B"/>
      </colorScale>
    </cfRule>
    <cfRule type="colorScale" priority="722">
      <colorScale>
        <cfvo type="num" val="1"/>
        <cfvo type="num" val="2"/>
        <cfvo type="num" val="3"/>
        <color rgb="FFF8696B"/>
        <color rgb="FFFFEB84"/>
        <color rgb="FF63BE7B"/>
      </colorScale>
    </cfRule>
  </conditionalFormatting>
  <conditionalFormatting sqref="Q391">
    <cfRule type="cellIs" dxfId="189" priority="701" operator="equal">
      <formula>5</formula>
    </cfRule>
    <cfRule type="cellIs" dxfId="188" priority="702" operator="equal">
      <formula>4</formula>
    </cfRule>
    <cfRule type="cellIs" dxfId="187" priority="703" operator="equal">
      <formula>1</formula>
    </cfRule>
    <cfRule type="cellIs" dxfId="186" priority="704" operator="equal">
      <formula>3</formula>
    </cfRule>
    <cfRule type="cellIs" dxfId="185" priority="705" operator="equal">
      <formula>2</formula>
    </cfRule>
    <cfRule type="colorScale" priority="706">
      <colorScale>
        <cfvo type="min" val="0"/>
        <cfvo type="percentile" val="50"/>
        <cfvo type="max" val="0"/>
        <color rgb="FFF8696B"/>
        <color rgb="FFFFEB84"/>
        <color rgb="FF63BE7B"/>
      </colorScale>
    </cfRule>
    <cfRule type="colorScale" priority="707">
      <colorScale>
        <cfvo type="num" val="1"/>
        <cfvo type="num" val="2"/>
        <cfvo type="num" val="3"/>
        <color rgb="FFF8696B"/>
        <color rgb="FFFFEB84"/>
        <color rgb="FF63BE7B"/>
      </colorScale>
    </cfRule>
    <cfRule type="colorScale" priority="708">
      <colorScale>
        <cfvo type="num" val="1"/>
        <cfvo type="num" val="2"/>
        <cfvo type="num" val="3"/>
        <color rgb="FFF8696B"/>
        <color rgb="FFFFEB84"/>
        <color rgb="FF63BE7B"/>
      </colorScale>
    </cfRule>
  </conditionalFormatting>
  <conditionalFormatting sqref="S389">
    <cfRule type="cellIs" dxfId="184" priority="640" operator="equal">
      <formula>5</formula>
    </cfRule>
    <cfRule type="cellIs" dxfId="183" priority="641" operator="equal">
      <formula>4</formula>
    </cfRule>
    <cfRule type="cellIs" dxfId="182" priority="642" operator="equal">
      <formula>1</formula>
    </cfRule>
    <cfRule type="cellIs" dxfId="181" priority="643" operator="equal">
      <formula>3</formula>
    </cfRule>
    <cfRule type="cellIs" dxfId="180" priority="644" operator="equal">
      <formula>2</formula>
    </cfRule>
    <cfRule type="colorScale" priority="645">
      <colorScale>
        <cfvo type="min" val="0"/>
        <cfvo type="percentile" val="50"/>
        <cfvo type="max" val="0"/>
        <color rgb="FFF8696B"/>
        <color rgb="FFFFEB84"/>
        <color rgb="FF63BE7B"/>
      </colorScale>
    </cfRule>
    <cfRule type="colorScale" priority="646">
      <colorScale>
        <cfvo type="num" val="1"/>
        <cfvo type="num" val="2"/>
        <cfvo type="num" val="3"/>
        <color rgb="FFF8696B"/>
        <color rgb="FFFFEB84"/>
        <color rgb="FF63BE7B"/>
      </colorScale>
    </cfRule>
    <cfRule type="colorScale" priority="647">
      <colorScale>
        <cfvo type="num" val="1"/>
        <cfvo type="num" val="2"/>
        <cfvo type="num" val="3"/>
        <color rgb="FFF8696B"/>
        <color rgb="FFFFEB84"/>
        <color rgb="FF63BE7B"/>
      </colorScale>
    </cfRule>
  </conditionalFormatting>
  <conditionalFormatting sqref="S391:U391">
    <cfRule type="cellIs" dxfId="179" priority="628" operator="equal">
      <formula>5</formula>
    </cfRule>
    <cfRule type="cellIs" dxfId="178" priority="629" operator="equal">
      <formula>4</formula>
    </cfRule>
    <cfRule type="cellIs" dxfId="177" priority="630" operator="equal">
      <formula>1</formula>
    </cfRule>
    <cfRule type="cellIs" dxfId="176" priority="631" operator="equal">
      <formula>3</formula>
    </cfRule>
    <cfRule type="cellIs" dxfId="175" priority="632" operator="equal">
      <formula>2</formula>
    </cfRule>
    <cfRule type="colorScale" priority="633">
      <colorScale>
        <cfvo type="min" val="0"/>
        <cfvo type="percentile" val="50"/>
        <cfvo type="max" val="0"/>
        <color rgb="FFF8696B"/>
        <color rgb="FFFFEB84"/>
        <color rgb="FF63BE7B"/>
      </colorScale>
    </cfRule>
    <cfRule type="colorScale" priority="634">
      <colorScale>
        <cfvo type="num" val="1"/>
        <cfvo type="num" val="2"/>
        <cfvo type="num" val="3"/>
        <color rgb="FFF8696B"/>
        <color rgb="FFFFEB84"/>
        <color rgb="FF63BE7B"/>
      </colorScale>
    </cfRule>
    <cfRule type="colorScale" priority="635">
      <colorScale>
        <cfvo type="num" val="1"/>
        <cfvo type="num" val="2"/>
        <cfvo type="num" val="3"/>
        <color rgb="FFF8696B"/>
        <color rgb="FFFFEB84"/>
        <color rgb="FF63BE7B"/>
      </colorScale>
    </cfRule>
    <cfRule type="colorScale" priority="636">
      <colorScale>
        <cfvo type="num" val="1"/>
        <cfvo type="num" val="2"/>
        <cfvo type="num" val="3"/>
        <color rgb="FFF8696B"/>
        <color rgb="FFFFEB84"/>
        <color rgb="FF63BE7B"/>
      </colorScale>
    </cfRule>
    <cfRule type="colorScale" priority="637">
      <colorScale>
        <cfvo type="num" val="1"/>
        <cfvo type="num" val="2"/>
        <cfvo type="num" val="3"/>
        <color rgb="FFF8696B"/>
        <color rgb="FFFFEB84"/>
        <color rgb="FF63BE7B"/>
      </colorScale>
    </cfRule>
    <cfRule type="colorScale" priority="638">
      <colorScale>
        <cfvo type="num" val="1"/>
        <cfvo type="num" val="2"/>
        <cfvo type="num" val="3"/>
        <color rgb="FFF8696B"/>
        <color rgb="FFFFEB84"/>
        <color rgb="FF63BE7B"/>
      </colorScale>
    </cfRule>
    <cfRule type="colorScale" priority="639">
      <colorScale>
        <cfvo type="num" val="1"/>
        <cfvo type="num" val="2"/>
        <cfvo type="num" val="3"/>
        <color rgb="FFF8696B"/>
        <color rgb="FFFFEB84"/>
        <color rgb="FF63BE7B"/>
      </colorScale>
    </cfRule>
  </conditionalFormatting>
  <conditionalFormatting sqref="S393:U393">
    <cfRule type="cellIs" dxfId="174" priority="616" operator="equal">
      <formula>5</formula>
    </cfRule>
    <cfRule type="cellIs" dxfId="173" priority="617" operator="equal">
      <formula>4</formula>
    </cfRule>
    <cfRule type="cellIs" dxfId="172" priority="618" operator="equal">
      <formula>1</formula>
    </cfRule>
    <cfRule type="cellIs" dxfId="171" priority="619" operator="equal">
      <formula>3</formula>
    </cfRule>
    <cfRule type="cellIs" dxfId="170" priority="620" operator="equal">
      <formula>2</formula>
    </cfRule>
    <cfRule type="colorScale" priority="621">
      <colorScale>
        <cfvo type="min" val="0"/>
        <cfvo type="percentile" val="50"/>
        <cfvo type="max" val="0"/>
        <color rgb="FFF8696B"/>
        <color rgb="FFFFEB84"/>
        <color rgb="FF63BE7B"/>
      </colorScale>
    </cfRule>
    <cfRule type="colorScale" priority="622">
      <colorScale>
        <cfvo type="num" val="1"/>
        <cfvo type="num" val="2"/>
        <cfvo type="num" val="3"/>
        <color rgb="FFF8696B"/>
        <color rgb="FFFFEB84"/>
        <color rgb="FF63BE7B"/>
      </colorScale>
    </cfRule>
    <cfRule type="colorScale" priority="623">
      <colorScale>
        <cfvo type="num" val="1"/>
        <cfvo type="num" val="2"/>
        <cfvo type="num" val="3"/>
        <color rgb="FFF8696B"/>
        <color rgb="FFFFEB84"/>
        <color rgb="FF63BE7B"/>
      </colorScale>
    </cfRule>
    <cfRule type="colorScale" priority="624">
      <colorScale>
        <cfvo type="num" val="1"/>
        <cfvo type="num" val="2"/>
        <cfvo type="num" val="3"/>
        <color rgb="FFF8696B"/>
        <color rgb="FFFFEB84"/>
        <color rgb="FF63BE7B"/>
      </colorScale>
    </cfRule>
    <cfRule type="colorScale" priority="625">
      <colorScale>
        <cfvo type="num" val="1"/>
        <cfvo type="num" val="2"/>
        <cfvo type="num" val="3"/>
        <color rgb="FFF8696B"/>
        <color rgb="FFFFEB84"/>
        <color rgb="FF63BE7B"/>
      </colorScale>
    </cfRule>
    <cfRule type="colorScale" priority="626">
      <colorScale>
        <cfvo type="num" val="1"/>
        <cfvo type="num" val="2"/>
        <cfvo type="num" val="3"/>
        <color rgb="FFF8696B"/>
        <color rgb="FFFFEB84"/>
        <color rgb="FF63BE7B"/>
      </colorScale>
    </cfRule>
    <cfRule type="colorScale" priority="627">
      <colorScale>
        <cfvo type="num" val="1"/>
        <cfvo type="num" val="2"/>
        <cfvo type="num" val="3"/>
        <color rgb="FFF8696B"/>
        <color rgb="FFFFEB84"/>
        <color rgb="FF63BE7B"/>
      </colorScale>
    </cfRule>
  </conditionalFormatting>
  <conditionalFormatting sqref="S391:T391">
    <cfRule type="cellIs" dxfId="169" priority="604" operator="equal">
      <formula>5</formula>
    </cfRule>
    <cfRule type="cellIs" dxfId="168" priority="605" operator="equal">
      <formula>4</formula>
    </cfRule>
    <cfRule type="cellIs" dxfId="167" priority="606" operator="equal">
      <formula>1</formula>
    </cfRule>
    <cfRule type="cellIs" dxfId="166" priority="607" operator="equal">
      <formula>3</formula>
    </cfRule>
    <cfRule type="cellIs" dxfId="165" priority="608" operator="equal">
      <formula>2</formula>
    </cfRule>
    <cfRule type="colorScale" priority="609">
      <colorScale>
        <cfvo type="min" val="0"/>
        <cfvo type="percentile" val="50"/>
        <cfvo type="max" val="0"/>
        <color rgb="FFF8696B"/>
        <color rgb="FFFFEB84"/>
        <color rgb="FF63BE7B"/>
      </colorScale>
    </cfRule>
    <cfRule type="colorScale" priority="610">
      <colorScale>
        <cfvo type="num" val="1"/>
        <cfvo type="num" val="2"/>
        <cfvo type="num" val="3"/>
        <color rgb="FFF8696B"/>
        <color rgb="FFFFEB84"/>
        <color rgb="FF63BE7B"/>
      </colorScale>
    </cfRule>
    <cfRule type="colorScale" priority="611">
      <colorScale>
        <cfvo type="num" val="1"/>
        <cfvo type="num" val="2"/>
        <cfvo type="num" val="3"/>
        <color rgb="FFF8696B"/>
        <color rgb="FFFFEB84"/>
        <color rgb="FF63BE7B"/>
      </colorScale>
    </cfRule>
    <cfRule type="colorScale" priority="612">
      <colorScale>
        <cfvo type="num" val="1"/>
        <cfvo type="num" val="2"/>
        <cfvo type="num" val="3"/>
        <color rgb="FFF8696B"/>
        <color rgb="FFFFEB84"/>
        <color rgb="FF63BE7B"/>
      </colorScale>
    </cfRule>
    <cfRule type="colorScale" priority="613">
      <colorScale>
        <cfvo type="num" val="1"/>
        <cfvo type="num" val="2"/>
        <cfvo type="num" val="3"/>
        <color rgb="FFF8696B"/>
        <color rgb="FFFFEB84"/>
        <color rgb="FF63BE7B"/>
      </colorScale>
    </cfRule>
    <cfRule type="colorScale" priority="614">
      <colorScale>
        <cfvo type="num" val="1"/>
        <cfvo type="num" val="2"/>
        <cfvo type="num" val="3"/>
        <color rgb="FFF8696B"/>
        <color rgb="FFFFEB84"/>
        <color rgb="FF63BE7B"/>
      </colorScale>
    </cfRule>
    <cfRule type="colorScale" priority="615">
      <colorScale>
        <cfvo type="num" val="1"/>
        <cfvo type="num" val="2"/>
        <cfvo type="num" val="3"/>
        <color rgb="FFF8696B"/>
        <color rgb="FFFFEB84"/>
        <color rgb="FF63BE7B"/>
      </colorScale>
    </cfRule>
  </conditionalFormatting>
  <conditionalFormatting sqref="S393:T393">
    <cfRule type="cellIs" dxfId="164" priority="592" operator="equal">
      <formula>5</formula>
    </cfRule>
    <cfRule type="cellIs" dxfId="163" priority="593" operator="equal">
      <formula>4</formula>
    </cfRule>
    <cfRule type="cellIs" dxfId="162" priority="594" operator="equal">
      <formula>1</formula>
    </cfRule>
    <cfRule type="cellIs" dxfId="161" priority="595" operator="equal">
      <formula>3</formula>
    </cfRule>
    <cfRule type="cellIs" dxfId="160" priority="596" operator="equal">
      <formula>2</formula>
    </cfRule>
    <cfRule type="colorScale" priority="597">
      <colorScale>
        <cfvo type="min" val="0"/>
        <cfvo type="percentile" val="50"/>
        <cfvo type="max" val="0"/>
        <color rgb="FFF8696B"/>
        <color rgb="FFFFEB84"/>
        <color rgb="FF63BE7B"/>
      </colorScale>
    </cfRule>
    <cfRule type="colorScale" priority="598">
      <colorScale>
        <cfvo type="num" val="1"/>
        <cfvo type="num" val="2"/>
        <cfvo type="num" val="3"/>
        <color rgb="FFF8696B"/>
        <color rgb="FFFFEB84"/>
        <color rgb="FF63BE7B"/>
      </colorScale>
    </cfRule>
    <cfRule type="colorScale" priority="599">
      <colorScale>
        <cfvo type="num" val="1"/>
        <cfvo type="num" val="2"/>
        <cfvo type="num" val="3"/>
        <color rgb="FFF8696B"/>
        <color rgb="FFFFEB84"/>
        <color rgb="FF63BE7B"/>
      </colorScale>
    </cfRule>
    <cfRule type="colorScale" priority="600">
      <colorScale>
        <cfvo type="num" val="1"/>
        <cfvo type="num" val="2"/>
        <cfvo type="num" val="3"/>
        <color rgb="FFF8696B"/>
        <color rgb="FFFFEB84"/>
        <color rgb="FF63BE7B"/>
      </colorScale>
    </cfRule>
    <cfRule type="colorScale" priority="601">
      <colorScale>
        <cfvo type="num" val="1"/>
        <cfvo type="num" val="2"/>
        <cfvo type="num" val="3"/>
        <color rgb="FFF8696B"/>
        <color rgb="FFFFEB84"/>
        <color rgb="FF63BE7B"/>
      </colorScale>
    </cfRule>
    <cfRule type="colorScale" priority="602">
      <colorScale>
        <cfvo type="num" val="1"/>
        <cfvo type="num" val="2"/>
        <cfvo type="num" val="3"/>
        <color rgb="FFF8696B"/>
        <color rgb="FFFFEB84"/>
        <color rgb="FF63BE7B"/>
      </colorScale>
    </cfRule>
    <cfRule type="colorScale" priority="603">
      <colorScale>
        <cfvo type="num" val="1"/>
        <cfvo type="num" val="2"/>
        <cfvo type="num" val="3"/>
        <color rgb="FFF8696B"/>
        <color rgb="FFFFEB84"/>
        <color rgb="FF63BE7B"/>
      </colorScale>
    </cfRule>
  </conditionalFormatting>
  <conditionalFormatting sqref="S387">
    <cfRule type="cellIs" dxfId="159" priority="584" operator="equal">
      <formula>5</formula>
    </cfRule>
    <cfRule type="cellIs" dxfId="158" priority="585" operator="equal">
      <formula>4</formula>
    </cfRule>
    <cfRule type="cellIs" dxfId="157" priority="586" operator="equal">
      <formula>1</formula>
    </cfRule>
    <cfRule type="cellIs" dxfId="156" priority="587" operator="equal">
      <formula>3</formula>
    </cfRule>
    <cfRule type="cellIs" dxfId="155" priority="588" operator="equal">
      <formula>2</formula>
    </cfRule>
    <cfRule type="colorScale" priority="589">
      <colorScale>
        <cfvo type="min" val="0"/>
        <cfvo type="percentile" val="50"/>
        <cfvo type="max" val="0"/>
        <color rgb="FFF8696B"/>
        <color rgb="FFFFEB84"/>
        <color rgb="FF63BE7B"/>
      </colorScale>
    </cfRule>
    <cfRule type="colorScale" priority="590">
      <colorScale>
        <cfvo type="num" val="1"/>
        <cfvo type="num" val="2"/>
        <cfvo type="num" val="3"/>
        <color rgb="FFF8696B"/>
        <color rgb="FFFFEB84"/>
        <color rgb="FF63BE7B"/>
      </colorScale>
    </cfRule>
    <cfRule type="colorScale" priority="591">
      <colorScale>
        <cfvo type="num" val="1"/>
        <cfvo type="num" val="2"/>
        <cfvo type="num" val="3"/>
        <color rgb="FFF8696B"/>
        <color rgb="FFFFEB84"/>
        <color rgb="FF63BE7B"/>
      </colorScale>
    </cfRule>
  </conditionalFormatting>
  <conditionalFormatting sqref="S391">
    <cfRule type="cellIs" dxfId="154" priority="576" operator="equal">
      <formula>5</formula>
    </cfRule>
    <cfRule type="cellIs" dxfId="153" priority="577" operator="equal">
      <formula>4</formula>
    </cfRule>
    <cfRule type="cellIs" dxfId="152" priority="578" operator="equal">
      <formula>1</formula>
    </cfRule>
    <cfRule type="cellIs" dxfId="151" priority="579" operator="equal">
      <formula>3</formula>
    </cfRule>
    <cfRule type="cellIs" dxfId="150" priority="580" operator="equal">
      <formula>2</formula>
    </cfRule>
    <cfRule type="colorScale" priority="581">
      <colorScale>
        <cfvo type="min" val="0"/>
        <cfvo type="percentile" val="50"/>
        <cfvo type="max" val="0"/>
        <color rgb="FFF8696B"/>
        <color rgb="FFFFEB84"/>
        <color rgb="FF63BE7B"/>
      </colorScale>
    </cfRule>
    <cfRule type="colorScale" priority="582">
      <colorScale>
        <cfvo type="num" val="1"/>
        <cfvo type="num" val="2"/>
        <cfvo type="num" val="3"/>
        <color rgb="FFF8696B"/>
        <color rgb="FFFFEB84"/>
        <color rgb="FF63BE7B"/>
      </colorScale>
    </cfRule>
    <cfRule type="colorScale" priority="583">
      <colorScale>
        <cfvo type="num" val="1"/>
        <cfvo type="num" val="2"/>
        <cfvo type="num" val="3"/>
        <color rgb="FFF8696B"/>
        <color rgb="FFFFEB84"/>
        <color rgb="FF63BE7B"/>
      </colorScale>
    </cfRule>
  </conditionalFormatting>
  <conditionalFormatting sqref="T389">
    <cfRule type="cellIs" dxfId="149" priority="562" operator="equal">
      <formula>5</formula>
    </cfRule>
    <cfRule type="cellIs" dxfId="148" priority="563" operator="equal">
      <formula>4</formula>
    </cfRule>
    <cfRule type="cellIs" dxfId="147" priority="564" operator="equal">
      <formula>1</formula>
    </cfRule>
    <cfRule type="cellIs" dxfId="146" priority="565" operator="equal">
      <formula>3</formula>
    </cfRule>
    <cfRule type="cellIs" dxfId="145" priority="566" operator="equal">
      <formula>2</formula>
    </cfRule>
    <cfRule type="colorScale" priority="567">
      <colorScale>
        <cfvo type="min" val="0"/>
        <cfvo type="percentile" val="50"/>
        <cfvo type="max" val="0"/>
        <color rgb="FFF8696B"/>
        <color rgb="FFFFEB84"/>
        <color rgb="FF63BE7B"/>
      </colorScale>
    </cfRule>
    <cfRule type="colorScale" priority="568">
      <colorScale>
        <cfvo type="num" val="1"/>
        <cfvo type="num" val="2"/>
        <cfvo type="num" val="3"/>
        <color rgb="FFF8696B"/>
        <color rgb="FFFFEB84"/>
        <color rgb="FF63BE7B"/>
      </colorScale>
    </cfRule>
    <cfRule type="colorScale" priority="569">
      <colorScale>
        <cfvo type="num" val="1"/>
        <cfvo type="num" val="2"/>
        <cfvo type="num" val="3"/>
        <color rgb="FFF8696B"/>
        <color rgb="FFFFEB84"/>
        <color rgb="FF63BE7B"/>
      </colorScale>
    </cfRule>
  </conditionalFormatting>
  <conditionalFormatting sqref="U393">
    <cfRule type="cellIs" dxfId="144" priority="536" operator="equal">
      <formula>5</formula>
    </cfRule>
    <cfRule type="cellIs" dxfId="143" priority="537" operator="equal">
      <formula>4</formula>
    </cfRule>
    <cfRule type="cellIs" dxfId="142" priority="538" operator="equal">
      <formula>1</formula>
    </cfRule>
    <cfRule type="cellIs" dxfId="141" priority="539" operator="equal">
      <formula>3</formula>
    </cfRule>
    <cfRule type="cellIs" dxfId="140" priority="540" operator="equal">
      <formula>2</formula>
    </cfRule>
    <cfRule type="colorScale" priority="541">
      <colorScale>
        <cfvo type="min" val="0"/>
        <cfvo type="percentile" val="50"/>
        <cfvo type="max" val="0"/>
        <color rgb="FFF8696B"/>
        <color rgb="FFFFEB84"/>
        <color rgb="FF63BE7B"/>
      </colorScale>
    </cfRule>
    <cfRule type="colorScale" priority="542">
      <colorScale>
        <cfvo type="num" val="1"/>
        <cfvo type="num" val="2"/>
        <cfvo type="num" val="3"/>
        <color rgb="FFF8696B"/>
        <color rgb="FFFFEB84"/>
        <color rgb="FF63BE7B"/>
      </colorScale>
    </cfRule>
    <cfRule type="colorScale" priority="543">
      <colorScale>
        <cfvo type="num" val="1"/>
        <cfvo type="num" val="2"/>
        <cfvo type="num" val="3"/>
        <color rgb="FFF8696B"/>
        <color rgb="FFFFEB84"/>
        <color rgb="FF63BE7B"/>
      </colorScale>
    </cfRule>
    <cfRule type="colorScale" priority="544">
      <colorScale>
        <cfvo type="num" val="1"/>
        <cfvo type="num" val="2"/>
        <cfvo type="num" val="3"/>
        <color rgb="FFF8696B"/>
        <color rgb="FFFFEB84"/>
        <color rgb="FF63BE7B"/>
      </colorScale>
    </cfRule>
    <cfRule type="colorScale" priority="545">
      <colorScale>
        <cfvo type="num" val="1"/>
        <cfvo type="num" val="2"/>
        <cfvo type="num" val="3"/>
        <color rgb="FFF8696B"/>
        <color rgb="FFFFEB84"/>
        <color rgb="FF63BE7B"/>
      </colorScale>
    </cfRule>
    <cfRule type="colorScale" priority="546">
      <colorScale>
        <cfvo type="num" val="1"/>
        <cfvo type="num" val="2"/>
        <cfvo type="num" val="3"/>
        <color rgb="FFF8696B"/>
        <color rgb="FFFFEB84"/>
        <color rgb="FF63BE7B"/>
      </colorScale>
    </cfRule>
    <cfRule type="colorScale" priority="547">
      <colorScale>
        <cfvo type="num" val="1"/>
        <cfvo type="num" val="2"/>
        <cfvo type="num" val="3"/>
        <color rgb="FFF8696B"/>
        <color rgb="FFFFEB84"/>
        <color rgb="FF63BE7B"/>
      </colorScale>
    </cfRule>
  </conditionalFormatting>
  <conditionalFormatting sqref="W389">
    <cfRule type="cellIs" dxfId="139" priority="493" operator="equal">
      <formula>5</formula>
    </cfRule>
    <cfRule type="cellIs" dxfId="138" priority="494" operator="equal">
      <formula>4</formula>
    </cfRule>
    <cfRule type="cellIs" dxfId="137" priority="495" operator="equal">
      <formula>1</formula>
    </cfRule>
    <cfRule type="cellIs" dxfId="136" priority="496" operator="equal">
      <formula>3</formula>
    </cfRule>
    <cfRule type="cellIs" dxfId="135" priority="497" operator="equal">
      <formula>2</formula>
    </cfRule>
    <cfRule type="colorScale" priority="498">
      <colorScale>
        <cfvo type="min" val="0"/>
        <cfvo type="percentile" val="50"/>
        <cfvo type="max" val="0"/>
        <color rgb="FFF8696B"/>
        <color rgb="FFFFEB84"/>
        <color rgb="FF63BE7B"/>
      </colorScale>
    </cfRule>
    <cfRule type="colorScale" priority="499">
      <colorScale>
        <cfvo type="num" val="1"/>
        <cfvo type="num" val="2"/>
        <cfvo type="num" val="3"/>
        <color rgb="FFF8696B"/>
        <color rgb="FFFFEB84"/>
        <color rgb="FF63BE7B"/>
      </colorScale>
    </cfRule>
    <cfRule type="colorScale" priority="500">
      <colorScale>
        <cfvo type="num" val="1"/>
        <cfvo type="num" val="2"/>
        <cfvo type="num" val="3"/>
        <color rgb="FFF8696B"/>
        <color rgb="FFFFEB84"/>
        <color rgb="FF63BE7B"/>
      </colorScale>
    </cfRule>
  </conditionalFormatting>
  <conditionalFormatting sqref="W391:Y391">
    <cfRule type="cellIs" dxfId="134" priority="481" operator="equal">
      <formula>5</formula>
    </cfRule>
    <cfRule type="cellIs" dxfId="133" priority="482" operator="equal">
      <formula>4</formula>
    </cfRule>
    <cfRule type="cellIs" dxfId="132" priority="483" operator="equal">
      <formula>1</formula>
    </cfRule>
    <cfRule type="cellIs" dxfId="131" priority="484" operator="equal">
      <formula>3</formula>
    </cfRule>
    <cfRule type="cellIs" dxfId="130" priority="485" operator="equal">
      <formula>2</formula>
    </cfRule>
    <cfRule type="colorScale" priority="486">
      <colorScale>
        <cfvo type="min" val="0"/>
        <cfvo type="percentile" val="50"/>
        <cfvo type="max" val="0"/>
        <color rgb="FFF8696B"/>
        <color rgb="FFFFEB84"/>
        <color rgb="FF63BE7B"/>
      </colorScale>
    </cfRule>
    <cfRule type="colorScale" priority="487">
      <colorScale>
        <cfvo type="num" val="1"/>
        <cfvo type="num" val="2"/>
        <cfvo type="num" val="3"/>
        <color rgb="FFF8696B"/>
        <color rgb="FFFFEB84"/>
        <color rgb="FF63BE7B"/>
      </colorScale>
    </cfRule>
    <cfRule type="colorScale" priority="488">
      <colorScale>
        <cfvo type="num" val="1"/>
        <cfvo type="num" val="2"/>
        <cfvo type="num" val="3"/>
        <color rgb="FFF8696B"/>
        <color rgb="FFFFEB84"/>
        <color rgb="FF63BE7B"/>
      </colorScale>
    </cfRule>
    <cfRule type="colorScale" priority="489">
      <colorScale>
        <cfvo type="num" val="1"/>
        <cfvo type="num" val="2"/>
        <cfvo type="num" val="3"/>
        <color rgb="FFF8696B"/>
        <color rgb="FFFFEB84"/>
        <color rgb="FF63BE7B"/>
      </colorScale>
    </cfRule>
    <cfRule type="colorScale" priority="490">
      <colorScale>
        <cfvo type="num" val="1"/>
        <cfvo type="num" val="2"/>
        <cfvo type="num" val="3"/>
        <color rgb="FFF8696B"/>
        <color rgb="FFFFEB84"/>
        <color rgb="FF63BE7B"/>
      </colorScale>
    </cfRule>
    <cfRule type="colorScale" priority="491">
      <colorScale>
        <cfvo type="num" val="1"/>
        <cfvo type="num" val="2"/>
        <cfvo type="num" val="3"/>
        <color rgb="FFF8696B"/>
        <color rgb="FFFFEB84"/>
        <color rgb="FF63BE7B"/>
      </colorScale>
    </cfRule>
    <cfRule type="colorScale" priority="492">
      <colorScale>
        <cfvo type="num" val="1"/>
        <cfvo type="num" val="2"/>
        <cfvo type="num" val="3"/>
        <color rgb="FFF8696B"/>
        <color rgb="FFFFEB84"/>
        <color rgb="FF63BE7B"/>
      </colorScale>
    </cfRule>
  </conditionalFormatting>
  <conditionalFormatting sqref="W393:Y393">
    <cfRule type="cellIs" dxfId="129" priority="469" operator="equal">
      <formula>5</formula>
    </cfRule>
    <cfRule type="cellIs" dxfId="128" priority="470" operator="equal">
      <formula>4</formula>
    </cfRule>
    <cfRule type="cellIs" dxfId="127" priority="471" operator="equal">
      <formula>1</formula>
    </cfRule>
    <cfRule type="cellIs" dxfId="126" priority="472" operator="equal">
      <formula>3</formula>
    </cfRule>
    <cfRule type="cellIs" dxfId="125" priority="473" operator="equal">
      <formula>2</formula>
    </cfRule>
    <cfRule type="colorScale" priority="474">
      <colorScale>
        <cfvo type="min" val="0"/>
        <cfvo type="percentile" val="50"/>
        <cfvo type="max" val="0"/>
        <color rgb="FFF8696B"/>
        <color rgb="FFFFEB84"/>
        <color rgb="FF63BE7B"/>
      </colorScale>
    </cfRule>
    <cfRule type="colorScale" priority="475">
      <colorScale>
        <cfvo type="num" val="1"/>
        <cfvo type="num" val="2"/>
        <cfvo type="num" val="3"/>
        <color rgb="FFF8696B"/>
        <color rgb="FFFFEB84"/>
        <color rgb="FF63BE7B"/>
      </colorScale>
    </cfRule>
    <cfRule type="colorScale" priority="476">
      <colorScale>
        <cfvo type="num" val="1"/>
        <cfvo type="num" val="2"/>
        <cfvo type="num" val="3"/>
        <color rgb="FFF8696B"/>
        <color rgb="FFFFEB84"/>
        <color rgb="FF63BE7B"/>
      </colorScale>
    </cfRule>
    <cfRule type="colorScale" priority="477">
      <colorScale>
        <cfvo type="num" val="1"/>
        <cfvo type="num" val="2"/>
        <cfvo type="num" val="3"/>
        <color rgb="FFF8696B"/>
        <color rgb="FFFFEB84"/>
        <color rgb="FF63BE7B"/>
      </colorScale>
    </cfRule>
    <cfRule type="colorScale" priority="478">
      <colorScale>
        <cfvo type="num" val="1"/>
        <cfvo type="num" val="2"/>
        <cfvo type="num" val="3"/>
        <color rgb="FFF8696B"/>
        <color rgb="FFFFEB84"/>
        <color rgb="FF63BE7B"/>
      </colorScale>
    </cfRule>
    <cfRule type="colorScale" priority="479">
      <colorScale>
        <cfvo type="num" val="1"/>
        <cfvo type="num" val="2"/>
        <cfvo type="num" val="3"/>
        <color rgb="FFF8696B"/>
        <color rgb="FFFFEB84"/>
        <color rgb="FF63BE7B"/>
      </colorScale>
    </cfRule>
    <cfRule type="colorScale" priority="480">
      <colorScale>
        <cfvo type="num" val="1"/>
        <cfvo type="num" val="2"/>
        <cfvo type="num" val="3"/>
        <color rgb="FFF8696B"/>
        <color rgb="FFFFEB84"/>
        <color rgb="FF63BE7B"/>
      </colorScale>
    </cfRule>
  </conditionalFormatting>
  <conditionalFormatting sqref="W391:X391">
    <cfRule type="cellIs" dxfId="124" priority="457" operator="equal">
      <formula>5</formula>
    </cfRule>
    <cfRule type="cellIs" dxfId="123" priority="458" operator="equal">
      <formula>4</formula>
    </cfRule>
    <cfRule type="cellIs" dxfId="122" priority="459" operator="equal">
      <formula>1</formula>
    </cfRule>
    <cfRule type="cellIs" dxfId="121" priority="460" operator="equal">
      <formula>3</formula>
    </cfRule>
    <cfRule type="cellIs" dxfId="120" priority="461" operator="equal">
      <formula>2</formula>
    </cfRule>
    <cfRule type="colorScale" priority="462">
      <colorScale>
        <cfvo type="min" val="0"/>
        <cfvo type="percentile" val="50"/>
        <cfvo type="max" val="0"/>
        <color rgb="FFF8696B"/>
        <color rgb="FFFFEB84"/>
        <color rgb="FF63BE7B"/>
      </colorScale>
    </cfRule>
    <cfRule type="colorScale" priority="463">
      <colorScale>
        <cfvo type="num" val="1"/>
        <cfvo type="num" val="2"/>
        <cfvo type="num" val="3"/>
        <color rgb="FFF8696B"/>
        <color rgb="FFFFEB84"/>
        <color rgb="FF63BE7B"/>
      </colorScale>
    </cfRule>
    <cfRule type="colorScale" priority="464">
      <colorScale>
        <cfvo type="num" val="1"/>
        <cfvo type="num" val="2"/>
        <cfvo type="num" val="3"/>
        <color rgb="FFF8696B"/>
        <color rgb="FFFFEB84"/>
        <color rgb="FF63BE7B"/>
      </colorScale>
    </cfRule>
    <cfRule type="colorScale" priority="465">
      <colorScale>
        <cfvo type="num" val="1"/>
        <cfvo type="num" val="2"/>
        <cfvo type="num" val="3"/>
        <color rgb="FFF8696B"/>
        <color rgb="FFFFEB84"/>
        <color rgb="FF63BE7B"/>
      </colorScale>
    </cfRule>
    <cfRule type="colorScale" priority="466">
      <colorScale>
        <cfvo type="num" val="1"/>
        <cfvo type="num" val="2"/>
        <cfvo type="num" val="3"/>
        <color rgb="FFF8696B"/>
        <color rgb="FFFFEB84"/>
        <color rgb="FF63BE7B"/>
      </colorScale>
    </cfRule>
    <cfRule type="colorScale" priority="467">
      <colorScale>
        <cfvo type="num" val="1"/>
        <cfvo type="num" val="2"/>
        <cfvo type="num" val="3"/>
        <color rgb="FFF8696B"/>
        <color rgb="FFFFEB84"/>
        <color rgb="FF63BE7B"/>
      </colorScale>
    </cfRule>
    <cfRule type="colorScale" priority="468">
      <colorScale>
        <cfvo type="num" val="1"/>
        <cfvo type="num" val="2"/>
        <cfvo type="num" val="3"/>
        <color rgb="FFF8696B"/>
        <color rgb="FFFFEB84"/>
        <color rgb="FF63BE7B"/>
      </colorScale>
    </cfRule>
  </conditionalFormatting>
  <conditionalFormatting sqref="W393:X393">
    <cfRule type="cellIs" dxfId="119" priority="445" operator="equal">
      <formula>5</formula>
    </cfRule>
    <cfRule type="cellIs" dxfId="118" priority="446" operator="equal">
      <formula>4</formula>
    </cfRule>
    <cfRule type="cellIs" dxfId="117" priority="447" operator="equal">
      <formula>1</formula>
    </cfRule>
    <cfRule type="cellIs" dxfId="116" priority="448" operator="equal">
      <formula>3</formula>
    </cfRule>
    <cfRule type="cellIs" dxfId="115" priority="449" operator="equal">
      <formula>2</formula>
    </cfRule>
    <cfRule type="colorScale" priority="450">
      <colorScale>
        <cfvo type="min" val="0"/>
        <cfvo type="percentile" val="50"/>
        <cfvo type="max" val="0"/>
        <color rgb="FFF8696B"/>
        <color rgb="FFFFEB84"/>
        <color rgb="FF63BE7B"/>
      </colorScale>
    </cfRule>
    <cfRule type="colorScale" priority="451">
      <colorScale>
        <cfvo type="num" val="1"/>
        <cfvo type="num" val="2"/>
        <cfvo type="num" val="3"/>
        <color rgb="FFF8696B"/>
        <color rgb="FFFFEB84"/>
        <color rgb="FF63BE7B"/>
      </colorScale>
    </cfRule>
    <cfRule type="colorScale" priority="452">
      <colorScale>
        <cfvo type="num" val="1"/>
        <cfvo type="num" val="2"/>
        <cfvo type="num" val="3"/>
        <color rgb="FFF8696B"/>
        <color rgb="FFFFEB84"/>
        <color rgb="FF63BE7B"/>
      </colorScale>
    </cfRule>
    <cfRule type="colorScale" priority="453">
      <colorScale>
        <cfvo type="num" val="1"/>
        <cfvo type="num" val="2"/>
        <cfvo type="num" val="3"/>
        <color rgb="FFF8696B"/>
        <color rgb="FFFFEB84"/>
        <color rgb="FF63BE7B"/>
      </colorScale>
    </cfRule>
    <cfRule type="colorScale" priority="454">
      <colorScale>
        <cfvo type="num" val="1"/>
        <cfvo type="num" val="2"/>
        <cfvo type="num" val="3"/>
        <color rgb="FFF8696B"/>
        <color rgb="FFFFEB84"/>
        <color rgb="FF63BE7B"/>
      </colorScale>
    </cfRule>
    <cfRule type="colorScale" priority="455">
      <colorScale>
        <cfvo type="num" val="1"/>
        <cfvo type="num" val="2"/>
        <cfvo type="num" val="3"/>
        <color rgb="FFF8696B"/>
        <color rgb="FFFFEB84"/>
        <color rgb="FF63BE7B"/>
      </colorScale>
    </cfRule>
    <cfRule type="colorScale" priority="456">
      <colorScale>
        <cfvo type="num" val="1"/>
        <cfvo type="num" val="2"/>
        <cfvo type="num" val="3"/>
        <color rgb="FFF8696B"/>
        <color rgb="FFFFEB84"/>
        <color rgb="FF63BE7B"/>
      </colorScale>
    </cfRule>
  </conditionalFormatting>
  <conditionalFormatting sqref="W387">
    <cfRule type="cellIs" dxfId="114" priority="437" operator="equal">
      <formula>5</formula>
    </cfRule>
    <cfRule type="cellIs" dxfId="113" priority="438" operator="equal">
      <formula>4</formula>
    </cfRule>
    <cfRule type="cellIs" dxfId="112" priority="439" operator="equal">
      <formula>1</formula>
    </cfRule>
    <cfRule type="cellIs" dxfId="111" priority="440" operator="equal">
      <formula>3</formula>
    </cfRule>
    <cfRule type="cellIs" dxfId="110" priority="441" operator="equal">
      <formula>2</formula>
    </cfRule>
    <cfRule type="colorScale" priority="442">
      <colorScale>
        <cfvo type="min" val="0"/>
        <cfvo type="percentile" val="50"/>
        <cfvo type="max" val="0"/>
        <color rgb="FFF8696B"/>
        <color rgb="FFFFEB84"/>
        <color rgb="FF63BE7B"/>
      </colorScale>
    </cfRule>
    <cfRule type="colorScale" priority="443">
      <colorScale>
        <cfvo type="num" val="1"/>
        <cfvo type="num" val="2"/>
        <cfvo type="num" val="3"/>
        <color rgb="FFF8696B"/>
        <color rgb="FFFFEB84"/>
        <color rgb="FF63BE7B"/>
      </colorScale>
    </cfRule>
    <cfRule type="colorScale" priority="444">
      <colorScale>
        <cfvo type="num" val="1"/>
        <cfvo type="num" val="2"/>
        <cfvo type="num" val="3"/>
        <color rgb="FFF8696B"/>
        <color rgb="FFFFEB84"/>
        <color rgb="FF63BE7B"/>
      </colorScale>
    </cfRule>
  </conditionalFormatting>
  <conditionalFormatting sqref="W391">
    <cfRule type="cellIs" dxfId="109" priority="429" operator="equal">
      <formula>5</formula>
    </cfRule>
    <cfRule type="cellIs" dxfId="108" priority="430" operator="equal">
      <formula>4</formula>
    </cfRule>
    <cfRule type="cellIs" dxfId="107" priority="431" operator="equal">
      <formula>1</formula>
    </cfRule>
    <cfRule type="cellIs" dxfId="106" priority="432" operator="equal">
      <formula>3</formula>
    </cfRule>
    <cfRule type="cellIs" dxfId="105" priority="433" operator="equal">
      <formula>2</formula>
    </cfRule>
    <cfRule type="colorScale" priority="434">
      <colorScale>
        <cfvo type="min" val="0"/>
        <cfvo type="percentile" val="50"/>
        <cfvo type="max" val="0"/>
        <color rgb="FFF8696B"/>
        <color rgb="FFFFEB84"/>
        <color rgb="FF63BE7B"/>
      </colorScale>
    </cfRule>
    <cfRule type="colorScale" priority="435">
      <colorScale>
        <cfvo type="num" val="1"/>
        <cfvo type="num" val="2"/>
        <cfvo type="num" val="3"/>
        <color rgb="FFF8696B"/>
        <color rgb="FFFFEB84"/>
        <color rgb="FF63BE7B"/>
      </colorScale>
    </cfRule>
    <cfRule type="colorScale" priority="436">
      <colorScale>
        <cfvo type="num" val="1"/>
        <cfvo type="num" val="2"/>
        <cfvo type="num" val="3"/>
        <color rgb="FFF8696B"/>
        <color rgb="FFFFEB84"/>
        <color rgb="FF63BE7B"/>
      </colorScale>
    </cfRule>
  </conditionalFormatting>
  <conditionalFormatting sqref="X389">
    <cfRule type="cellIs" dxfId="104" priority="421" operator="equal">
      <formula>5</formula>
    </cfRule>
    <cfRule type="cellIs" dxfId="103" priority="422" operator="equal">
      <formula>4</formula>
    </cfRule>
    <cfRule type="cellIs" dxfId="102" priority="423" operator="equal">
      <formula>1</formula>
    </cfRule>
    <cfRule type="cellIs" dxfId="101" priority="424" operator="equal">
      <formula>3</formula>
    </cfRule>
    <cfRule type="cellIs" dxfId="100" priority="425" operator="equal">
      <formula>2</formula>
    </cfRule>
    <cfRule type="colorScale" priority="426">
      <colorScale>
        <cfvo type="min" val="0"/>
        <cfvo type="percentile" val="50"/>
        <cfvo type="max" val="0"/>
        <color rgb="FFF8696B"/>
        <color rgb="FFFFEB84"/>
        <color rgb="FF63BE7B"/>
      </colorScale>
    </cfRule>
    <cfRule type="colorScale" priority="427">
      <colorScale>
        <cfvo type="num" val="1"/>
        <cfvo type="num" val="2"/>
        <cfvo type="num" val="3"/>
        <color rgb="FFF8696B"/>
        <color rgb="FFFFEB84"/>
        <color rgb="FF63BE7B"/>
      </colorScale>
    </cfRule>
    <cfRule type="colorScale" priority="428">
      <colorScale>
        <cfvo type="num" val="1"/>
        <cfvo type="num" val="2"/>
        <cfvo type="num" val="3"/>
        <color rgb="FFF8696B"/>
        <color rgb="FFFFEB84"/>
        <color rgb="FF63BE7B"/>
      </colorScale>
    </cfRule>
  </conditionalFormatting>
  <conditionalFormatting sqref="Y391">
    <cfRule type="cellIs" dxfId="99" priority="413" operator="equal">
      <formula>5</formula>
    </cfRule>
    <cfRule type="cellIs" dxfId="98" priority="414" operator="equal">
      <formula>4</formula>
    </cfRule>
    <cfRule type="cellIs" dxfId="97" priority="415" operator="equal">
      <formula>1</formula>
    </cfRule>
    <cfRule type="cellIs" dxfId="96" priority="416" operator="equal">
      <formula>3</formula>
    </cfRule>
    <cfRule type="cellIs" dxfId="95" priority="417" operator="equal">
      <formula>2</formula>
    </cfRule>
    <cfRule type="colorScale" priority="418">
      <colorScale>
        <cfvo type="min" val="0"/>
        <cfvo type="percentile" val="50"/>
        <cfvo type="max" val="0"/>
        <color rgb="FFF8696B"/>
        <color rgb="FFFFEB84"/>
        <color rgb="FF63BE7B"/>
      </colorScale>
    </cfRule>
    <cfRule type="colorScale" priority="419">
      <colorScale>
        <cfvo type="num" val="1"/>
        <cfvo type="num" val="2"/>
        <cfvo type="num" val="3"/>
        <color rgb="FFF8696B"/>
        <color rgb="FFFFEB84"/>
        <color rgb="FF63BE7B"/>
      </colorScale>
    </cfRule>
    <cfRule type="colorScale" priority="420">
      <colorScale>
        <cfvo type="num" val="1"/>
        <cfvo type="num" val="2"/>
        <cfvo type="num" val="3"/>
        <color rgb="FFF8696B"/>
        <color rgb="FFFFEB84"/>
        <color rgb="FF63BE7B"/>
      </colorScale>
    </cfRule>
  </conditionalFormatting>
  <conditionalFormatting sqref="Y393">
    <cfRule type="cellIs" dxfId="94" priority="401" operator="equal">
      <formula>5</formula>
    </cfRule>
    <cfRule type="cellIs" dxfId="93" priority="402" operator="equal">
      <formula>4</formula>
    </cfRule>
    <cfRule type="cellIs" dxfId="92" priority="403" operator="equal">
      <formula>1</formula>
    </cfRule>
    <cfRule type="cellIs" dxfId="91" priority="404" operator="equal">
      <formula>3</formula>
    </cfRule>
    <cfRule type="cellIs" dxfId="90" priority="405" operator="equal">
      <formula>2</formula>
    </cfRule>
    <cfRule type="colorScale" priority="406">
      <colorScale>
        <cfvo type="min" val="0"/>
        <cfvo type="percentile" val="50"/>
        <cfvo type="max" val="0"/>
        <color rgb="FFF8696B"/>
        <color rgb="FFFFEB84"/>
        <color rgb="FF63BE7B"/>
      </colorScale>
    </cfRule>
    <cfRule type="colorScale" priority="407">
      <colorScale>
        <cfvo type="num" val="1"/>
        <cfvo type="num" val="2"/>
        <cfvo type="num" val="3"/>
        <color rgb="FFF8696B"/>
        <color rgb="FFFFEB84"/>
        <color rgb="FF63BE7B"/>
      </colorScale>
    </cfRule>
    <cfRule type="colorScale" priority="408">
      <colorScale>
        <cfvo type="num" val="1"/>
        <cfvo type="num" val="2"/>
        <cfvo type="num" val="3"/>
        <color rgb="FFF8696B"/>
        <color rgb="FFFFEB84"/>
        <color rgb="FF63BE7B"/>
      </colorScale>
    </cfRule>
    <cfRule type="colorScale" priority="409">
      <colorScale>
        <cfvo type="num" val="1"/>
        <cfvo type="num" val="2"/>
        <cfvo type="num" val="3"/>
        <color rgb="FFF8696B"/>
        <color rgb="FFFFEB84"/>
        <color rgb="FF63BE7B"/>
      </colorScale>
    </cfRule>
    <cfRule type="colorScale" priority="410">
      <colorScale>
        <cfvo type="num" val="1"/>
        <cfvo type="num" val="2"/>
        <cfvo type="num" val="3"/>
        <color rgb="FFF8696B"/>
        <color rgb="FFFFEB84"/>
        <color rgb="FF63BE7B"/>
      </colorScale>
    </cfRule>
    <cfRule type="colorScale" priority="411">
      <colorScale>
        <cfvo type="num" val="1"/>
        <cfvo type="num" val="2"/>
        <cfvo type="num" val="3"/>
        <color rgb="FFF8696B"/>
        <color rgb="FFFFEB84"/>
        <color rgb="FF63BE7B"/>
      </colorScale>
    </cfRule>
    <cfRule type="colorScale" priority="412">
      <colorScale>
        <cfvo type="num" val="1"/>
        <cfvo type="num" val="2"/>
        <cfvo type="num" val="3"/>
        <color rgb="FFF8696B"/>
        <color rgb="FFFFEB84"/>
        <color rgb="FF63BE7B"/>
      </colorScale>
    </cfRule>
  </conditionalFormatting>
  <conditionalFormatting sqref="AA389">
    <cfRule type="cellIs" dxfId="89" priority="352" operator="equal">
      <formula>5</formula>
    </cfRule>
    <cfRule type="cellIs" dxfId="88" priority="353" operator="equal">
      <formula>4</formula>
    </cfRule>
    <cfRule type="cellIs" dxfId="87" priority="354" operator="equal">
      <formula>1</formula>
    </cfRule>
    <cfRule type="cellIs" dxfId="86" priority="355" operator="equal">
      <formula>3</formula>
    </cfRule>
    <cfRule type="cellIs" dxfId="85" priority="356" operator="equal">
      <formula>2</formula>
    </cfRule>
    <cfRule type="colorScale" priority="357">
      <colorScale>
        <cfvo type="min" val="0"/>
        <cfvo type="percentile" val="50"/>
        <cfvo type="max" val="0"/>
        <color rgb="FFF8696B"/>
        <color rgb="FFFFEB84"/>
        <color rgb="FF63BE7B"/>
      </colorScale>
    </cfRule>
    <cfRule type="colorScale" priority="358">
      <colorScale>
        <cfvo type="num" val="1"/>
        <cfvo type="num" val="2"/>
        <cfvo type="num" val="3"/>
        <color rgb="FFF8696B"/>
        <color rgb="FFFFEB84"/>
        <color rgb="FF63BE7B"/>
      </colorScale>
    </cfRule>
    <cfRule type="colorScale" priority="359">
      <colorScale>
        <cfvo type="num" val="1"/>
        <cfvo type="num" val="2"/>
        <cfvo type="num" val="3"/>
        <color rgb="FFF8696B"/>
        <color rgb="FFFFEB84"/>
        <color rgb="FF63BE7B"/>
      </colorScale>
    </cfRule>
  </conditionalFormatting>
  <conditionalFormatting sqref="AA391:AC391">
    <cfRule type="cellIs" dxfId="84" priority="340" operator="equal">
      <formula>5</formula>
    </cfRule>
    <cfRule type="cellIs" dxfId="83" priority="341" operator="equal">
      <formula>4</formula>
    </cfRule>
    <cfRule type="cellIs" dxfId="82" priority="342" operator="equal">
      <formula>1</formula>
    </cfRule>
    <cfRule type="cellIs" dxfId="81" priority="343" operator="equal">
      <formula>3</formula>
    </cfRule>
    <cfRule type="cellIs" dxfId="80" priority="344" operator="equal">
      <formula>2</formula>
    </cfRule>
    <cfRule type="colorScale" priority="345">
      <colorScale>
        <cfvo type="min" val="0"/>
        <cfvo type="percentile" val="50"/>
        <cfvo type="max" val="0"/>
        <color rgb="FFF8696B"/>
        <color rgb="FFFFEB84"/>
        <color rgb="FF63BE7B"/>
      </colorScale>
    </cfRule>
    <cfRule type="colorScale" priority="346">
      <colorScale>
        <cfvo type="num" val="1"/>
        <cfvo type="num" val="2"/>
        <cfvo type="num" val="3"/>
        <color rgb="FFF8696B"/>
        <color rgb="FFFFEB84"/>
        <color rgb="FF63BE7B"/>
      </colorScale>
    </cfRule>
    <cfRule type="colorScale" priority="347">
      <colorScale>
        <cfvo type="num" val="1"/>
        <cfvo type="num" val="2"/>
        <cfvo type="num" val="3"/>
        <color rgb="FFF8696B"/>
        <color rgb="FFFFEB84"/>
        <color rgb="FF63BE7B"/>
      </colorScale>
    </cfRule>
    <cfRule type="colorScale" priority="348">
      <colorScale>
        <cfvo type="num" val="1"/>
        <cfvo type="num" val="2"/>
        <cfvo type="num" val="3"/>
        <color rgb="FFF8696B"/>
        <color rgb="FFFFEB84"/>
        <color rgb="FF63BE7B"/>
      </colorScale>
    </cfRule>
    <cfRule type="colorScale" priority="349">
      <colorScale>
        <cfvo type="num" val="1"/>
        <cfvo type="num" val="2"/>
        <cfvo type="num" val="3"/>
        <color rgb="FFF8696B"/>
        <color rgb="FFFFEB84"/>
        <color rgb="FF63BE7B"/>
      </colorScale>
    </cfRule>
    <cfRule type="colorScale" priority="350">
      <colorScale>
        <cfvo type="num" val="1"/>
        <cfvo type="num" val="2"/>
        <cfvo type="num" val="3"/>
        <color rgb="FFF8696B"/>
        <color rgb="FFFFEB84"/>
        <color rgb="FF63BE7B"/>
      </colorScale>
    </cfRule>
    <cfRule type="colorScale" priority="351">
      <colorScale>
        <cfvo type="num" val="1"/>
        <cfvo type="num" val="2"/>
        <cfvo type="num" val="3"/>
        <color rgb="FFF8696B"/>
        <color rgb="FFFFEB84"/>
        <color rgb="FF63BE7B"/>
      </colorScale>
    </cfRule>
  </conditionalFormatting>
  <conditionalFormatting sqref="AA393:AC393">
    <cfRule type="cellIs" dxfId="79" priority="328" operator="equal">
      <formula>5</formula>
    </cfRule>
    <cfRule type="cellIs" dxfId="78" priority="329" operator="equal">
      <formula>4</formula>
    </cfRule>
    <cfRule type="cellIs" dxfId="77" priority="330" operator="equal">
      <formula>1</formula>
    </cfRule>
    <cfRule type="cellIs" dxfId="76" priority="331" operator="equal">
      <formula>3</formula>
    </cfRule>
    <cfRule type="cellIs" dxfId="75" priority="332" operator="equal">
      <formula>2</formula>
    </cfRule>
    <cfRule type="colorScale" priority="333">
      <colorScale>
        <cfvo type="min" val="0"/>
        <cfvo type="percentile" val="50"/>
        <cfvo type="max" val="0"/>
        <color rgb="FFF8696B"/>
        <color rgb="FFFFEB84"/>
        <color rgb="FF63BE7B"/>
      </colorScale>
    </cfRule>
    <cfRule type="colorScale" priority="334">
      <colorScale>
        <cfvo type="num" val="1"/>
        <cfvo type="num" val="2"/>
        <cfvo type="num" val="3"/>
        <color rgb="FFF8696B"/>
        <color rgb="FFFFEB84"/>
        <color rgb="FF63BE7B"/>
      </colorScale>
    </cfRule>
    <cfRule type="colorScale" priority="335">
      <colorScale>
        <cfvo type="num" val="1"/>
        <cfvo type="num" val="2"/>
        <cfvo type="num" val="3"/>
        <color rgb="FFF8696B"/>
        <color rgb="FFFFEB84"/>
        <color rgb="FF63BE7B"/>
      </colorScale>
    </cfRule>
    <cfRule type="colorScale" priority="336">
      <colorScale>
        <cfvo type="num" val="1"/>
        <cfvo type="num" val="2"/>
        <cfvo type="num" val="3"/>
        <color rgb="FFF8696B"/>
        <color rgb="FFFFEB84"/>
        <color rgb="FF63BE7B"/>
      </colorScale>
    </cfRule>
    <cfRule type="colorScale" priority="337">
      <colorScale>
        <cfvo type="num" val="1"/>
        <cfvo type="num" val="2"/>
        <cfvo type="num" val="3"/>
        <color rgb="FFF8696B"/>
        <color rgb="FFFFEB84"/>
        <color rgb="FF63BE7B"/>
      </colorScale>
    </cfRule>
    <cfRule type="colorScale" priority="338">
      <colorScale>
        <cfvo type="num" val="1"/>
        <cfvo type="num" val="2"/>
        <cfvo type="num" val="3"/>
        <color rgb="FFF8696B"/>
        <color rgb="FFFFEB84"/>
        <color rgb="FF63BE7B"/>
      </colorScale>
    </cfRule>
    <cfRule type="colorScale" priority="339">
      <colorScale>
        <cfvo type="num" val="1"/>
        <cfvo type="num" val="2"/>
        <cfvo type="num" val="3"/>
        <color rgb="FFF8696B"/>
        <color rgb="FFFFEB84"/>
        <color rgb="FF63BE7B"/>
      </colorScale>
    </cfRule>
  </conditionalFormatting>
  <conditionalFormatting sqref="AA391:AB391">
    <cfRule type="cellIs" dxfId="74" priority="316" operator="equal">
      <formula>5</formula>
    </cfRule>
    <cfRule type="cellIs" dxfId="73" priority="317" operator="equal">
      <formula>4</formula>
    </cfRule>
    <cfRule type="cellIs" dxfId="72" priority="318" operator="equal">
      <formula>1</formula>
    </cfRule>
    <cfRule type="cellIs" dxfId="71" priority="319" operator="equal">
      <formula>3</formula>
    </cfRule>
    <cfRule type="cellIs" dxfId="70" priority="320" operator="equal">
      <formula>2</formula>
    </cfRule>
    <cfRule type="colorScale" priority="321">
      <colorScale>
        <cfvo type="min" val="0"/>
        <cfvo type="percentile" val="50"/>
        <cfvo type="max" val="0"/>
        <color rgb="FFF8696B"/>
        <color rgb="FFFFEB84"/>
        <color rgb="FF63BE7B"/>
      </colorScale>
    </cfRule>
    <cfRule type="colorScale" priority="322">
      <colorScale>
        <cfvo type="num" val="1"/>
        <cfvo type="num" val="2"/>
        <cfvo type="num" val="3"/>
        <color rgb="FFF8696B"/>
        <color rgb="FFFFEB84"/>
        <color rgb="FF63BE7B"/>
      </colorScale>
    </cfRule>
    <cfRule type="colorScale" priority="323">
      <colorScale>
        <cfvo type="num" val="1"/>
        <cfvo type="num" val="2"/>
        <cfvo type="num" val="3"/>
        <color rgb="FFF8696B"/>
        <color rgb="FFFFEB84"/>
        <color rgb="FF63BE7B"/>
      </colorScale>
    </cfRule>
    <cfRule type="colorScale" priority="324">
      <colorScale>
        <cfvo type="num" val="1"/>
        <cfvo type="num" val="2"/>
        <cfvo type="num" val="3"/>
        <color rgb="FFF8696B"/>
        <color rgb="FFFFEB84"/>
        <color rgb="FF63BE7B"/>
      </colorScale>
    </cfRule>
    <cfRule type="colorScale" priority="325">
      <colorScale>
        <cfvo type="num" val="1"/>
        <cfvo type="num" val="2"/>
        <cfvo type="num" val="3"/>
        <color rgb="FFF8696B"/>
        <color rgb="FFFFEB84"/>
        <color rgb="FF63BE7B"/>
      </colorScale>
    </cfRule>
    <cfRule type="colorScale" priority="326">
      <colorScale>
        <cfvo type="num" val="1"/>
        <cfvo type="num" val="2"/>
        <cfvo type="num" val="3"/>
        <color rgb="FFF8696B"/>
        <color rgb="FFFFEB84"/>
        <color rgb="FF63BE7B"/>
      </colorScale>
    </cfRule>
    <cfRule type="colorScale" priority="327">
      <colorScale>
        <cfvo type="num" val="1"/>
        <cfvo type="num" val="2"/>
        <cfvo type="num" val="3"/>
        <color rgb="FFF8696B"/>
        <color rgb="FFFFEB84"/>
        <color rgb="FF63BE7B"/>
      </colorScale>
    </cfRule>
  </conditionalFormatting>
  <conditionalFormatting sqref="AA393:AB393">
    <cfRule type="cellIs" dxfId="69" priority="304" operator="equal">
      <formula>5</formula>
    </cfRule>
    <cfRule type="cellIs" dxfId="68" priority="305" operator="equal">
      <formula>4</formula>
    </cfRule>
    <cfRule type="cellIs" dxfId="67" priority="306" operator="equal">
      <formula>1</formula>
    </cfRule>
    <cfRule type="cellIs" dxfId="66" priority="307" operator="equal">
      <formula>3</formula>
    </cfRule>
    <cfRule type="cellIs" dxfId="65" priority="308" operator="equal">
      <formula>2</formula>
    </cfRule>
    <cfRule type="colorScale" priority="309">
      <colorScale>
        <cfvo type="min" val="0"/>
        <cfvo type="percentile" val="50"/>
        <cfvo type="max" val="0"/>
        <color rgb="FFF8696B"/>
        <color rgb="FFFFEB84"/>
        <color rgb="FF63BE7B"/>
      </colorScale>
    </cfRule>
    <cfRule type="colorScale" priority="310">
      <colorScale>
        <cfvo type="num" val="1"/>
        <cfvo type="num" val="2"/>
        <cfvo type="num" val="3"/>
        <color rgb="FFF8696B"/>
        <color rgb="FFFFEB84"/>
        <color rgb="FF63BE7B"/>
      </colorScale>
    </cfRule>
    <cfRule type="colorScale" priority="311">
      <colorScale>
        <cfvo type="num" val="1"/>
        <cfvo type="num" val="2"/>
        <cfvo type="num" val="3"/>
        <color rgb="FFF8696B"/>
        <color rgb="FFFFEB84"/>
        <color rgb="FF63BE7B"/>
      </colorScale>
    </cfRule>
    <cfRule type="colorScale" priority="312">
      <colorScale>
        <cfvo type="num" val="1"/>
        <cfvo type="num" val="2"/>
        <cfvo type="num" val="3"/>
        <color rgb="FFF8696B"/>
        <color rgb="FFFFEB84"/>
        <color rgb="FF63BE7B"/>
      </colorScale>
    </cfRule>
    <cfRule type="colorScale" priority="313">
      <colorScale>
        <cfvo type="num" val="1"/>
        <cfvo type="num" val="2"/>
        <cfvo type="num" val="3"/>
        <color rgb="FFF8696B"/>
        <color rgb="FFFFEB84"/>
        <color rgb="FF63BE7B"/>
      </colorScale>
    </cfRule>
    <cfRule type="colorScale" priority="314">
      <colorScale>
        <cfvo type="num" val="1"/>
        <cfvo type="num" val="2"/>
        <cfvo type="num" val="3"/>
        <color rgb="FFF8696B"/>
        <color rgb="FFFFEB84"/>
        <color rgb="FF63BE7B"/>
      </colorScale>
    </cfRule>
    <cfRule type="colorScale" priority="315">
      <colorScale>
        <cfvo type="num" val="1"/>
        <cfvo type="num" val="2"/>
        <cfvo type="num" val="3"/>
        <color rgb="FFF8696B"/>
        <color rgb="FFFFEB84"/>
        <color rgb="FF63BE7B"/>
      </colorScale>
    </cfRule>
  </conditionalFormatting>
  <conditionalFormatting sqref="AA387">
    <cfRule type="cellIs" dxfId="64" priority="296" operator="equal">
      <formula>5</formula>
    </cfRule>
    <cfRule type="cellIs" dxfId="63" priority="297" operator="equal">
      <formula>4</formula>
    </cfRule>
    <cfRule type="cellIs" dxfId="62" priority="298" operator="equal">
      <formula>1</formula>
    </cfRule>
    <cfRule type="cellIs" dxfId="61" priority="299" operator="equal">
      <formula>3</formula>
    </cfRule>
    <cfRule type="cellIs" dxfId="60" priority="300" operator="equal">
      <formula>2</formula>
    </cfRule>
    <cfRule type="colorScale" priority="301">
      <colorScale>
        <cfvo type="min" val="0"/>
        <cfvo type="percentile" val="50"/>
        <cfvo type="max" val="0"/>
        <color rgb="FFF8696B"/>
        <color rgb="FFFFEB84"/>
        <color rgb="FF63BE7B"/>
      </colorScale>
    </cfRule>
    <cfRule type="colorScale" priority="302">
      <colorScale>
        <cfvo type="num" val="1"/>
        <cfvo type="num" val="2"/>
        <cfvo type="num" val="3"/>
        <color rgb="FFF8696B"/>
        <color rgb="FFFFEB84"/>
        <color rgb="FF63BE7B"/>
      </colorScale>
    </cfRule>
    <cfRule type="colorScale" priority="303">
      <colorScale>
        <cfvo type="num" val="1"/>
        <cfvo type="num" val="2"/>
        <cfvo type="num" val="3"/>
        <color rgb="FFF8696B"/>
        <color rgb="FFFFEB84"/>
        <color rgb="FF63BE7B"/>
      </colorScale>
    </cfRule>
  </conditionalFormatting>
  <conditionalFormatting sqref="AA391">
    <cfRule type="cellIs" dxfId="59" priority="288" operator="equal">
      <formula>5</formula>
    </cfRule>
    <cfRule type="cellIs" dxfId="58" priority="289" operator="equal">
      <formula>4</formula>
    </cfRule>
    <cfRule type="cellIs" dxfId="57" priority="290" operator="equal">
      <formula>1</formula>
    </cfRule>
    <cfRule type="cellIs" dxfId="56" priority="291" operator="equal">
      <formula>3</formula>
    </cfRule>
    <cfRule type="cellIs" dxfId="55" priority="292" operator="equal">
      <formula>2</formula>
    </cfRule>
    <cfRule type="colorScale" priority="293">
      <colorScale>
        <cfvo type="min" val="0"/>
        <cfvo type="percentile" val="50"/>
        <cfvo type="max" val="0"/>
        <color rgb="FFF8696B"/>
        <color rgb="FFFFEB84"/>
        <color rgb="FF63BE7B"/>
      </colorScale>
    </cfRule>
    <cfRule type="colorScale" priority="294">
      <colorScale>
        <cfvo type="num" val="1"/>
        <cfvo type="num" val="2"/>
        <cfvo type="num" val="3"/>
        <color rgb="FFF8696B"/>
        <color rgb="FFFFEB84"/>
        <color rgb="FF63BE7B"/>
      </colorScale>
    </cfRule>
    <cfRule type="colorScale" priority="295">
      <colorScale>
        <cfvo type="num" val="1"/>
        <cfvo type="num" val="2"/>
        <cfvo type="num" val="3"/>
        <color rgb="FFF8696B"/>
        <color rgb="FFFFEB84"/>
        <color rgb="FF63BE7B"/>
      </colorScale>
    </cfRule>
  </conditionalFormatting>
  <conditionalFormatting sqref="AB389">
    <cfRule type="cellIs" dxfId="54" priority="274" operator="equal">
      <formula>5</formula>
    </cfRule>
    <cfRule type="cellIs" dxfId="53" priority="275" operator="equal">
      <formula>4</formula>
    </cfRule>
    <cfRule type="cellIs" dxfId="52" priority="276" operator="equal">
      <formula>1</formula>
    </cfRule>
    <cfRule type="cellIs" dxfId="51" priority="277" operator="equal">
      <formula>3</formula>
    </cfRule>
    <cfRule type="cellIs" dxfId="50" priority="278" operator="equal">
      <formula>2</formula>
    </cfRule>
    <cfRule type="colorScale" priority="279">
      <colorScale>
        <cfvo type="min" val="0"/>
        <cfvo type="percentile" val="50"/>
        <cfvo type="max" val="0"/>
        <color rgb="FFF8696B"/>
        <color rgb="FFFFEB84"/>
        <color rgb="FF63BE7B"/>
      </colorScale>
    </cfRule>
    <cfRule type="colorScale" priority="280">
      <colorScale>
        <cfvo type="num" val="1"/>
        <cfvo type="num" val="2"/>
        <cfvo type="num" val="3"/>
        <color rgb="FFF8696B"/>
        <color rgb="FFFFEB84"/>
        <color rgb="FF63BE7B"/>
      </colorScale>
    </cfRule>
    <cfRule type="colorScale" priority="281">
      <colorScale>
        <cfvo type="num" val="1"/>
        <cfvo type="num" val="2"/>
        <cfvo type="num" val="3"/>
        <color rgb="FFF8696B"/>
        <color rgb="FFFFEB84"/>
        <color rgb="FF63BE7B"/>
      </colorScale>
    </cfRule>
  </conditionalFormatting>
  <conditionalFormatting sqref="AC391">
    <cfRule type="cellIs" dxfId="49" priority="260" operator="equal">
      <formula>5</formula>
    </cfRule>
    <cfRule type="cellIs" dxfId="48" priority="261" operator="equal">
      <formula>4</formula>
    </cfRule>
    <cfRule type="cellIs" dxfId="47" priority="262" operator="equal">
      <formula>1</formula>
    </cfRule>
    <cfRule type="cellIs" dxfId="46" priority="263" operator="equal">
      <formula>3</formula>
    </cfRule>
    <cfRule type="cellIs" dxfId="45" priority="264" operator="equal">
      <formula>2</formula>
    </cfRule>
    <cfRule type="colorScale" priority="265">
      <colorScale>
        <cfvo type="min" val="0"/>
        <cfvo type="percentile" val="50"/>
        <cfvo type="max" val="0"/>
        <color rgb="FFF8696B"/>
        <color rgb="FFFFEB84"/>
        <color rgb="FF63BE7B"/>
      </colorScale>
    </cfRule>
    <cfRule type="colorScale" priority="266">
      <colorScale>
        <cfvo type="num" val="1"/>
        <cfvo type="num" val="2"/>
        <cfvo type="num" val="3"/>
        <color rgb="FFF8696B"/>
        <color rgb="FFFFEB84"/>
        <color rgb="FF63BE7B"/>
      </colorScale>
    </cfRule>
    <cfRule type="colorScale" priority="267">
      <colorScale>
        <cfvo type="num" val="1"/>
        <cfvo type="num" val="2"/>
        <cfvo type="num" val="3"/>
        <color rgb="FFF8696B"/>
        <color rgb="FFFFEB84"/>
        <color rgb="FF63BE7B"/>
      </colorScale>
    </cfRule>
  </conditionalFormatting>
  <conditionalFormatting sqref="AC393">
    <cfRule type="cellIs" dxfId="44" priority="248" operator="equal">
      <formula>5</formula>
    </cfRule>
    <cfRule type="cellIs" dxfId="43" priority="249" operator="equal">
      <formula>4</formula>
    </cfRule>
    <cfRule type="cellIs" dxfId="42" priority="250" operator="equal">
      <formula>1</formula>
    </cfRule>
    <cfRule type="cellIs" dxfId="41" priority="251" operator="equal">
      <formula>3</formula>
    </cfRule>
    <cfRule type="cellIs" dxfId="40" priority="252" operator="equal">
      <formula>2</formula>
    </cfRule>
    <cfRule type="colorScale" priority="253">
      <colorScale>
        <cfvo type="min" val="0"/>
        <cfvo type="percentile" val="50"/>
        <cfvo type="max" val="0"/>
        <color rgb="FFF8696B"/>
        <color rgb="FFFFEB84"/>
        <color rgb="FF63BE7B"/>
      </colorScale>
    </cfRule>
    <cfRule type="colorScale" priority="254">
      <colorScale>
        <cfvo type="num" val="1"/>
        <cfvo type="num" val="2"/>
        <cfvo type="num" val="3"/>
        <color rgb="FFF8696B"/>
        <color rgb="FFFFEB84"/>
        <color rgb="FF63BE7B"/>
      </colorScale>
    </cfRule>
    <cfRule type="colorScale" priority="255">
      <colorScale>
        <cfvo type="num" val="1"/>
        <cfvo type="num" val="2"/>
        <cfvo type="num" val="3"/>
        <color rgb="FFF8696B"/>
        <color rgb="FFFFEB84"/>
        <color rgb="FF63BE7B"/>
      </colorScale>
    </cfRule>
    <cfRule type="colorScale" priority="256">
      <colorScale>
        <cfvo type="num" val="1"/>
        <cfvo type="num" val="2"/>
        <cfvo type="num" val="3"/>
        <color rgb="FFF8696B"/>
        <color rgb="FFFFEB84"/>
        <color rgb="FF63BE7B"/>
      </colorScale>
    </cfRule>
    <cfRule type="colorScale" priority="257">
      <colorScale>
        <cfvo type="num" val="1"/>
        <cfvo type="num" val="2"/>
        <cfvo type="num" val="3"/>
        <color rgb="FFF8696B"/>
        <color rgb="FFFFEB84"/>
        <color rgb="FF63BE7B"/>
      </colorScale>
    </cfRule>
    <cfRule type="colorScale" priority="258">
      <colorScale>
        <cfvo type="num" val="1"/>
        <cfvo type="num" val="2"/>
        <cfvo type="num" val="3"/>
        <color rgb="FFF8696B"/>
        <color rgb="FFFFEB84"/>
        <color rgb="FF63BE7B"/>
      </colorScale>
    </cfRule>
    <cfRule type="colorScale" priority="259">
      <colorScale>
        <cfvo type="num" val="1"/>
        <cfvo type="num" val="2"/>
        <cfvo type="num" val="3"/>
        <color rgb="FFF8696B"/>
        <color rgb="FFFFEB84"/>
        <color rgb="FF63BE7B"/>
      </colorScale>
    </cfRule>
  </conditionalFormatting>
  <conditionalFormatting sqref="AE389">
    <cfRule type="cellIs" dxfId="39" priority="158" operator="equal">
      <formula>5</formula>
    </cfRule>
    <cfRule type="cellIs" dxfId="38" priority="159" operator="equal">
      <formula>4</formula>
    </cfRule>
    <cfRule type="cellIs" dxfId="37" priority="160" operator="equal">
      <formula>1</formula>
    </cfRule>
    <cfRule type="cellIs" dxfId="36" priority="161" operator="equal">
      <formula>3</formula>
    </cfRule>
    <cfRule type="cellIs" dxfId="35" priority="162" operator="equal">
      <formula>2</formula>
    </cfRule>
    <cfRule type="colorScale" priority="163">
      <colorScale>
        <cfvo type="min" val="0"/>
        <cfvo type="percentile" val="50"/>
        <cfvo type="max" val="0"/>
        <color rgb="FFF8696B"/>
        <color rgb="FFFFEB84"/>
        <color rgb="FF63BE7B"/>
      </colorScale>
    </cfRule>
    <cfRule type="colorScale" priority="164">
      <colorScale>
        <cfvo type="num" val="1"/>
        <cfvo type="num" val="2"/>
        <cfvo type="num" val="3"/>
        <color rgb="FFF8696B"/>
        <color rgb="FFFFEB84"/>
        <color rgb="FF63BE7B"/>
      </colorScale>
    </cfRule>
    <cfRule type="colorScale" priority="165">
      <colorScale>
        <cfvo type="num" val="1"/>
        <cfvo type="num" val="2"/>
        <cfvo type="num" val="3"/>
        <color rgb="FFF8696B"/>
        <color rgb="FFFFEB84"/>
        <color rgb="FF63BE7B"/>
      </colorScale>
    </cfRule>
  </conditionalFormatting>
  <conditionalFormatting sqref="AE391">
    <cfRule type="cellIs" dxfId="34" priority="146" operator="equal">
      <formula>5</formula>
    </cfRule>
    <cfRule type="cellIs" dxfId="33" priority="147" operator="equal">
      <formula>4</formula>
    </cfRule>
    <cfRule type="cellIs" dxfId="32" priority="148" operator="equal">
      <formula>1</formula>
    </cfRule>
    <cfRule type="cellIs" dxfId="31" priority="149" operator="equal">
      <formula>3</formula>
    </cfRule>
    <cfRule type="cellIs" dxfId="30" priority="150" operator="equal">
      <formula>2</formula>
    </cfRule>
    <cfRule type="colorScale" priority="151">
      <colorScale>
        <cfvo type="min" val="0"/>
        <cfvo type="percentile" val="50"/>
        <cfvo type="max" val="0"/>
        <color rgb="FFF8696B"/>
        <color rgb="FFFFEB84"/>
        <color rgb="FF63BE7B"/>
      </colorScale>
    </cfRule>
    <cfRule type="colorScale" priority="152">
      <colorScale>
        <cfvo type="num" val="1"/>
        <cfvo type="num" val="2"/>
        <cfvo type="num" val="3"/>
        <color rgb="FFF8696B"/>
        <color rgb="FFFFEB84"/>
        <color rgb="FF63BE7B"/>
      </colorScale>
    </cfRule>
    <cfRule type="colorScale" priority="153">
      <colorScale>
        <cfvo type="num" val="1"/>
        <cfvo type="num" val="2"/>
        <cfvo type="num" val="3"/>
        <color rgb="FFF8696B"/>
        <color rgb="FFFFEB84"/>
        <color rgb="FF63BE7B"/>
      </colorScale>
    </cfRule>
    <cfRule type="colorScale" priority="154">
      <colorScale>
        <cfvo type="num" val="1"/>
        <cfvo type="num" val="2"/>
        <cfvo type="num" val="3"/>
        <color rgb="FFF8696B"/>
        <color rgb="FFFFEB84"/>
        <color rgb="FF63BE7B"/>
      </colorScale>
    </cfRule>
    <cfRule type="colorScale" priority="155">
      <colorScale>
        <cfvo type="num" val="1"/>
        <cfvo type="num" val="2"/>
        <cfvo type="num" val="3"/>
        <color rgb="FFF8696B"/>
        <color rgb="FFFFEB84"/>
        <color rgb="FF63BE7B"/>
      </colorScale>
    </cfRule>
    <cfRule type="colorScale" priority="156">
      <colorScale>
        <cfvo type="num" val="1"/>
        <cfvo type="num" val="2"/>
        <cfvo type="num" val="3"/>
        <color rgb="FFF8696B"/>
        <color rgb="FFFFEB84"/>
        <color rgb="FF63BE7B"/>
      </colorScale>
    </cfRule>
    <cfRule type="colorScale" priority="157">
      <colorScale>
        <cfvo type="num" val="1"/>
        <cfvo type="num" val="2"/>
        <cfvo type="num" val="3"/>
        <color rgb="FFF8696B"/>
        <color rgb="FFFFEB84"/>
        <color rgb="FF63BE7B"/>
      </colorScale>
    </cfRule>
  </conditionalFormatting>
  <conditionalFormatting sqref="AE387">
    <cfRule type="cellIs" dxfId="29" priority="102" operator="equal">
      <formula>5</formula>
    </cfRule>
    <cfRule type="cellIs" dxfId="28" priority="103" operator="equal">
      <formula>4</formula>
    </cfRule>
    <cfRule type="cellIs" dxfId="27" priority="104" operator="equal">
      <formula>1</formula>
    </cfRule>
    <cfRule type="cellIs" dxfId="26" priority="105" operator="equal">
      <formula>3</formula>
    </cfRule>
    <cfRule type="cellIs" dxfId="25" priority="106" operator="equal">
      <formula>2</formula>
    </cfRule>
    <cfRule type="colorScale" priority="107">
      <colorScale>
        <cfvo type="min" val="0"/>
        <cfvo type="percentile" val="50"/>
        <cfvo type="max" val="0"/>
        <color rgb="FFF8696B"/>
        <color rgb="FFFFEB84"/>
        <color rgb="FF63BE7B"/>
      </colorScale>
    </cfRule>
    <cfRule type="colorScale" priority="108">
      <colorScale>
        <cfvo type="num" val="1"/>
        <cfvo type="num" val="2"/>
        <cfvo type="num" val="3"/>
        <color rgb="FFF8696B"/>
        <color rgb="FFFFEB84"/>
        <color rgb="FF63BE7B"/>
      </colorScale>
    </cfRule>
    <cfRule type="colorScale" priority="109">
      <colorScale>
        <cfvo type="num" val="1"/>
        <cfvo type="num" val="2"/>
        <cfvo type="num" val="3"/>
        <color rgb="FFF8696B"/>
        <color rgb="FFFFEB84"/>
        <color rgb="FF63BE7B"/>
      </colorScale>
    </cfRule>
  </conditionalFormatting>
  <conditionalFormatting sqref="AE391">
    <cfRule type="cellIs" dxfId="24" priority="94" operator="equal">
      <formula>5</formula>
    </cfRule>
    <cfRule type="cellIs" dxfId="23" priority="95" operator="equal">
      <formula>4</formula>
    </cfRule>
    <cfRule type="cellIs" dxfId="22" priority="96" operator="equal">
      <formula>1</formula>
    </cfRule>
    <cfRule type="cellIs" dxfId="21" priority="97" operator="equal">
      <formula>3</formula>
    </cfRule>
    <cfRule type="cellIs" dxfId="20" priority="98" operator="equal">
      <formula>2</formula>
    </cfRule>
    <cfRule type="colorScale" priority="99">
      <colorScale>
        <cfvo type="min" val="0"/>
        <cfvo type="percentile" val="50"/>
        <cfvo type="max" val="0"/>
        <color rgb="FFF8696B"/>
        <color rgb="FFFFEB84"/>
        <color rgb="FF63BE7B"/>
      </colorScale>
    </cfRule>
    <cfRule type="colorScale" priority="100">
      <colorScale>
        <cfvo type="num" val="1"/>
        <cfvo type="num" val="2"/>
        <cfvo type="num" val="3"/>
        <color rgb="FFF8696B"/>
        <color rgb="FFFFEB84"/>
        <color rgb="FF63BE7B"/>
      </colorScale>
    </cfRule>
    <cfRule type="colorScale" priority="101">
      <colorScale>
        <cfvo type="num" val="1"/>
        <cfvo type="num" val="2"/>
        <cfvo type="num" val="3"/>
        <color rgb="FFF8696B"/>
        <color rgb="FFFFEB84"/>
        <color rgb="FF63BE7B"/>
      </colorScale>
    </cfRule>
  </conditionalFormatting>
  <conditionalFormatting sqref="M395">
    <cfRule type="cellIs" dxfId="19" priority="73" operator="equal">
      <formula>5</formula>
    </cfRule>
    <cfRule type="cellIs" dxfId="18" priority="74" operator="equal">
      <formula>4</formula>
    </cfRule>
    <cfRule type="cellIs" dxfId="17" priority="75" operator="equal">
      <formula>1</formula>
    </cfRule>
    <cfRule type="cellIs" dxfId="16" priority="76" operator="equal">
      <formula>3</formula>
    </cfRule>
    <cfRule type="cellIs" dxfId="15" priority="77" operator="equal">
      <formula>2</formula>
    </cfRule>
    <cfRule type="colorScale" priority="78">
      <colorScale>
        <cfvo type="min" val="0"/>
        <cfvo type="percentile" val="50"/>
        <cfvo type="max" val="0"/>
        <color rgb="FFF8696B"/>
        <color rgb="FFFFEB84"/>
        <color rgb="FF63BE7B"/>
      </colorScale>
    </cfRule>
    <cfRule type="colorScale" priority="79">
      <colorScale>
        <cfvo type="num" val="1"/>
        <cfvo type="num" val="2"/>
        <cfvo type="num" val="3"/>
        <color rgb="FFF8696B"/>
        <color rgb="FFFFEB84"/>
        <color rgb="FF63BE7B"/>
      </colorScale>
    </cfRule>
    <cfRule type="colorScale" priority="80">
      <colorScale>
        <cfvo type="num" val="1"/>
        <cfvo type="num" val="2"/>
        <cfvo type="num" val="3"/>
        <color rgb="FFF8696B"/>
        <color rgb="FFFFEB84"/>
        <color rgb="FF63BE7B"/>
      </colorScale>
    </cfRule>
    <cfRule type="colorScale" priority="81">
      <colorScale>
        <cfvo type="num" val="1"/>
        <cfvo type="num" val="2"/>
        <cfvo type="num" val="3"/>
        <color rgb="FFF8696B"/>
        <color rgb="FFFFEB84"/>
        <color rgb="FF63BE7B"/>
      </colorScale>
    </cfRule>
    <cfRule type="colorScale" priority="82">
      <colorScale>
        <cfvo type="num" val="1"/>
        <cfvo type="num" val="2"/>
        <cfvo type="num" val="3"/>
        <color rgb="FFF8696B"/>
        <color rgb="FFFFEB84"/>
        <color rgb="FF63BE7B"/>
      </colorScale>
    </cfRule>
    <cfRule type="colorScale" priority="83">
      <colorScale>
        <cfvo type="num" val="1"/>
        <cfvo type="num" val="2"/>
        <cfvo type="num" val="3"/>
        <color rgb="FFF8696B"/>
        <color rgb="FFFFEB84"/>
        <color rgb="FF63BE7B"/>
      </colorScale>
    </cfRule>
    <cfRule type="colorScale" priority="84">
      <colorScale>
        <cfvo type="num" val="1"/>
        <cfvo type="num" val="2"/>
        <cfvo type="num" val="3"/>
        <color rgb="FFF8696B"/>
        <color rgb="FFFFEB84"/>
        <color rgb="FF63BE7B"/>
      </colorScale>
    </cfRule>
  </conditionalFormatting>
  <conditionalFormatting sqref="T395">
    <cfRule type="cellIs" dxfId="14" priority="57" operator="equal">
      <formula>5</formula>
    </cfRule>
    <cfRule type="cellIs" dxfId="13" priority="58" operator="equal">
      <formula>4</formula>
    </cfRule>
    <cfRule type="cellIs" dxfId="12" priority="59" operator="equal">
      <formula>1</formula>
    </cfRule>
    <cfRule type="cellIs" dxfId="11" priority="60" operator="equal">
      <formula>3</formula>
    </cfRule>
    <cfRule type="cellIs" dxfId="10" priority="61" operator="equal">
      <formula>2</formula>
    </cfRule>
    <cfRule type="colorScale" priority="62">
      <colorScale>
        <cfvo type="min" val="0"/>
        <cfvo type="percentile" val="50"/>
        <cfvo type="max" val="0"/>
        <color rgb="FFF8696B"/>
        <color rgb="FFFFEB84"/>
        <color rgb="FF63BE7B"/>
      </colorScale>
    </cfRule>
    <cfRule type="colorScale" priority="63">
      <colorScale>
        <cfvo type="num" val="1"/>
        <cfvo type="num" val="2"/>
        <cfvo type="num" val="3"/>
        <color rgb="FFF8696B"/>
        <color rgb="FFFFEB84"/>
        <color rgb="FF63BE7B"/>
      </colorScale>
    </cfRule>
    <cfRule type="colorScale" priority="64">
      <colorScale>
        <cfvo type="num" val="1"/>
        <cfvo type="num" val="2"/>
        <cfvo type="num" val="3"/>
        <color rgb="FFF8696B"/>
        <color rgb="FFFFEB84"/>
        <color rgb="FF63BE7B"/>
      </colorScale>
    </cfRule>
    <cfRule type="colorScale" priority="65">
      <colorScale>
        <cfvo type="num" val="1"/>
        <cfvo type="num" val="2"/>
        <cfvo type="num" val="3"/>
        <color rgb="FFF8696B"/>
        <color rgb="FFFFEB84"/>
        <color rgb="FF63BE7B"/>
      </colorScale>
    </cfRule>
    <cfRule type="colorScale" priority="66">
      <colorScale>
        <cfvo type="num" val="1"/>
        <cfvo type="num" val="2"/>
        <cfvo type="num" val="3"/>
        <color rgb="FFF8696B"/>
        <color rgb="FFFFEB84"/>
        <color rgb="FF63BE7B"/>
      </colorScale>
    </cfRule>
    <cfRule type="colorScale" priority="67">
      <colorScale>
        <cfvo type="num" val="1"/>
        <cfvo type="num" val="2"/>
        <cfvo type="num" val="3"/>
        <color rgb="FFF8696B"/>
        <color rgb="FFFFEB84"/>
        <color rgb="FF63BE7B"/>
      </colorScale>
    </cfRule>
    <cfRule type="colorScale" priority="68">
      <colorScale>
        <cfvo type="num" val="1"/>
        <cfvo type="num" val="2"/>
        <cfvo type="num" val="3"/>
        <color rgb="FFF8696B"/>
        <color rgb="FFFFEB84"/>
        <color rgb="FF63BE7B"/>
      </colorScale>
    </cfRule>
  </conditionalFormatting>
  <conditionalFormatting sqref="AA395">
    <cfRule type="cellIs" dxfId="9" priority="42" operator="equal">
      <formula>5</formula>
    </cfRule>
    <cfRule type="cellIs" dxfId="8" priority="43" operator="equal">
      <formula>4</formula>
    </cfRule>
    <cfRule type="cellIs" dxfId="7" priority="44" operator="equal">
      <formula>1</formula>
    </cfRule>
    <cfRule type="cellIs" dxfId="6" priority="45" operator="equal">
      <formula>3</formula>
    </cfRule>
    <cfRule type="cellIs" dxfId="5" priority="46" operator="equal">
      <formula>2</formula>
    </cfRule>
    <cfRule type="colorScale" priority="47">
      <colorScale>
        <cfvo type="min" val="0"/>
        <cfvo type="percentile" val="50"/>
        <cfvo type="max" val="0"/>
        <color rgb="FFF8696B"/>
        <color rgb="FFFFEB84"/>
        <color rgb="FF63BE7B"/>
      </colorScale>
    </cfRule>
    <cfRule type="colorScale" priority="48">
      <colorScale>
        <cfvo type="num" val="1"/>
        <cfvo type="num" val="2"/>
        <cfvo type="num" val="3"/>
        <color rgb="FFF8696B"/>
        <color rgb="FFFFEB84"/>
        <color rgb="FF63BE7B"/>
      </colorScale>
    </cfRule>
    <cfRule type="colorScale" priority="49">
      <colorScale>
        <cfvo type="num" val="1"/>
        <cfvo type="num" val="2"/>
        <cfvo type="num" val="3"/>
        <color rgb="FFF8696B"/>
        <color rgb="FFFFEB84"/>
        <color rgb="FF63BE7B"/>
      </colorScale>
    </cfRule>
    <cfRule type="colorScale" priority="50">
      <colorScale>
        <cfvo type="num" val="1"/>
        <cfvo type="num" val="2"/>
        <cfvo type="num" val="3"/>
        <color rgb="FFF8696B"/>
        <color rgb="FFFFEB84"/>
        <color rgb="FF63BE7B"/>
      </colorScale>
    </cfRule>
    <cfRule type="colorScale" priority="51">
      <colorScale>
        <cfvo type="num" val="1"/>
        <cfvo type="num" val="2"/>
        <cfvo type="num" val="3"/>
        <color rgb="FFF8696B"/>
        <color rgb="FFFFEB84"/>
        <color rgb="FF63BE7B"/>
      </colorScale>
    </cfRule>
    <cfRule type="colorScale" priority="52">
      <colorScale>
        <cfvo type="num" val="1"/>
        <cfvo type="num" val="2"/>
        <cfvo type="num" val="3"/>
        <color rgb="FFF8696B"/>
        <color rgb="FFFFEB84"/>
        <color rgb="FF63BE7B"/>
      </colorScale>
    </cfRule>
    <cfRule type="colorScale" priority="53">
      <colorScale>
        <cfvo type="num" val="1"/>
        <cfvo type="num" val="2"/>
        <cfvo type="num" val="3"/>
        <color rgb="FFF8696B"/>
        <color rgb="FFFFEB84"/>
        <color rgb="FF63BE7B"/>
      </colorScale>
    </cfRule>
  </conditionalFormatting>
  <conditionalFormatting sqref="AE395">
    <cfRule type="cellIs" dxfId="4" priority="13" operator="equal">
      <formula>5</formula>
    </cfRule>
    <cfRule type="cellIs" dxfId="3" priority="14" operator="equal">
      <formula>4</formula>
    </cfRule>
    <cfRule type="cellIs" dxfId="2" priority="15" operator="equal">
      <formula>1</formula>
    </cfRule>
    <cfRule type="cellIs" dxfId="1" priority="16" operator="equal">
      <formula>3</formula>
    </cfRule>
    <cfRule type="cellIs" dxfId="0" priority="17" operator="equal">
      <formula>2</formula>
    </cfRule>
    <cfRule type="colorScale" priority="18">
      <colorScale>
        <cfvo type="min" val="0"/>
        <cfvo type="percentile" val="50"/>
        <cfvo type="max" val="0"/>
        <color rgb="FFF8696B"/>
        <color rgb="FFFFEB84"/>
        <color rgb="FF63BE7B"/>
      </colorScale>
    </cfRule>
    <cfRule type="colorScale" priority="19">
      <colorScale>
        <cfvo type="num" val="1"/>
        <cfvo type="num" val="2"/>
        <cfvo type="num" val="3"/>
        <color rgb="FFF8696B"/>
        <color rgb="FFFFEB84"/>
        <color rgb="FF63BE7B"/>
      </colorScale>
    </cfRule>
    <cfRule type="colorScale" priority="20">
      <colorScale>
        <cfvo type="num" val="1"/>
        <cfvo type="num" val="2"/>
        <cfvo type="num" val="3"/>
        <color rgb="FFF8696B"/>
        <color rgb="FFFFEB84"/>
        <color rgb="FF63BE7B"/>
      </colorScale>
    </cfRule>
    <cfRule type="colorScale" priority="21">
      <colorScale>
        <cfvo type="num" val="1"/>
        <cfvo type="num" val="2"/>
        <cfvo type="num" val="3"/>
        <color rgb="FFF8696B"/>
        <color rgb="FFFFEB84"/>
        <color rgb="FF63BE7B"/>
      </colorScale>
    </cfRule>
    <cfRule type="colorScale" priority="22">
      <colorScale>
        <cfvo type="num" val="1"/>
        <cfvo type="num" val="2"/>
        <cfvo type="num" val="3"/>
        <color rgb="FFF8696B"/>
        <color rgb="FFFFEB84"/>
        <color rgb="FF63BE7B"/>
      </colorScale>
    </cfRule>
    <cfRule type="colorScale" priority="23">
      <colorScale>
        <cfvo type="num" val="1"/>
        <cfvo type="num" val="2"/>
        <cfvo type="num" val="3"/>
        <color rgb="FFF8696B"/>
        <color rgb="FFFFEB84"/>
        <color rgb="FF63BE7B"/>
      </colorScale>
    </cfRule>
    <cfRule type="colorScale" priority="24">
      <colorScale>
        <cfvo type="num" val="1"/>
        <cfvo type="num" val="2"/>
        <cfvo type="num" val="3"/>
        <color rgb="FFF8696B"/>
        <color rgb="FFFFEB84"/>
        <color rgb="FF63BE7B"/>
      </colorScale>
    </cfRule>
  </conditionalFormatting>
  <conditionalFormatting sqref="E387">
    <cfRule type="colorScale" priority="11">
      <colorScale>
        <cfvo type="num" val="1"/>
        <cfvo type="num" val="2"/>
        <cfvo type="num" val="3"/>
        <color rgb="FFF8696B"/>
        <color rgb="FFFFEB84"/>
        <color rgb="FF63BE7B"/>
      </colorScale>
    </cfRule>
    <cfRule type="colorScale" priority="12">
      <colorScale>
        <cfvo type="num" val="1"/>
        <cfvo type="num" val="2"/>
        <cfvo type="num" val="3"/>
        <color rgb="FFF8696B"/>
        <color rgb="FFFFEB84"/>
        <color rgb="FF63BE7B"/>
      </colorScale>
    </cfRule>
  </conditionalFormatting>
  <conditionalFormatting sqref="G391">
    <cfRule type="colorScale" priority="9">
      <colorScale>
        <cfvo type="num" val="1"/>
        <cfvo type="num" val="2"/>
        <cfvo type="num" val="3"/>
        <color rgb="FFF8696B"/>
        <color rgb="FFFFEB84"/>
        <color rgb="FF63BE7B"/>
      </colorScale>
    </cfRule>
    <cfRule type="colorScale" priority="10">
      <colorScale>
        <cfvo type="num" val="1"/>
        <cfvo type="num" val="2"/>
        <cfvo type="num" val="3"/>
        <color rgb="FFF8696B"/>
        <color rgb="FFFFEB84"/>
        <color rgb="FF63BE7B"/>
      </colorScale>
    </cfRule>
  </conditionalFormatting>
  <conditionalFormatting sqref="C391">
    <cfRule type="colorScale" priority="7">
      <colorScale>
        <cfvo type="num" val="1"/>
        <cfvo type="num" val="2"/>
        <cfvo type="num" val="3"/>
        <color rgb="FFF8696B"/>
        <color rgb="FFFFEB84"/>
        <color rgb="FF63BE7B"/>
      </colorScale>
    </cfRule>
    <cfRule type="colorScale" priority="8">
      <colorScale>
        <cfvo type="num" val="1"/>
        <cfvo type="num" val="2"/>
        <cfvo type="num" val="3"/>
        <color rgb="FFF8696B"/>
        <color rgb="FFFFEB84"/>
        <color rgb="FF63BE7B"/>
      </colorScale>
    </cfRule>
  </conditionalFormatting>
  <conditionalFormatting sqref="C391">
    <cfRule type="colorScale" priority="6">
      <colorScale>
        <cfvo type="num" val="1"/>
        <cfvo type="num" val="2"/>
        <cfvo type="num" val="3"/>
        <color rgb="FFF8696B"/>
        <color rgb="FFFFEB84"/>
        <color rgb="FF63BE7B"/>
      </colorScale>
    </cfRule>
  </conditionalFormatting>
  <conditionalFormatting sqref="D393 H393 I387 K391">
    <cfRule type="colorScale" priority="4">
      <colorScale>
        <cfvo type="num" val="1"/>
        <cfvo type="num" val="2"/>
        <cfvo type="num" val="3"/>
        <color rgb="FFF8696B"/>
        <color rgb="FFFFEB84"/>
        <color rgb="FF63BE7B"/>
      </colorScale>
    </cfRule>
    <cfRule type="colorScale" priority="5">
      <colorScale>
        <cfvo type="num" val="1"/>
        <cfvo type="num" val="2"/>
        <cfvo type="num" val="3"/>
        <color rgb="FFF8696B"/>
        <color rgb="FFFFEB84"/>
        <color rgb="FF63BE7B"/>
      </colorScale>
    </cfRule>
  </conditionalFormatting>
  <conditionalFormatting sqref="M387 O391 P393 X393 AB393 AF393">
    <cfRule type="colorScale" priority="2">
      <colorScale>
        <cfvo type="num" val="1"/>
        <cfvo type="num" val="2"/>
        <cfvo type="num" val="3"/>
        <color rgb="FFF8696B"/>
        <color rgb="FFFFEB84"/>
        <color rgb="FF63BE7B"/>
      </colorScale>
    </cfRule>
    <cfRule type="colorScale" priority="3">
      <colorScale>
        <cfvo type="num" val="1"/>
        <cfvo type="num" val="2"/>
        <cfvo type="num" val="3"/>
        <color rgb="FFF8696B"/>
        <color rgb="FFFFEB84"/>
        <color rgb="FF63BE7B"/>
      </colorScale>
    </cfRule>
  </conditionalFormatting>
  <conditionalFormatting sqref="V395:W395 O395:P395 H395:I395">
    <cfRule type="colorScale" priority="1">
      <colorScale>
        <cfvo type="num" val="1"/>
        <cfvo type="num" val="2"/>
        <cfvo type="num" val="3"/>
        <color rgb="FFF8696B"/>
        <color rgb="FFFFEB84"/>
        <color rgb="FF63BE7B"/>
      </colorScale>
    </cfRule>
  </conditionalFormatting>
  <printOptions horizontalCentered="1"/>
  <pageMargins left="0.25" right="0.25" top="0.75" bottom="0.75" header="0.3" footer="0.3"/>
  <pageSetup paperSize="9" scale="91" orientation="landscape" r:id="rId1"/>
</worksheet>
</file>

<file path=xl/worksheets/sheet2.xml><?xml version="1.0" encoding="utf-8"?>
<worksheet xmlns="http://schemas.openxmlformats.org/spreadsheetml/2006/main" xmlns:r="http://schemas.openxmlformats.org/officeDocument/2006/relationships">
  <sheetPr codeName="Sheet3">
    <pageSetUpPr fitToPage="1"/>
  </sheetPr>
  <dimension ref="A1:F56"/>
  <sheetViews>
    <sheetView topLeftCell="A34" workbookViewId="0">
      <selection activeCell="B69" sqref="B69"/>
    </sheetView>
  </sheetViews>
  <sheetFormatPr defaultRowHeight="14.25"/>
  <cols>
    <col min="1" max="6" width="23.7109375" style="58" customWidth="1"/>
    <col min="7" max="15" width="15.7109375" style="58" customWidth="1"/>
    <col min="16" max="16384" width="9.140625" style="58"/>
  </cols>
  <sheetData>
    <row r="1" spans="1:6">
      <c r="A1" s="166" t="s">
        <v>57</v>
      </c>
      <c r="B1" s="166"/>
      <c r="C1" s="166"/>
      <c r="D1" s="166"/>
      <c r="E1" s="166"/>
      <c r="F1" s="166"/>
    </row>
    <row r="2" spans="1:6">
      <c r="A2" s="166"/>
      <c r="B2" s="166"/>
      <c r="C2" s="166"/>
      <c r="D2" s="166"/>
      <c r="E2" s="166"/>
      <c r="F2" s="166"/>
    </row>
    <row r="3" spans="1:6" ht="18">
      <c r="A3" s="59" t="s">
        <v>48</v>
      </c>
      <c r="B3" s="60" t="s">
        <v>58</v>
      </c>
      <c r="C3" s="60" t="s">
        <v>59</v>
      </c>
      <c r="D3" s="60" t="s">
        <v>60</v>
      </c>
      <c r="E3" s="60" t="s">
        <v>61</v>
      </c>
      <c r="F3" s="60" t="s">
        <v>62</v>
      </c>
    </row>
    <row r="4" spans="1:6" ht="18">
      <c r="A4" s="61" t="s">
        <v>49</v>
      </c>
      <c r="B4" s="62">
        <f>VLOOKUP(Sheet1!$AH91,Sheet1!$AH$91:$AO$105,4)</f>
        <v>7</v>
      </c>
      <c r="C4" s="62">
        <f>VLOOKUP(Sheet1!$AH91,Sheet1!$AH$91:$AO$105,5)</f>
        <v>8</v>
      </c>
      <c r="D4" s="62">
        <f>VLOOKUP(Sheet1!$AH91,Sheet1!$AH$91:$AO$105,6)</f>
        <v>6</v>
      </c>
      <c r="E4" s="62">
        <f>VLOOKUP(Sheet1!$AH91,Sheet1!$AH$91:$AO$105,8)</f>
        <v>5</v>
      </c>
      <c r="F4" s="63">
        <f>SUM(B4:E4)</f>
        <v>26</v>
      </c>
    </row>
    <row r="5" spans="1:6" ht="18">
      <c r="A5" s="59" t="s">
        <v>50</v>
      </c>
      <c r="B5" s="62">
        <f>VLOOKUP(Sheet1!$AH93,Sheet1!$AH$91:$AO$105,4)</f>
        <v>7</v>
      </c>
      <c r="C5" s="62">
        <f>VLOOKUP(Sheet1!$AH93,Sheet1!$AH$91:$AO$105,5)</f>
        <v>8</v>
      </c>
      <c r="D5" s="62">
        <f>VLOOKUP(Sheet1!$AH93,Sheet1!$AH$91:$AO$105,6)</f>
        <v>6</v>
      </c>
      <c r="E5" s="62">
        <f>VLOOKUP(Sheet1!$AH93,Sheet1!$AH$91:$AO$105,8)</f>
        <v>5</v>
      </c>
      <c r="F5" s="63">
        <f t="shared" ref="F5:F11" si="0">SUM(B5:E5)</f>
        <v>26</v>
      </c>
    </row>
    <row r="6" spans="1:6" ht="18">
      <c r="A6" s="59" t="s">
        <v>51</v>
      </c>
      <c r="B6" s="62">
        <f>VLOOKUP(Sheet1!$AH95,Sheet1!$AH$91:$AO$105,4)</f>
        <v>7</v>
      </c>
      <c r="C6" s="62">
        <f>VLOOKUP(Sheet1!$AH95,Sheet1!$AH$91:$AO$105,5)</f>
        <v>8</v>
      </c>
      <c r="D6" s="62">
        <f>VLOOKUP(Sheet1!$AH95,Sheet1!$AH$91:$AO$105,6)</f>
        <v>6</v>
      </c>
      <c r="E6" s="62">
        <f>VLOOKUP(Sheet1!$AH95,Sheet1!$AH$91:$AO$105,8)</f>
        <v>5</v>
      </c>
      <c r="F6" s="63">
        <f t="shared" si="0"/>
        <v>26</v>
      </c>
    </row>
    <row r="7" spans="1:6" ht="18">
      <c r="A7" s="59" t="s">
        <v>52</v>
      </c>
      <c r="B7" s="62">
        <f>VLOOKUP(Sheet1!$AH97,Sheet1!$AH$91:$AO$105,4)</f>
        <v>7</v>
      </c>
      <c r="C7" s="62">
        <f>VLOOKUP(Sheet1!$AH97,Sheet1!$AH$91:$AO$105,5)</f>
        <v>8</v>
      </c>
      <c r="D7" s="62">
        <f>VLOOKUP(Sheet1!$AH97,Sheet1!$AH$91:$AO$105,6)</f>
        <v>6</v>
      </c>
      <c r="E7" s="62">
        <f>VLOOKUP(Sheet1!$AH97,Sheet1!$AH$91:$AO$105,8)</f>
        <v>5</v>
      </c>
      <c r="F7" s="63">
        <f t="shared" si="0"/>
        <v>26</v>
      </c>
    </row>
    <row r="8" spans="1:6" ht="18">
      <c r="A8" s="59" t="s">
        <v>53</v>
      </c>
      <c r="B8" s="62">
        <f>VLOOKUP(Sheet1!$AH99,Sheet1!$AH$91:$AO$105,4)</f>
        <v>7</v>
      </c>
      <c r="C8" s="62">
        <f>VLOOKUP(Sheet1!$AH99,Sheet1!$AH$91:$AO$105,5)</f>
        <v>8</v>
      </c>
      <c r="D8" s="62">
        <f>VLOOKUP(Sheet1!$AH99,Sheet1!$AH$91:$AO$105,6)</f>
        <v>6</v>
      </c>
      <c r="E8" s="62">
        <f>VLOOKUP(Sheet1!$AH99,Sheet1!$AH$91:$AO$105,8)</f>
        <v>5</v>
      </c>
      <c r="F8" s="63">
        <f t="shared" si="0"/>
        <v>26</v>
      </c>
    </row>
    <row r="9" spans="1:6" ht="18">
      <c r="A9" s="59" t="s">
        <v>54</v>
      </c>
      <c r="B9" s="62">
        <f>VLOOKUP(Sheet1!$AH101,Sheet1!$AH$91:$AO$105,4)</f>
        <v>7</v>
      </c>
      <c r="C9" s="62">
        <f>VLOOKUP(Sheet1!$AH101,Sheet1!$AH$91:$AO$105,5)</f>
        <v>8</v>
      </c>
      <c r="D9" s="62">
        <f>VLOOKUP(Sheet1!$AH101,Sheet1!$AH$91:$AO$105,6)</f>
        <v>6</v>
      </c>
      <c r="E9" s="62">
        <f>VLOOKUP(Sheet1!$AH101,Sheet1!$AH$91:$AO$105,8)</f>
        <v>5</v>
      </c>
      <c r="F9" s="63">
        <f t="shared" si="0"/>
        <v>26</v>
      </c>
    </row>
    <row r="10" spans="1:6" ht="18">
      <c r="A10" s="59" t="s">
        <v>55</v>
      </c>
      <c r="B10" s="62">
        <f>VLOOKUP(Sheet1!$AH103,Sheet1!$AH$91:$AO$105,4)</f>
        <v>9</v>
      </c>
      <c r="C10" s="62">
        <f>VLOOKUP(Sheet1!$AH103,Sheet1!$AH$91:$AO$105,5)</f>
        <v>8</v>
      </c>
      <c r="D10" s="62">
        <f>VLOOKUP(Sheet1!$AH103,Sheet1!$AH$91:$AO$105,6)</f>
        <v>4</v>
      </c>
      <c r="E10" s="62">
        <f>VLOOKUP(Sheet1!$AH103,Sheet1!$AH$91:$AO$105,8)</f>
        <v>4</v>
      </c>
      <c r="F10" s="63">
        <f t="shared" si="0"/>
        <v>25</v>
      </c>
    </row>
    <row r="11" spans="1:6" ht="18">
      <c r="A11" s="59" t="s">
        <v>56</v>
      </c>
      <c r="B11" s="62">
        <f>VLOOKUP(Sheet1!$AH105,Sheet1!$AH$91:$AO$105,4)</f>
        <v>7</v>
      </c>
      <c r="C11" s="62">
        <f>VLOOKUP(Sheet1!$AH105,Sheet1!$AH$91:$AO$105,5)</f>
        <v>8</v>
      </c>
      <c r="D11" s="62">
        <f>VLOOKUP(Sheet1!$AH105,Sheet1!$AH$91:$AO$105,6)</f>
        <v>6</v>
      </c>
      <c r="E11" s="62">
        <f>VLOOKUP(Sheet1!$AH105,Sheet1!$AH$91:$AO$105,8)</f>
        <v>5</v>
      </c>
      <c r="F11" s="63">
        <f t="shared" si="0"/>
        <v>26</v>
      </c>
    </row>
    <row r="12" spans="1:6" ht="18">
      <c r="A12" s="66"/>
      <c r="B12" s="67"/>
      <c r="C12" s="67"/>
      <c r="D12" s="67"/>
      <c r="E12" s="67"/>
    </row>
    <row r="13" spans="1:6" ht="18">
      <c r="A13" s="66"/>
      <c r="B13" s="67"/>
      <c r="C13" s="67"/>
      <c r="D13" s="67"/>
      <c r="E13" s="67"/>
    </row>
    <row r="14" spans="1:6" ht="18">
      <c r="A14" s="66"/>
      <c r="B14" s="67"/>
      <c r="C14" s="67"/>
      <c r="D14" s="67"/>
      <c r="E14" s="67"/>
    </row>
    <row r="15" spans="1:6" ht="18">
      <c r="A15" s="66"/>
      <c r="B15" s="67"/>
      <c r="C15" s="67"/>
      <c r="D15" s="67"/>
      <c r="E15" s="67"/>
    </row>
    <row r="21" spans="1:6">
      <c r="A21" s="68" t="s">
        <v>25</v>
      </c>
      <c r="C21" s="68" t="s">
        <v>26</v>
      </c>
      <c r="E21" s="68" t="s">
        <v>27</v>
      </c>
    </row>
    <row r="23" spans="1:6">
      <c r="B23" s="64" t="s">
        <v>46</v>
      </c>
      <c r="D23" s="64" t="s">
        <v>28</v>
      </c>
      <c r="F23" s="64" t="s">
        <v>35</v>
      </c>
    </row>
    <row r="24" spans="1:6">
      <c r="B24" s="65" t="s">
        <v>29</v>
      </c>
      <c r="D24" s="65" t="s">
        <v>30</v>
      </c>
      <c r="F24" s="65" t="s">
        <v>47</v>
      </c>
    </row>
    <row r="32" spans="1:6">
      <c r="A32" s="166" t="s">
        <v>64</v>
      </c>
      <c r="B32" s="166"/>
      <c r="C32" s="166"/>
      <c r="D32" s="166"/>
      <c r="E32" s="166"/>
      <c r="F32" s="166"/>
    </row>
    <row r="33" spans="1:6">
      <c r="A33" s="166"/>
      <c r="B33" s="166"/>
      <c r="C33" s="166"/>
      <c r="D33" s="166"/>
      <c r="E33" s="166"/>
      <c r="F33" s="166"/>
    </row>
    <row r="34" spans="1:6" ht="18">
      <c r="A34" s="59" t="s">
        <v>48</v>
      </c>
      <c r="B34" s="60" t="s">
        <v>58</v>
      </c>
      <c r="C34" s="60" t="s">
        <v>59</v>
      </c>
      <c r="D34" s="60" t="s">
        <v>60</v>
      </c>
      <c r="E34" s="60" t="s">
        <v>61</v>
      </c>
      <c r="F34" s="60" t="s">
        <v>62</v>
      </c>
    </row>
    <row r="35" spans="1:6" ht="18">
      <c r="A35" s="61" t="s">
        <v>49</v>
      </c>
      <c r="B35" s="62">
        <f>VLOOKUP(Sheet1!$AH$122,Sheet1!$AH$122:$AS$139,4)</f>
        <v>10</v>
      </c>
      <c r="C35" s="62">
        <f>VLOOKUP(Sheet1!$AH$122,Sheet1!$AH$122:$AS$139,5)</f>
        <v>9</v>
      </c>
      <c r="D35" s="62">
        <f>VLOOKUP(Sheet1!$AH$122,Sheet1!$AH$122:$AS$139,6)</f>
        <v>5</v>
      </c>
      <c r="E35" s="62">
        <f>VLOOKUP(Sheet1!$AH$122,Sheet1!$AH$122:$AS$139,8)</f>
        <v>3</v>
      </c>
      <c r="F35" s="63">
        <f>SUM(B35:E35)</f>
        <v>27</v>
      </c>
    </row>
    <row r="36" spans="1:6" ht="18">
      <c r="A36" s="59" t="s">
        <v>50</v>
      </c>
      <c r="B36" s="62">
        <f>VLOOKUP(Sheet1!$AH$124,Sheet1!$AH$122:$AS$139,4)</f>
        <v>10</v>
      </c>
      <c r="C36" s="62">
        <f>VLOOKUP(Sheet1!$AH$124,Sheet1!$AH$122:$AS$139,5)</f>
        <v>9</v>
      </c>
      <c r="D36" s="62">
        <f>VLOOKUP(Sheet1!$AH$124,Sheet1!$AH$122:$AS$139,6)</f>
        <v>5</v>
      </c>
      <c r="E36" s="62">
        <f>VLOOKUP(Sheet1!$AH$124,Sheet1!$AH$122:$AS$139,8)</f>
        <v>3</v>
      </c>
      <c r="F36" s="63">
        <f t="shared" ref="F36:F43" si="1">SUM(B36:E36)</f>
        <v>27</v>
      </c>
    </row>
    <row r="37" spans="1:6" ht="18">
      <c r="A37" s="59" t="s">
        <v>51</v>
      </c>
      <c r="B37" s="62">
        <f>VLOOKUP(Sheet1!$AH$126,Sheet1!$AH$122:$AS$139,4)</f>
        <v>10</v>
      </c>
      <c r="C37" s="62">
        <f>VLOOKUP(Sheet1!$AH$126,Sheet1!$AH$122:$AS$139,5)</f>
        <v>9</v>
      </c>
      <c r="D37" s="62">
        <f>VLOOKUP(Sheet1!$AH$126,Sheet1!$AH$122:$AS$139,6)</f>
        <v>5</v>
      </c>
      <c r="E37" s="62">
        <f>VLOOKUP(Sheet1!$AH$126,Sheet1!$AH$122:$AS$139,8)</f>
        <v>3</v>
      </c>
      <c r="F37" s="63">
        <f t="shared" si="1"/>
        <v>27</v>
      </c>
    </row>
    <row r="38" spans="1:6" ht="18">
      <c r="A38" s="59" t="s">
        <v>63</v>
      </c>
      <c r="B38" s="62">
        <f>VLOOKUP(Sheet1!$AH$128,Sheet1!$AH$122:$AS$139,4)</f>
        <v>7</v>
      </c>
      <c r="C38" s="62">
        <f>VLOOKUP(Sheet1!$AH$128,Sheet1!$AH$122:$AS$139,5)</f>
        <v>8</v>
      </c>
      <c r="D38" s="62">
        <f>VLOOKUP(Sheet1!$AH$128,Sheet1!$AH$122:$AS$139,6)</f>
        <v>4</v>
      </c>
      <c r="E38" s="62">
        <f>VLOOKUP(Sheet1!$AH$128,Sheet1!$AH$122:$AS$139,8)</f>
        <v>5</v>
      </c>
      <c r="F38" s="63">
        <f t="shared" si="1"/>
        <v>24</v>
      </c>
    </row>
    <row r="39" spans="1:6" ht="18">
      <c r="A39" s="59" t="s">
        <v>65</v>
      </c>
      <c r="B39" s="62">
        <f>VLOOKUP(Sheet1!$AH$130,Sheet1!$AH$122:$AS$139,4)</f>
        <v>10</v>
      </c>
      <c r="C39" s="62">
        <f>VLOOKUP(Sheet1!$AH$130,Sheet1!$AH$122:$AS$139,5)</f>
        <v>9</v>
      </c>
      <c r="D39" s="62">
        <f>VLOOKUP(Sheet1!$AH$130,Sheet1!$AH$122:$AS$139,6)</f>
        <v>5</v>
      </c>
      <c r="E39" s="62">
        <f>VLOOKUP(Sheet1!$AH$130,Sheet1!$AH$122:$AS$139,8)</f>
        <v>3</v>
      </c>
      <c r="F39" s="63">
        <f t="shared" si="1"/>
        <v>27</v>
      </c>
    </row>
    <row r="40" spans="1:6" ht="18">
      <c r="A40" s="59" t="s">
        <v>66</v>
      </c>
      <c r="B40" s="62">
        <f>VLOOKUP(Sheet1!$AH$132,Sheet1!$AH$122:$AS$139,4)</f>
        <v>10</v>
      </c>
      <c r="C40" s="62">
        <f>VLOOKUP(Sheet1!$AH$132,Sheet1!$AH$122:$AS$139,5)</f>
        <v>9</v>
      </c>
      <c r="D40" s="62">
        <f>VLOOKUP(Sheet1!$AH$132,Sheet1!$AH$122:$AS$139,6)</f>
        <v>5</v>
      </c>
      <c r="E40" s="62">
        <f>VLOOKUP(Sheet1!$AH$132,Sheet1!$AH$122:$AS$139,8)</f>
        <v>3</v>
      </c>
      <c r="F40" s="63">
        <f t="shared" si="1"/>
        <v>27</v>
      </c>
    </row>
    <row r="41" spans="1:6" ht="18">
      <c r="A41" s="59" t="s">
        <v>67</v>
      </c>
      <c r="B41" s="62">
        <f>VLOOKUP(Sheet1!$AH$134,Sheet1!$AH$122:$AS$139,4)</f>
        <v>10</v>
      </c>
      <c r="C41" s="62">
        <f>VLOOKUP(Sheet1!$AH$134,Sheet1!$AH$122:$AS$139,5)</f>
        <v>9</v>
      </c>
      <c r="D41" s="62">
        <f>VLOOKUP(Sheet1!$AH$134,Sheet1!$AH$122:$AS$139,6)</f>
        <v>5</v>
      </c>
      <c r="E41" s="62">
        <f>VLOOKUP(Sheet1!$AH$134,Sheet1!$AH$122:$AS$139,8)</f>
        <v>3</v>
      </c>
      <c r="F41" s="63">
        <f t="shared" si="1"/>
        <v>27</v>
      </c>
    </row>
    <row r="42" spans="1:6" ht="18">
      <c r="A42" s="59" t="s">
        <v>68</v>
      </c>
      <c r="B42" s="62">
        <f>VLOOKUP(Sheet1!$AH$136,Sheet1!$AH$122:$AS$139,4)</f>
        <v>9</v>
      </c>
      <c r="C42" s="62">
        <f>VLOOKUP(Sheet1!$AH$136,Sheet1!$AH$122:$AS$139,5)</f>
        <v>8</v>
      </c>
      <c r="D42" s="62">
        <f>VLOOKUP(Sheet1!$AH$136,Sheet1!$AH$122:$AS$139,6)</f>
        <v>4</v>
      </c>
      <c r="E42" s="62">
        <f>VLOOKUP(Sheet1!$AH$136,Sheet1!$AH$122:$AS$139,8)</f>
        <v>4</v>
      </c>
      <c r="F42" s="63">
        <f t="shared" si="1"/>
        <v>25</v>
      </c>
    </row>
    <row r="43" spans="1:6" ht="18">
      <c r="A43" s="59" t="s">
        <v>69</v>
      </c>
      <c r="B43" s="62">
        <f>VLOOKUP(Sheet1!$AH$138,Sheet1!$AH$122:$AS$139,4)</f>
        <v>10</v>
      </c>
      <c r="C43" s="62">
        <f>VLOOKUP(Sheet1!$AH$138,Sheet1!$AH$122:$AS$139,5)</f>
        <v>9</v>
      </c>
      <c r="D43" s="62">
        <f>VLOOKUP(Sheet1!$AH$138,Sheet1!$AH$122:$AS$139,6)</f>
        <v>5</v>
      </c>
      <c r="E43" s="62">
        <f>VLOOKUP(Sheet1!$AH$138,Sheet1!$AH$122:$AS$139,8)</f>
        <v>3</v>
      </c>
      <c r="F43" s="63">
        <f t="shared" si="1"/>
        <v>27</v>
      </c>
    </row>
    <row r="44" spans="1:6" ht="18">
      <c r="A44" s="66"/>
      <c r="B44" s="67"/>
      <c r="C44" s="67"/>
      <c r="D44" s="67"/>
      <c r="E44" s="67"/>
    </row>
    <row r="45" spans="1:6" ht="18">
      <c r="A45" s="66"/>
      <c r="B45" s="67"/>
      <c r="C45" s="67"/>
      <c r="D45" s="67"/>
      <c r="E45" s="67"/>
    </row>
    <row r="46" spans="1:6" ht="18">
      <c r="A46" s="66"/>
      <c r="B46" s="67"/>
      <c r="C46" s="67"/>
      <c r="D46" s="67"/>
      <c r="E46" s="67"/>
    </row>
    <row r="47" spans="1:6" ht="18">
      <c r="A47" s="66"/>
      <c r="B47" s="67"/>
      <c r="C47" s="67"/>
      <c r="D47" s="67"/>
      <c r="E47" s="67"/>
    </row>
    <row r="53" spans="1:6">
      <c r="A53" s="68" t="s">
        <v>25</v>
      </c>
      <c r="C53" s="68" t="s">
        <v>26</v>
      </c>
      <c r="E53" s="68" t="s">
        <v>27</v>
      </c>
    </row>
    <row r="55" spans="1:6">
      <c r="B55" s="64" t="s">
        <v>46</v>
      </c>
      <c r="D55" s="64" t="s">
        <v>28</v>
      </c>
      <c r="F55" s="64" t="s">
        <v>35</v>
      </c>
    </row>
    <row r="56" spans="1:6">
      <c r="B56" s="65" t="s">
        <v>29</v>
      </c>
      <c r="D56" s="65" t="s">
        <v>30</v>
      </c>
      <c r="F56" s="65" t="s">
        <v>47</v>
      </c>
    </row>
  </sheetData>
  <mergeCells count="2">
    <mergeCell ref="A32:F33"/>
    <mergeCell ref="A1:F2"/>
  </mergeCells>
  <conditionalFormatting sqref="C21">
    <cfRule type="colorScale" priority="4">
      <colorScale>
        <cfvo type="num" val="1"/>
        <cfvo type="num" val="2"/>
        <cfvo type="num" val="3"/>
        <color rgb="FFF8696B"/>
        <color rgb="FFFFEB84"/>
        <color rgb="FF63BE7B"/>
      </colorScale>
    </cfRule>
  </conditionalFormatting>
  <conditionalFormatting sqref="E21">
    <cfRule type="colorScale" priority="3">
      <colorScale>
        <cfvo type="num" val="1"/>
        <cfvo type="num" val="2"/>
        <cfvo type="num" val="3"/>
        <color rgb="FFF8696B"/>
        <color rgb="FFFFEB84"/>
        <color rgb="FF63BE7B"/>
      </colorScale>
    </cfRule>
  </conditionalFormatting>
  <conditionalFormatting sqref="C53">
    <cfRule type="colorScale" priority="2">
      <colorScale>
        <cfvo type="num" val="1"/>
        <cfvo type="num" val="2"/>
        <cfvo type="num" val="3"/>
        <color rgb="FFF8696B"/>
        <color rgb="FFFFEB84"/>
        <color rgb="FF63BE7B"/>
      </colorScale>
    </cfRule>
  </conditionalFormatting>
  <conditionalFormatting sqref="E53">
    <cfRule type="colorScale" priority="1">
      <colorScale>
        <cfvo type="num" val="1"/>
        <cfvo type="num" val="2"/>
        <cfvo type="num" val="3"/>
        <color rgb="FFF8696B"/>
        <color rgb="FFFFEB84"/>
        <color rgb="FF63BE7B"/>
      </colorScale>
    </cfRule>
  </conditionalFormatting>
  <pageMargins left="0.7" right="0.7" top="0.75" bottom="0.75" header="0.3" footer="0.3"/>
  <pageSetup paperSize="9" scale="92" fitToHeight="0" orientation="landscape" r:id="rId1"/>
</worksheet>
</file>

<file path=xl/worksheets/sheet3.xml><?xml version="1.0" encoding="utf-8"?>
<worksheet xmlns="http://schemas.openxmlformats.org/spreadsheetml/2006/main" xmlns:r="http://schemas.openxmlformats.org/officeDocument/2006/relationships">
  <sheetPr codeName="Sheet2"/>
  <dimension ref="A1:AY28"/>
  <sheetViews>
    <sheetView view="pageBreakPreview" zoomScale="110" zoomScaleSheetLayoutView="110" workbookViewId="0">
      <selection activeCell="X13" sqref="X13"/>
    </sheetView>
  </sheetViews>
  <sheetFormatPr defaultRowHeight="15"/>
  <cols>
    <col min="1" max="1" width="17" customWidth="1"/>
    <col min="2" max="33" width="4.140625" customWidth="1"/>
  </cols>
  <sheetData>
    <row r="1" spans="1:51" ht="18.75">
      <c r="A1" s="149"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row>
    <row r="2" spans="1:51" ht="18.75">
      <c r="A2" s="149" t="s">
        <v>36</v>
      </c>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A2" s="149"/>
      <c r="AB2" s="149"/>
      <c r="AC2" s="149"/>
      <c r="AD2" s="149"/>
      <c r="AE2" s="149"/>
      <c r="AF2" s="149"/>
      <c r="AG2" s="149"/>
    </row>
    <row r="3" spans="1:51">
      <c r="A3" s="1" t="s">
        <v>1</v>
      </c>
      <c r="B3" s="2" t="s">
        <v>2</v>
      </c>
      <c r="C3" s="2" t="s">
        <v>3</v>
      </c>
      <c r="D3" s="2" t="s">
        <v>4</v>
      </c>
      <c r="E3" s="2" t="s">
        <v>5</v>
      </c>
      <c r="F3" s="2" t="s">
        <v>6</v>
      </c>
      <c r="G3" s="2" t="s">
        <v>7</v>
      </c>
      <c r="H3" s="2" t="s">
        <v>8</v>
      </c>
      <c r="I3" s="2" t="s">
        <v>2</v>
      </c>
      <c r="J3" s="2" t="s">
        <v>3</v>
      </c>
      <c r="K3" s="2" t="s">
        <v>4</v>
      </c>
      <c r="L3" s="2" t="s">
        <v>5</v>
      </c>
      <c r="M3" s="2" t="s">
        <v>6</v>
      </c>
      <c r="N3" s="2" t="s">
        <v>7</v>
      </c>
      <c r="O3" s="2" t="s">
        <v>8</v>
      </c>
      <c r="P3" s="2" t="s">
        <v>2</v>
      </c>
      <c r="Q3" s="2" t="s">
        <v>3</v>
      </c>
      <c r="R3" s="2" t="s">
        <v>4</v>
      </c>
      <c r="S3" s="2" t="s">
        <v>5</v>
      </c>
      <c r="T3" s="2" t="s">
        <v>6</v>
      </c>
      <c r="U3" s="2" t="s">
        <v>7</v>
      </c>
      <c r="V3" s="2" t="s">
        <v>8</v>
      </c>
      <c r="W3" s="2" t="s">
        <v>2</v>
      </c>
      <c r="X3" s="2" t="s">
        <v>3</v>
      </c>
      <c r="Y3" s="2" t="s">
        <v>4</v>
      </c>
      <c r="Z3" s="2" t="s">
        <v>5</v>
      </c>
      <c r="AA3" s="2" t="s">
        <v>6</v>
      </c>
      <c r="AB3" s="2" t="s">
        <v>7</v>
      </c>
      <c r="AC3" s="2" t="s">
        <v>8</v>
      </c>
      <c r="AD3" s="2" t="s">
        <v>2</v>
      </c>
      <c r="AE3" s="2" t="s">
        <v>3</v>
      </c>
      <c r="AF3" s="2"/>
      <c r="AG3" s="26"/>
    </row>
    <row r="4" spans="1:51">
      <c r="A4" s="3" t="s">
        <v>9</v>
      </c>
      <c r="B4" s="4">
        <v>1</v>
      </c>
      <c r="C4" s="4">
        <v>2</v>
      </c>
      <c r="D4" s="4">
        <v>3</v>
      </c>
      <c r="E4" s="5">
        <v>4</v>
      </c>
      <c r="F4" s="5">
        <v>5</v>
      </c>
      <c r="G4" s="4">
        <v>6</v>
      </c>
      <c r="H4" s="4">
        <v>7</v>
      </c>
      <c r="I4" s="4">
        <v>8</v>
      </c>
      <c r="J4" s="4">
        <v>9</v>
      </c>
      <c r="K4" s="4">
        <v>10</v>
      </c>
      <c r="L4" s="6">
        <v>11</v>
      </c>
      <c r="M4" s="6">
        <v>12</v>
      </c>
      <c r="N4" s="4">
        <v>13</v>
      </c>
      <c r="O4" s="4">
        <v>14</v>
      </c>
      <c r="P4" s="4">
        <v>15</v>
      </c>
      <c r="Q4" s="4">
        <v>16</v>
      </c>
      <c r="R4" s="4">
        <v>17</v>
      </c>
      <c r="S4" s="6">
        <v>18</v>
      </c>
      <c r="T4" s="6">
        <v>19</v>
      </c>
      <c r="U4" s="4">
        <v>20</v>
      </c>
      <c r="V4" s="4">
        <v>21</v>
      </c>
      <c r="W4" s="4">
        <v>22</v>
      </c>
      <c r="X4" s="4">
        <v>23</v>
      </c>
      <c r="Y4" s="4">
        <v>24</v>
      </c>
      <c r="Z4" s="6">
        <v>25</v>
      </c>
      <c r="AA4" s="6">
        <v>26</v>
      </c>
      <c r="AB4" s="4">
        <v>27</v>
      </c>
      <c r="AC4" s="4">
        <v>28</v>
      </c>
      <c r="AD4" s="4">
        <v>29</v>
      </c>
      <c r="AE4" s="4">
        <v>30</v>
      </c>
      <c r="AF4" s="4"/>
      <c r="AG4" s="27">
        <v>24</v>
      </c>
      <c r="AJ4">
        <v>3</v>
      </c>
      <c r="AK4">
        <v>1</v>
      </c>
      <c r="AL4">
        <v>2</v>
      </c>
      <c r="AM4" t="s">
        <v>10</v>
      </c>
      <c r="AN4" t="s">
        <v>11</v>
      </c>
      <c r="AO4">
        <v>4</v>
      </c>
      <c r="AP4">
        <v>5</v>
      </c>
    </row>
    <row r="5" spans="1:51">
      <c r="A5" s="150" t="s">
        <v>16</v>
      </c>
      <c r="B5" s="11" t="s">
        <v>11</v>
      </c>
      <c r="C5" s="12" t="s">
        <v>11</v>
      </c>
      <c r="D5" s="8" t="s">
        <v>11</v>
      </c>
      <c r="E5" s="8" t="s">
        <v>10</v>
      </c>
      <c r="F5" s="8" t="s">
        <v>10</v>
      </c>
      <c r="G5" s="8" t="s">
        <v>11</v>
      </c>
      <c r="H5" s="8" t="s">
        <v>11</v>
      </c>
      <c r="I5" s="9" t="s">
        <v>11</v>
      </c>
      <c r="J5" s="8" t="s">
        <v>11</v>
      </c>
      <c r="K5" s="8" t="s">
        <v>11</v>
      </c>
      <c r="L5" s="8">
        <v>2</v>
      </c>
      <c r="M5" s="8" t="s">
        <v>10</v>
      </c>
      <c r="N5" s="8" t="s">
        <v>11</v>
      </c>
      <c r="O5" s="8" t="s">
        <v>11</v>
      </c>
      <c r="P5" s="9" t="s">
        <v>11</v>
      </c>
      <c r="Q5" s="8" t="s">
        <v>11</v>
      </c>
      <c r="R5" s="8" t="s">
        <v>11</v>
      </c>
      <c r="S5" s="8" t="s">
        <v>10</v>
      </c>
      <c r="T5" s="8">
        <v>2</v>
      </c>
      <c r="U5" s="8" t="s">
        <v>11</v>
      </c>
      <c r="V5" s="8" t="s">
        <v>11</v>
      </c>
      <c r="W5" s="9" t="s">
        <v>11</v>
      </c>
      <c r="X5" s="8" t="s">
        <v>11</v>
      </c>
      <c r="Y5" s="8" t="s">
        <v>11</v>
      </c>
      <c r="Z5" s="29" t="s">
        <v>10</v>
      </c>
      <c r="AA5" s="8">
        <v>2</v>
      </c>
      <c r="AB5" s="8" t="s">
        <v>11</v>
      </c>
      <c r="AC5" s="8" t="s">
        <v>11</v>
      </c>
      <c r="AD5" s="9" t="s">
        <v>11</v>
      </c>
      <c r="AE5" s="8" t="s">
        <v>11</v>
      </c>
      <c r="AF5" s="8"/>
      <c r="AG5" s="17">
        <f>AR5</f>
        <v>25</v>
      </c>
      <c r="AJ5" s="10">
        <f>COUNTIF($B5:$AF5,3)</f>
        <v>0</v>
      </c>
      <c r="AK5" s="10">
        <f>COUNTIF($B5:$AF5,1)</f>
        <v>0</v>
      </c>
      <c r="AL5" s="10">
        <f>COUNTIF($B5:$AF5,2)</f>
        <v>3</v>
      </c>
      <c r="AM5" s="10">
        <f>COUNTIF($B5:$AF5,"DO")</f>
        <v>5</v>
      </c>
      <c r="AN5" s="10">
        <f>COUNTIF($B5:$AF5,"R")</f>
        <v>22</v>
      </c>
      <c r="AO5" s="10">
        <f>COUNTIF($B5:$AF5,4)</f>
        <v>0</v>
      </c>
      <c r="AP5" s="10">
        <f>COUNTIF($B5:$AF5,5)</f>
        <v>0</v>
      </c>
      <c r="AQ5" s="10">
        <f>SUM(AJ5:AN5)</f>
        <v>30</v>
      </c>
      <c r="AR5" s="10">
        <f>AP5+AO5+AN5+AL5+AK5+AJ5</f>
        <v>25</v>
      </c>
      <c r="AT5" s="10">
        <f>COUNTIF($B5:$P5,3)</f>
        <v>0</v>
      </c>
      <c r="AU5" s="10">
        <f>COUNTIF($B5:$P5,1)</f>
        <v>0</v>
      </c>
      <c r="AV5" s="10">
        <f>COUNTIF($B5:$P5,2)</f>
        <v>1</v>
      </c>
      <c r="AW5" s="10">
        <f>COUNTIF($B5:$P5,"DO")</f>
        <v>3</v>
      </c>
      <c r="AX5" s="10">
        <f>COUNTIF($B5:$P5,"R")</f>
        <v>11</v>
      </c>
      <c r="AY5" s="10">
        <f>SUM(AT5:AX5)</f>
        <v>15</v>
      </c>
    </row>
    <row r="6" spans="1:51">
      <c r="A6" s="151"/>
      <c r="B6" s="11"/>
      <c r="C6" s="12"/>
      <c r="D6" s="12"/>
      <c r="E6" s="12"/>
      <c r="F6" s="11"/>
      <c r="G6" s="12"/>
      <c r="H6" s="12"/>
      <c r="I6" s="12"/>
      <c r="J6" s="11"/>
      <c r="K6" s="12"/>
      <c r="L6" s="12"/>
      <c r="M6" s="12"/>
      <c r="N6" s="11"/>
      <c r="O6" s="12"/>
      <c r="P6" s="12"/>
      <c r="Q6" s="12"/>
      <c r="R6" s="11"/>
      <c r="S6" s="12"/>
      <c r="T6" s="12"/>
      <c r="U6" s="12"/>
      <c r="V6" s="11"/>
      <c r="W6" s="12"/>
      <c r="X6" s="12"/>
      <c r="Y6" s="12"/>
      <c r="Z6" s="11"/>
      <c r="AA6" s="12"/>
      <c r="AB6" s="12"/>
      <c r="AC6" s="12"/>
      <c r="AD6" s="12"/>
      <c r="AE6" s="12"/>
      <c r="AF6" s="12"/>
      <c r="AG6" s="17"/>
      <c r="AJ6" s="10"/>
      <c r="AK6" s="10"/>
      <c r="AL6" s="10"/>
      <c r="AM6" s="10"/>
      <c r="AN6" s="10"/>
      <c r="AO6" s="10"/>
      <c r="AP6" s="10"/>
      <c r="AQ6" s="10"/>
      <c r="AR6" s="10"/>
      <c r="AT6" s="10"/>
      <c r="AU6" s="10"/>
      <c r="AV6" s="10"/>
      <c r="AW6" s="10"/>
      <c r="AX6" s="10"/>
      <c r="AY6" s="10"/>
    </row>
    <row r="7" spans="1:51">
      <c r="A7" s="150" t="s">
        <v>12</v>
      </c>
      <c r="B7" s="8">
        <v>4</v>
      </c>
      <c r="C7" s="8">
        <v>5</v>
      </c>
      <c r="D7" s="8">
        <v>1</v>
      </c>
      <c r="E7" s="8" t="s">
        <v>10</v>
      </c>
      <c r="F7" s="8">
        <v>5</v>
      </c>
      <c r="G7" s="8">
        <v>1</v>
      </c>
      <c r="H7" s="9">
        <v>2</v>
      </c>
      <c r="I7" s="29" t="s">
        <v>10</v>
      </c>
      <c r="J7" s="30" t="s">
        <v>10</v>
      </c>
      <c r="K7" s="29" t="s">
        <v>11</v>
      </c>
      <c r="L7" s="30">
        <v>3</v>
      </c>
      <c r="M7" s="41">
        <v>4</v>
      </c>
      <c r="N7" s="8">
        <v>5</v>
      </c>
      <c r="O7" s="29">
        <v>1</v>
      </c>
      <c r="P7" s="30">
        <v>3</v>
      </c>
      <c r="Q7" s="8">
        <v>4</v>
      </c>
      <c r="R7" s="8">
        <v>5</v>
      </c>
      <c r="S7" s="8">
        <v>1</v>
      </c>
      <c r="T7" s="9">
        <v>3</v>
      </c>
      <c r="U7" s="8">
        <v>4</v>
      </c>
      <c r="V7" s="9">
        <v>3</v>
      </c>
      <c r="W7" s="8">
        <v>1</v>
      </c>
      <c r="X7" s="8">
        <v>5</v>
      </c>
      <c r="Y7" s="8">
        <v>1</v>
      </c>
      <c r="Z7" s="8">
        <v>5</v>
      </c>
      <c r="AA7" s="29">
        <v>1</v>
      </c>
      <c r="AB7" s="30">
        <v>3</v>
      </c>
      <c r="AC7" s="29">
        <v>1</v>
      </c>
      <c r="AD7" s="30" t="s">
        <v>10</v>
      </c>
      <c r="AE7" s="8">
        <v>5</v>
      </c>
      <c r="AF7" s="9"/>
      <c r="AG7" s="17">
        <f>AR7</f>
        <v>26</v>
      </c>
      <c r="AJ7" s="10">
        <f>COUNTIF($B7:$AF7,3)</f>
        <v>5</v>
      </c>
      <c r="AK7" s="10">
        <f>COUNTIF($B7:$AF7,1)</f>
        <v>8</v>
      </c>
      <c r="AL7" s="10">
        <f>COUNTIF($B7:$AF7,2)</f>
        <v>1</v>
      </c>
      <c r="AM7" s="10">
        <f>COUNTIF($B7:$AF7,"DO")</f>
        <v>4</v>
      </c>
      <c r="AN7" s="10">
        <f>COUNTIF($B7:$AF7,"R")</f>
        <v>1</v>
      </c>
      <c r="AO7" s="10">
        <f t="shared" ref="AO7:AO15" si="0">COUNTIF($B7:$AF7,4)</f>
        <v>4</v>
      </c>
      <c r="AP7" s="10">
        <f t="shared" ref="AP7:AP15" si="1">COUNTIF($B7:$AF7,5)</f>
        <v>7</v>
      </c>
      <c r="AQ7" s="10">
        <f>SUM(AJ7:AN7)</f>
        <v>19</v>
      </c>
      <c r="AR7" s="10">
        <f>AP7+AO7+AN7+AL7+AK7+AJ7</f>
        <v>26</v>
      </c>
      <c r="AT7" s="10">
        <f t="shared" ref="AT7:AT15" si="2">COUNTIF($B7:$P7,3)</f>
        <v>2</v>
      </c>
      <c r="AU7" s="10">
        <f t="shared" ref="AU7:AU15" si="3">COUNTIF($B7:$P7,1)</f>
        <v>3</v>
      </c>
      <c r="AV7" s="10">
        <f t="shared" ref="AV7:AV15" si="4">COUNTIF($B7:$P7,2)</f>
        <v>1</v>
      </c>
      <c r="AW7" s="10">
        <f t="shared" ref="AW7:AW15" si="5">COUNTIF($B7:$P7,"DO")</f>
        <v>3</v>
      </c>
      <c r="AX7" s="10">
        <f t="shared" ref="AX7:AX15" si="6">COUNTIF($B7:$P7,"R")</f>
        <v>1</v>
      </c>
      <c r="AY7" s="10">
        <f>SUM(AT7:AX7)</f>
        <v>10</v>
      </c>
    </row>
    <row r="8" spans="1:51">
      <c r="A8" s="151"/>
      <c r="B8" s="4"/>
      <c r="C8" s="12"/>
      <c r="D8" s="12"/>
      <c r="E8" s="12"/>
      <c r="F8" s="12"/>
      <c r="G8" s="12"/>
      <c r="H8" s="28"/>
      <c r="I8" s="12"/>
      <c r="J8" s="28"/>
      <c r="K8" s="12"/>
      <c r="L8" s="12"/>
      <c r="M8" s="12"/>
      <c r="N8" s="4"/>
      <c r="O8" s="12"/>
      <c r="P8" s="12"/>
      <c r="Q8" s="12"/>
      <c r="R8" s="12"/>
      <c r="S8" s="12"/>
      <c r="T8" s="4"/>
      <c r="U8" s="12"/>
      <c r="V8" s="12"/>
      <c r="W8" s="12"/>
      <c r="X8" s="12"/>
      <c r="Y8" s="12"/>
      <c r="Z8" s="4" t="s">
        <v>11</v>
      </c>
      <c r="AA8" s="12" t="s">
        <v>11</v>
      </c>
      <c r="AC8" s="33"/>
      <c r="AD8" s="34"/>
      <c r="AE8" s="12"/>
      <c r="AF8" s="12"/>
      <c r="AG8" s="17"/>
      <c r="AJ8" s="10"/>
      <c r="AK8" s="10"/>
      <c r="AL8" s="10"/>
      <c r="AM8" s="10"/>
      <c r="AN8" s="10"/>
      <c r="AO8" s="10"/>
      <c r="AP8" s="10"/>
      <c r="AQ8" s="10"/>
      <c r="AR8" s="10"/>
      <c r="AT8" s="10"/>
      <c r="AU8" s="10"/>
      <c r="AV8" s="10"/>
      <c r="AW8" s="10"/>
      <c r="AX8" s="10"/>
      <c r="AY8" s="10"/>
    </row>
    <row r="9" spans="1:51">
      <c r="A9" s="150" t="s">
        <v>13</v>
      </c>
      <c r="B9" s="29" t="s">
        <v>11</v>
      </c>
      <c r="C9" s="29" t="s">
        <v>11</v>
      </c>
      <c r="D9" s="8" t="s">
        <v>10</v>
      </c>
      <c r="E9" s="8">
        <v>5</v>
      </c>
      <c r="F9" s="41">
        <v>1</v>
      </c>
      <c r="G9" s="8">
        <v>2</v>
      </c>
      <c r="H9" s="8">
        <v>3</v>
      </c>
      <c r="I9" s="41">
        <v>4</v>
      </c>
      <c r="J9" s="36">
        <v>2</v>
      </c>
      <c r="K9" s="8">
        <v>3</v>
      </c>
      <c r="L9" s="9">
        <v>1</v>
      </c>
      <c r="M9" s="8">
        <v>5</v>
      </c>
      <c r="N9" s="8">
        <v>1</v>
      </c>
      <c r="O9" s="8">
        <v>3</v>
      </c>
      <c r="P9" s="8">
        <v>4</v>
      </c>
      <c r="Q9" s="8">
        <v>5</v>
      </c>
      <c r="R9" s="30">
        <v>1</v>
      </c>
      <c r="S9" s="8">
        <v>2</v>
      </c>
      <c r="T9" s="8" t="s">
        <v>10</v>
      </c>
      <c r="U9" s="8">
        <v>5</v>
      </c>
      <c r="V9" s="8">
        <v>1</v>
      </c>
      <c r="W9" s="8">
        <v>5</v>
      </c>
      <c r="X9" s="8">
        <v>1</v>
      </c>
      <c r="Y9" s="8">
        <v>2</v>
      </c>
      <c r="Z9" s="8">
        <v>2</v>
      </c>
      <c r="AA9" s="8">
        <v>5</v>
      </c>
      <c r="AB9" s="8">
        <v>1</v>
      </c>
      <c r="AC9" s="8">
        <v>3</v>
      </c>
      <c r="AD9" s="8">
        <v>4</v>
      </c>
      <c r="AE9" s="8">
        <v>3</v>
      </c>
      <c r="AF9" s="30"/>
      <c r="AG9" s="17">
        <f>AR9</f>
        <v>28</v>
      </c>
      <c r="AJ9" s="10">
        <f>COUNTIF($B9:$AF9,3)</f>
        <v>5</v>
      </c>
      <c r="AK9" s="10">
        <f>COUNTIF($B9:$AF9,1)</f>
        <v>7</v>
      </c>
      <c r="AL9" s="10">
        <f>COUNTIF($B9:$AF9,2)</f>
        <v>5</v>
      </c>
      <c r="AM9" s="10">
        <f>COUNTIF($B9:$AF9,"DO")</f>
        <v>2</v>
      </c>
      <c r="AN9" s="10">
        <f>COUNTIF($B9:$AF9,"R")</f>
        <v>2</v>
      </c>
      <c r="AO9" s="10">
        <f t="shared" si="0"/>
        <v>3</v>
      </c>
      <c r="AP9" s="10">
        <f t="shared" si="1"/>
        <v>6</v>
      </c>
      <c r="AQ9" s="10">
        <f>SUM(AJ9:AN9)</f>
        <v>21</v>
      </c>
      <c r="AR9" s="10">
        <f>AP9+AO9+AN9+AL9+AK9+AJ9</f>
        <v>28</v>
      </c>
      <c r="AT9" s="10">
        <f t="shared" si="2"/>
        <v>3</v>
      </c>
      <c r="AU9" s="10">
        <f t="shared" si="3"/>
        <v>3</v>
      </c>
      <c r="AV9" s="10">
        <f t="shared" si="4"/>
        <v>2</v>
      </c>
      <c r="AW9" s="10">
        <f t="shared" si="5"/>
        <v>1</v>
      </c>
      <c r="AX9" s="10">
        <f t="shared" si="6"/>
        <v>2</v>
      </c>
      <c r="AY9" s="10">
        <f>SUM(AT9:AX9)</f>
        <v>11</v>
      </c>
    </row>
    <row r="10" spans="1:51">
      <c r="A10" s="151"/>
      <c r="B10" s="4"/>
      <c r="C10" s="35"/>
      <c r="D10" s="4"/>
      <c r="E10" s="35"/>
      <c r="F10" s="4"/>
      <c r="G10" s="35"/>
      <c r="H10" s="4"/>
      <c r="I10" s="35"/>
      <c r="J10" s="4"/>
      <c r="K10" s="35"/>
      <c r="L10" s="4"/>
      <c r="M10" s="35"/>
      <c r="N10" s="4"/>
      <c r="O10" s="35"/>
      <c r="P10" s="4"/>
      <c r="Q10" s="35"/>
      <c r="R10" s="4"/>
      <c r="S10" s="35"/>
      <c r="T10" s="4"/>
      <c r="U10" s="35"/>
      <c r="V10" s="4"/>
      <c r="W10" s="35"/>
      <c r="X10" s="4"/>
      <c r="Y10" s="35"/>
      <c r="Z10" s="4"/>
      <c r="AA10" s="35"/>
      <c r="AB10" s="4"/>
      <c r="AC10" s="35"/>
      <c r="AD10" s="4"/>
      <c r="AE10" s="35"/>
      <c r="AF10" s="28"/>
      <c r="AG10" s="17"/>
      <c r="AJ10" s="10"/>
      <c r="AK10" s="10"/>
      <c r="AL10" s="10"/>
      <c r="AM10" s="10"/>
      <c r="AN10" s="10"/>
      <c r="AO10" s="10"/>
      <c r="AP10" s="10"/>
      <c r="AQ10" s="10"/>
      <c r="AR10" s="10"/>
      <c r="AT10" s="10"/>
      <c r="AU10" s="10"/>
      <c r="AV10" s="10"/>
      <c r="AW10" s="10"/>
      <c r="AX10" s="10"/>
      <c r="AY10" s="10"/>
    </row>
    <row r="11" spans="1:51">
      <c r="A11" s="150" t="s">
        <v>14</v>
      </c>
      <c r="B11" s="8">
        <v>3</v>
      </c>
      <c r="C11" s="8">
        <v>4</v>
      </c>
      <c r="D11" s="12">
        <v>3</v>
      </c>
      <c r="E11" s="8">
        <v>4</v>
      </c>
      <c r="F11" s="12" t="s">
        <v>10</v>
      </c>
      <c r="G11" s="8">
        <v>5</v>
      </c>
      <c r="H11" s="12">
        <v>1</v>
      </c>
      <c r="I11" s="8">
        <v>5</v>
      </c>
      <c r="J11" s="36">
        <v>1</v>
      </c>
      <c r="K11" s="36">
        <v>5</v>
      </c>
      <c r="L11" s="30">
        <v>1</v>
      </c>
      <c r="M11" s="29" t="s">
        <v>10</v>
      </c>
      <c r="N11" s="29">
        <v>3</v>
      </c>
      <c r="O11" s="8">
        <v>4</v>
      </c>
      <c r="P11" s="8">
        <v>5</v>
      </c>
      <c r="Q11" s="8">
        <v>1</v>
      </c>
      <c r="R11" s="9">
        <v>3</v>
      </c>
      <c r="S11" s="8">
        <v>4</v>
      </c>
      <c r="T11" s="8" t="s">
        <v>10</v>
      </c>
      <c r="U11" s="8">
        <v>3</v>
      </c>
      <c r="V11" s="8">
        <v>4</v>
      </c>
      <c r="W11" s="8">
        <v>3</v>
      </c>
      <c r="X11" s="8">
        <v>1</v>
      </c>
      <c r="Y11" s="8">
        <v>5</v>
      </c>
      <c r="Z11" s="8">
        <v>1</v>
      </c>
      <c r="AA11" s="8" t="s">
        <v>10</v>
      </c>
      <c r="AB11" s="8">
        <v>3</v>
      </c>
      <c r="AC11" s="8">
        <v>4</v>
      </c>
      <c r="AD11" s="9">
        <v>3</v>
      </c>
      <c r="AE11" s="8">
        <v>4</v>
      </c>
      <c r="AF11" s="30"/>
      <c r="AG11" s="17">
        <f>AR11</f>
        <v>26</v>
      </c>
      <c r="AJ11" s="10">
        <f>COUNTIF($B11:$AF11,3)</f>
        <v>8</v>
      </c>
      <c r="AK11" s="10">
        <f>COUNTIF($B11:$AF11,1)</f>
        <v>6</v>
      </c>
      <c r="AL11" s="10">
        <f>COUNTIF($B11:$AF11,2)</f>
        <v>0</v>
      </c>
      <c r="AM11" s="10">
        <f>COUNTIF($B11:$AF11,"DO")</f>
        <v>4</v>
      </c>
      <c r="AN11" s="10">
        <f>COUNTIF($B11:$AF11,"R")</f>
        <v>0</v>
      </c>
      <c r="AO11" s="10">
        <f t="shared" si="0"/>
        <v>7</v>
      </c>
      <c r="AP11" s="10">
        <f t="shared" si="1"/>
        <v>5</v>
      </c>
      <c r="AQ11" s="10">
        <f>SUM(AJ11:AN11)</f>
        <v>18</v>
      </c>
      <c r="AR11" s="10">
        <f>AP11+AO11+AN11+AL11+AK11+AJ11</f>
        <v>26</v>
      </c>
      <c r="AT11" s="10">
        <f t="shared" si="2"/>
        <v>3</v>
      </c>
      <c r="AU11" s="10">
        <f t="shared" si="3"/>
        <v>3</v>
      </c>
      <c r="AV11" s="10">
        <f t="shared" si="4"/>
        <v>0</v>
      </c>
      <c r="AW11" s="10">
        <f t="shared" si="5"/>
        <v>2</v>
      </c>
      <c r="AX11" s="10">
        <f t="shared" si="6"/>
        <v>0</v>
      </c>
      <c r="AY11" s="10">
        <f>SUM(AT11:AX11)</f>
        <v>8</v>
      </c>
    </row>
    <row r="12" spans="1:51">
      <c r="A12" s="151"/>
      <c r="B12" s="4"/>
      <c r="C12" s="12"/>
      <c r="D12" s="12"/>
      <c r="E12" s="12"/>
      <c r="F12" s="12"/>
      <c r="G12" s="4"/>
      <c r="H12" s="12"/>
      <c r="I12" s="12"/>
      <c r="J12" s="12"/>
      <c r="K12" s="12"/>
      <c r="L12" s="12"/>
      <c r="M12" s="4"/>
      <c r="N12" s="12"/>
      <c r="O12" s="12"/>
      <c r="P12" s="12"/>
      <c r="Q12" s="12"/>
      <c r="R12" s="12"/>
      <c r="S12" s="4"/>
      <c r="T12" s="12"/>
      <c r="U12" s="12"/>
      <c r="V12" s="12"/>
      <c r="W12" s="12"/>
      <c r="X12" s="12"/>
      <c r="Y12" s="4"/>
      <c r="Z12" s="12"/>
      <c r="AA12" s="12"/>
      <c r="AB12" s="12"/>
      <c r="AC12" s="14"/>
      <c r="AD12" s="12"/>
      <c r="AE12" s="34"/>
      <c r="AF12" s="12"/>
      <c r="AG12" s="17"/>
      <c r="AJ12" s="10"/>
      <c r="AK12" s="10"/>
      <c r="AL12" s="10"/>
      <c r="AM12" s="10"/>
      <c r="AN12" s="10"/>
      <c r="AO12" s="10"/>
      <c r="AP12" s="10"/>
      <c r="AQ12" s="10"/>
      <c r="AR12" s="10"/>
      <c r="AT12" s="10"/>
      <c r="AU12" s="10"/>
      <c r="AV12" s="10"/>
      <c r="AW12" s="10"/>
      <c r="AX12" s="10"/>
      <c r="AY12" s="10"/>
    </row>
    <row r="13" spans="1:51">
      <c r="A13" s="150" t="s">
        <v>15</v>
      </c>
      <c r="B13" s="8">
        <v>5</v>
      </c>
      <c r="C13" s="8">
        <v>1</v>
      </c>
      <c r="D13" s="9">
        <v>3</v>
      </c>
      <c r="E13" s="29">
        <v>1</v>
      </c>
      <c r="F13" s="30">
        <v>3</v>
      </c>
      <c r="G13" s="8">
        <v>4</v>
      </c>
      <c r="H13" s="29" t="s">
        <v>10</v>
      </c>
      <c r="I13" s="29" t="s">
        <v>10</v>
      </c>
      <c r="J13" s="29" t="s">
        <v>10</v>
      </c>
      <c r="K13" s="30" t="s">
        <v>11</v>
      </c>
      <c r="L13" s="30" t="s">
        <v>10</v>
      </c>
      <c r="M13" s="29">
        <v>3</v>
      </c>
      <c r="N13" s="41">
        <v>4</v>
      </c>
      <c r="O13" s="8">
        <v>5</v>
      </c>
      <c r="P13" s="8">
        <v>1</v>
      </c>
      <c r="Q13" s="29">
        <v>3</v>
      </c>
      <c r="R13" s="8">
        <v>4</v>
      </c>
      <c r="S13" s="8">
        <v>5</v>
      </c>
      <c r="T13" s="30">
        <v>1</v>
      </c>
      <c r="U13" s="8">
        <v>2</v>
      </c>
      <c r="V13" s="8">
        <v>3</v>
      </c>
      <c r="W13" s="8">
        <v>4</v>
      </c>
      <c r="X13" s="8">
        <v>2</v>
      </c>
      <c r="Y13" s="29">
        <v>3</v>
      </c>
      <c r="Z13" s="8">
        <v>1</v>
      </c>
      <c r="AA13" s="8">
        <v>3</v>
      </c>
      <c r="AB13" s="8">
        <v>4</v>
      </c>
      <c r="AC13" s="8">
        <v>5</v>
      </c>
      <c r="AD13" s="30">
        <v>1</v>
      </c>
      <c r="AE13" s="29">
        <v>2</v>
      </c>
      <c r="AF13" s="9"/>
      <c r="AG13" s="17">
        <f>AR13</f>
        <v>26</v>
      </c>
      <c r="AJ13" s="10">
        <f>COUNTIF($B13:$AF13,3)</f>
        <v>7</v>
      </c>
      <c r="AK13" s="10">
        <f>COUNTIF($B13:$AF13,1)</f>
        <v>6</v>
      </c>
      <c r="AL13" s="10">
        <f>COUNTIF($B13:$AF13,2)</f>
        <v>3</v>
      </c>
      <c r="AM13" s="10">
        <f>COUNTIF($B13:$AF13,"DO")</f>
        <v>4</v>
      </c>
      <c r="AN13" s="10">
        <f>COUNTIF($B13:$AF13,"R")</f>
        <v>1</v>
      </c>
      <c r="AO13" s="10">
        <f t="shared" si="0"/>
        <v>5</v>
      </c>
      <c r="AP13" s="10">
        <f t="shared" si="1"/>
        <v>4</v>
      </c>
      <c r="AQ13" s="10">
        <f>SUM(AJ13:AN13)</f>
        <v>21</v>
      </c>
      <c r="AR13" s="10">
        <f>AP13+AO13+AN13+AL13+AK13+AJ13</f>
        <v>26</v>
      </c>
      <c r="AT13" s="10">
        <f t="shared" si="2"/>
        <v>3</v>
      </c>
      <c r="AU13" s="10">
        <f t="shared" si="3"/>
        <v>3</v>
      </c>
      <c r="AV13" s="10">
        <f t="shared" si="4"/>
        <v>0</v>
      </c>
      <c r="AW13" s="10">
        <f t="shared" si="5"/>
        <v>4</v>
      </c>
      <c r="AX13" s="10">
        <f t="shared" si="6"/>
        <v>1</v>
      </c>
      <c r="AY13" s="10">
        <f>SUM(AT13:AX13)</f>
        <v>11</v>
      </c>
    </row>
    <row r="14" spans="1:51">
      <c r="A14" s="151"/>
      <c r="B14" s="4"/>
      <c r="C14" s="4"/>
      <c r="D14" s="4"/>
      <c r="E14" s="12"/>
      <c r="F14" s="12"/>
      <c r="G14" s="4"/>
      <c r="H14" s="12"/>
      <c r="I14" s="18"/>
      <c r="J14" s="12"/>
      <c r="K14" s="19"/>
      <c r="L14" s="12"/>
      <c r="M14" s="4"/>
      <c r="N14" s="12"/>
      <c r="O14" s="4"/>
      <c r="P14" s="12"/>
      <c r="Q14" s="12"/>
      <c r="R14" s="12"/>
      <c r="S14" s="4"/>
      <c r="T14" s="12"/>
      <c r="U14" s="4"/>
      <c r="V14" s="12"/>
      <c r="W14" s="12"/>
      <c r="X14" s="12"/>
      <c r="Y14" s="4"/>
      <c r="Z14" s="12"/>
      <c r="AA14" s="4"/>
      <c r="AB14" s="12"/>
      <c r="AC14" s="12"/>
      <c r="AD14" s="12"/>
      <c r="AE14" s="12"/>
      <c r="AF14" s="12"/>
      <c r="AG14" s="13"/>
    </row>
    <row r="15" spans="1:51">
      <c r="A15" s="150" t="s">
        <v>31</v>
      </c>
      <c r="B15" s="4" t="s">
        <v>11</v>
      </c>
      <c r="C15" s="4" t="s">
        <v>11</v>
      </c>
      <c r="D15" s="8">
        <v>2</v>
      </c>
      <c r="E15" s="8">
        <v>3</v>
      </c>
      <c r="F15" s="8">
        <v>4</v>
      </c>
      <c r="G15" s="8">
        <v>3</v>
      </c>
      <c r="H15" s="9">
        <v>1</v>
      </c>
      <c r="I15" s="8" t="s">
        <v>11</v>
      </c>
      <c r="J15" s="30">
        <v>3</v>
      </c>
      <c r="K15" s="41">
        <v>4</v>
      </c>
      <c r="L15" s="9">
        <v>3</v>
      </c>
      <c r="M15" s="36">
        <v>1</v>
      </c>
      <c r="N15" s="33" t="s">
        <v>11</v>
      </c>
      <c r="O15" s="29" t="s">
        <v>11</v>
      </c>
      <c r="P15" s="30" t="s">
        <v>11</v>
      </c>
      <c r="Q15" s="29" t="s">
        <v>10</v>
      </c>
      <c r="R15" s="30">
        <v>2</v>
      </c>
      <c r="S15" s="29" t="s">
        <v>10</v>
      </c>
      <c r="T15" s="8">
        <v>5</v>
      </c>
      <c r="U15" s="8">
        <v>1</v>
      </c>
      <c r="V15" s="9">
        <v>2</v>
      </c>
      <c r="W15" s="8">
        <v>2</v>
      </c>
      <c r="X15" s="9">
        <v>3</v>
      </c>
      <c r="Y15" s="8">
        <v>4</v>
      </c>
      <c r="Z15" s="8">
        <v>3</v>
      </c>
      <c r="AA15" s="8">
        <v>4</v>
      </c>
      <c r="AB15" s="8">
        <v>2</v>
      </c>
      <c r="AC15" s="8">
        <v>2</v>
      </c>
      <c r="AD15" s="8">
        <v>5</v>
      </c>
      <c r="AE15" s="8">
        <v>1</v>
      </c>
      <c r="AF15" s="9"/>
      <c r="AG15" s="17">
        <f>AR15</f>
        <v>28</v>
      </c>
      <c r="AJ15" s="10">
        <f>COUNTIF($B15:$AF15,3)</f>
        <v>6</v>
      </c>
      <c r="AK15" s="10">
        <f>COUNTIF($B15:$AF15,1)</f>
        <v>4</v>
      </c>
      <c r="AL15" s="10">
        <f>COUNTIF($B15:$AF15,2)</f>
        <v>6</v>
      </c>
      <c r="AM15" s="10">
        <f>COUNTIF($B15:$AF15,"DO")</f>
        <v>2</v>
      </c>
      <c r="AN15" s="10">
        <f>COUNTIF($B15:$AF15,"R")</f>
        <v>6</v>
      </c>
      <c r="AO15" s="10">
        <f t="shared" si="0"/>
        <v>4</v>
      </c>
      <c r="AP15" s="10">
        <f t="shared" si="1"/>
        <v>2</v>
      </c>
      <c r="AQ15" s="10">
        <f>SUM(AJ15:AN15)</f>
        <v>24</v>
      </c>
      <c r="AR15" s="10">
        <f>AP15+AO15+AN15+AL15+AK15+AJ15</f>
        <v>28</v>
      </c>
      <c r="AT15" s="10">
        <f t="shared" si="2"/>
        <v>4</v>
      </c>
      <c r="AU15" s="10">
        <f t="shared" si="3"/>
        <v>2</v>
      </c>
      <c r="AV15" s="10">
        <f t="shared" si="4"/>
        <v>1</v>
      </c>
      <c r="AW15" s="10">
        <f t="shared" si="5"/>
        <v>0</v>
      </c>
      <c r="AX15" s="10">
        <f t="shared" si="6"/>
        <v>6</v>
      </c>
      <c r="AY15" s="10">
        <f>SUM(AT15:AX15)</f>
        <v>13</v>
      </c>
    </row>
    <row r="16" spans="1:51">
      <c r="A16" s="151"/>
      <c r="B16" s="4"/>
      <c r="C16" s="4"/>
      <c r="D16" s="4"/>
      <c r="E16" s="12"/>
      <c r="F16" s="12"/>
      <c r="G16" s="4"/>
      <c r="H16" s="12"/>
      <c r="I16" s="18"/>
      <c r="J16" s="12"/>
      <c r="K16" s="19"/>
      <c r="L16" s="12"/>
      <c r="M16" s="4"/>
      <c r="N16" s="28"/>
      <c r="O16" s="4"/>
      <c r="P16" s="12"/>
      <c r="Q16" s="12"/>
      <c r="R16" s="12"/>
      <c r="S16" s="4"/>
      <c r="T16" s="12"/>
      <c r="U16" s="4"/>
      <c r="V16" s="12"/>
      <c r="W16" s="12"/>
      <c r="X16" s="12"/>
      <c r="Y16" s="4"/>
      <c r="Z16" s="12"/>
      <c r="AA16" s="4"/>
      <c r="AB16" s="12"/>
      <c r="AC16" s="12"/>
      <c r="AD16" s="12"/>
      <c r="AE16" s="12"/>
      <c r="AF16" s="12"/>
      <c r="AG16" s="13"/>
    </row>
    <row r="17" spans="1:32">
      <c r="A17" s="31"/>
      <c r="B17" s="21"/>
      <c r="C17" s="21"/>
      <c r="D17" s="21"/>
      <c r="E17" s="22"/>
      <c r="F17" s="22"/>
      <c r="G17" s="21"/>
      <c r="H17" s="21"/>
      <c r="L17" s="22"/>
      <c r="M17" s="21"/>
      <c r="N17" s="21"/>
      <c r="O17" s="21"/>
      <c r="P17" s="21"/>
      <c r="Q17" s="22"/>
      <c r="R17" s="22"/>
      <c r="S17" s="21"/>
      <c r="T17" s="21"/>
      <c r="U17" s="21"/>
      <c r="V17" s="21"/>
      <c r="W17" s="22"/>
      <c r="X17" s="22"/>
      <c r="Y17" s="21"/>
      <c r="Z17" s="21"/>
      <c r="AA17" s="21"/>
      <c r="AB17" s="21"/>
      <c r="AC17" s="22"/>
    </row>
    <row r="18" spans="1:32">
      <c r="A18" s="20" t="s">
        <v>18</v>
      </c>
      <c r="B18" s="21"/>
      <c r="C18" s="21"/>
      <c r="D18" s="21">
        <v>1</v>
      </c>
      <c r="E18" s="22" t="s">
        <v>17</v>
      </c>
      <c r="F18" s="144" t="s">
        <v>19</v>
      </c>
      <c r="G18" s="144"/>
      <c r="H18" s="21" t="s">
        <v>17</v>
      </c>
      <c r="I18" s="145" t="s">
        <v>20</v>
      </c>
      <c r="J18" s="145"/>
      <c r="K18" s="22"/>
      <c r="L18" s="22"/>
      <c r="M18" s="21" t="s">
        <v>11</v>
      </c>
      <c r="N18" s="21" t="s">
        <v>17</v>
      </c>
      <c r="O18" s="145" t="s">
        <v>20</v>
      </c>
      <c r="P18" s="145"/>
      <c r="Q18" s="22" t="s">
        <v>17</v>
      </c>
      <c r="R18" s="144" t="s">
        <v>21</v>
      </c>
      <c r="S18" s="144"/>
      <c r="T18" s="21"/>
      <c r="U18" s="21"/>
      <c r="V18" s="21"/>
      <c r="W18" s="22"/>
      <c r="AD18" s="22"/>
      <c r="AE18" s="22"/>
      <c r="AF18" s="22"/>
    </row>
    <row r="19" spans="1:32">
      <c r="A19" s="20"/>
      <c r="B19" s="21"/>
      <c r="C19" s="21"/>
      <c r="D19" s="21">
        <v>2</v>
      </c>
      <c r="E19" s="22" t="s">
        <v>17</v>
      </c>
      <c r="F19" s="144" t="s">
        <v>20</v>
      </c>
      <c r="G19" s="144"/>
      <c r="H19" s="21" t="s">
        <v>17</v>
      </c>
      <c r="I19" s="145" t="s">
        <v>22</v>
      </c>
      <c r="J19" s="145"/>
      <c r="K19" s="22"/>
      <c r="L19" s="22"/>
      <c r="M19" s="21" t="s">
        <v>10</v>
      </c>
      <c r="N19" s="21" t="s">
        <v>17</v>
      </c>
      <c r="O19" s="145" t="s">
        <v>23</v>
      </c>
      <c r="P19" s="145"/>
      <c r="Q19" s="22"/>
      <c r="R19" s="22"/>
      <c r="S19" s="21"/>
      <c r="T19" s="21"/>
      <c r="U19" s="21"/>
      <c r="V19" s="21"/>
      <c r="W19" s="22"/>
      <c r="X19" s="22"/>
      <c r="Y19" s="21"/>
      <c r="Z19" s="21"/>
      <c r="AA19" s="21"/>
      <c r="AB19" s="21"/>
      <c r="AC19" s="22"/>
      <c r="AD19" s="22"/>
      <c r="AE19" s="22"/>
      <c r="AF19" s="22"/>
    </row>
    <row r="20" spans="1:32">
      <c r="A20" s="20"/>
      <c r="B20" s="21"/>
      <c r="C20" s="21"/>
      <c r="D20" s="21">
        <v>3</v>
      </c>
      <c r="E20" s="22" t="s">
        <v>17</v>
      </c>
      <c r="F20" s="144" t="s">
        <v>22</v>
      </c>
      <c r="G20" s="144"/>
      <c r="H20" s="21" t="s">
        <v>17</v>
      </c>
      <c r="I20" s="145" t="s">
        <v>24</v>
      </c>
      <c r="J20" s="145"/>
      <c r="K20" s="22"/>
      <c r="L20" s="22"/>
      <c r="M20" s="7"/>
      <c r="N20" s="22"/>
      <c r="O20" s="23"/>
      <c r="P20" s="22"/>
      <c r="Q20" s="22"/>
      <c r="R20" s="22"/>
      <c r="S20" s="22"/>
      <c r="T20" s="21"/>
      <c r="U20" s="21"/>
      <c r="V20" s="21"/>
      <c r="W20" s="22"/>
      <c r="X20" s="22"/>
      <c r="Y20" s="21"/>
      <c r="Z20" s="21"/>
      <c r="AA20" s="21"/>
      <c r="AB20" s="21"/>
      <c r="AC20" s="22"/>
      <c r="AD20" s="22"/>
      <c r="AE20" s="22"/>
      <c r="AF20" s="22"/>
    </row>
    <row r="21" spans="1:32">
      <c r="A21" s="20"/>
      <c r="B21" s="21"/>
      <c r="C21" s="21"/>
      <c r="D21" s="21"/>
      <c r="E21" s="22"/>
      <c r="F21" s="22"/>
      <c r="G21" s="22"/>
      <c r="H21" s="21"/>
      <c r="I21" s="21"/>
      <c r="J21" s="21"/>
      <c r="K21" s="22"/>
      <c r="L21" s="22"/>
      <c r="M21" s="21"/>
      <c r="N21" s="21"/>
      <c r="O21" s="21"/>
      <c r="P21" s="21"/>
      <c r="Q21" s="22"/>
      <c r="R21" s="22"/>
      <c r="S21" s="21"/>
      <c r="T21" s="21"/>
      <c r="U21" s="21"/>
      <c r="V21" s="21"/>
      <c r="W21" s="22"/>
      <c r="X21" s="22"/>
      <c r="Y21" s="21"/>
      <c r="Z21" s="21"/>
      <c r="AA21" s="21"/>
      <c r="AB21" s="21"/>
      <c r="AC21" s="22"/>
      <c r="AD21" s="22"/>
      <c r="AE21" s="22"/>
      <c r="AF21" s="22"/>
    </row>
    <row r="22" spans="1:32">
      <c r="A22" s="20" t="s">
        <v>25</v>
      </c>
      <c r="B22" s="21"/>
      <c r="C22" s="21"/>
      <c r="D22" s="21"/>
      <c r="E22" s="22"/>
      <c r="F22" s="22"/>
      <c r="G22" s="22"/>
      <c r="H22" s="21"/>
      <c r="I22" s="20"/>
      <c r="J22" s="21"/>
      <c r="K22" s="21"/>
      <c r="L22" s="21" t="s">
        <v>26</v>
      </c>
      <c r="M22" s="22"/>
      <c r="N22" s="22"/>
      <c r="O22" s="22"/>
      <c r="P22" s="21"/>
      <c r="Q22" s="22"/>
      <c r="R22" s="22"/>
      <c r="S22" s="21"/>
      <c r="T22" s="24"/>
      <c r="U22" s="24"/>
      <c r="V22" s="24"/>
      <c r="W22" s="24"/>
      <c r="X22" s="24"/>
      <c r="Y22" s="21" t="s">
        <v>27</v>
      </c>
      <c r="Z22" s="21"/>
      <c r="AA22" s="21"/>
      <c r="AB22" s="21"/>
      <c r="AC22" s="22"/>
      <c r="AD22" s="22"/>
      <c r="AE22" s="22"/>
      <c r="AF22" s="22"/>
    </row>
    <row r="23" spans="1:32">
      <c r="L23" s="25"/>
      <c r="M23" s="25"/>
      <c r="N23" s="25"/>
      <c r="O23" s="25"/>
      <c r="P23" s="25"/>
      <c r="Q23" s="25"/>
      <c r="X23" s="25"/>
      <c r="Y23" s="25"/>
      <c r="Z23" s="25"/>
      <c r="AA23" s="25"/>
      <c r="AB23" s="25"/>
      <c r="AC23" s="25"/>
    </row>
    <row r="24" spans="1:32">
      <c r="B24" s="146" t="s">
        <v>34</v>
      </c>
      <c r="C24" s="146"/>
      <c r="D24" s="146"/>
      <c r="E24" s="146"/>
      <c r="F24" s="146"/>
      <c r="G24" s="146"/>
      <c r="H24" s="25"/>
      <c r="I24" s="39"/>
      <c r="J24" s="25"/>
      <c r="K24" s="39"/>
      <c r="L24" s="39"/>
      <c r="M24" s="39"/>
      <c r="N24" s="146" t="s">
        <v>28</v>
      </c>
      <c r="O24" s="169"/>
      <c r="P24" s="169"/>
      <c r="Q24" s="169"/>
      <c r="R24" s="169"/>
      <c r="S24" s="169"/>
      <c r="T24" s="169"/>
      <c r="U24" s="169"/>
      <c r="V24" s="39"/>
      <c r="W24" s="39"/>
      <c r="X24" s="39"/>
      <c r="Y24" s="39"/>
      <c r="Z24" s="39"/>
      <c r="AA24" s="146" t="s">
        <v>35</v>
      </c>
      <c r="AB24" s="169"/>
      <c r="AC24" s="169"/>
      <c r="AD24" s="169"/>
      <c r="AE24" s="169"/>
      <c r="AF24" s="169"/>
    </row>
    <row r="25" spans="1:32">
      <c r="B25" s="167" t="s">
        <v>29</v>
      </c>
      <c r="C25" s="167"/>
      <c r="D25" s="167"/>
      <c r="E25" s="167"/>
      <c r="F25" s="167"/>
      <c r="G25" s="167"/>
      <c r="H25" s="39"/>
      <c r="I25" s="39"/>
      <c r="J25" s="39"/>
      <c r="K25" s="39"/>
      <c r="L25" s="39"/>
      <c r="M25" s="39"/>
      <c r="N25" s="167" t="s">
        <v>30</v>
      </c>
      <c r="O25" s="167"/>
      <c r="P25" s="167"/>
      <c r="Q25" s="167"/>
      <c r="R25" s="167"/>
      <c r="S25" s="167"/>
      <c r="T25" s="167"/>
      <c r="U25" s="167"/>
      <c r="V25" s="39"/>
      <c r="W25" s="39"/>
      <c r="X25" s="39"/>
      <c r="Y25" s="39"/>
      <c r="Z25" s="39"/>
      <c r="AA25" s="148" t="s">
        <v>33</v>
      </c>
      <c r="AB25" s="167"/>
      <c r="AC25" s="167"/>
      <c r="AD25" s="167"/>
      <c r="AE25" s="167"/>
      <c r="AF25" s="167"/>
    </row>
    <row r="26" spans="1:32">
      <c r="A26" s="40"/>
      <c r="B26" s="168"/>
      <c r="C26" s="168"/>
      <c r="D26" s="168"/>
      <c r="E26" s="168"/>
      <c r="F26" s="168"/>
      <c r="G26" s="168"/>
      <c r="H26" s="25"/>
      <c r="I26" s="39"/>
      <c r="J26" s="25"/>
      <c r="K26" s="39"/>
      <c r="L26" s="37"/>
      <c r="M26" s="39"/>
      <c r="N26" s="168"/>
      <c r="O26" s="168"/>
      <c r="P26" s="168"/>
      <c r="Q26" s="168"/>
      <c r="R26" s="168"/>
      <c r="S26" s="168"/>
      <c r="T26" s="168"/>
      <c r="U26" s="168"/>
      <c r="V26" s="39"/>
      <c r="W26" s="39"/>
      <c r="X26" s="39"/>
      <c r="Y26" s="39"/>
      <c r="Z26" s="39"/>
      <c r="AA26" s="168"/>
      <c r="AB26" s="168"/>
      <c r="AC26" s="168"/>
      <c r="AD26" s="168"/>
      <c r="AE26" s="168"/>
      <c r="AF26" s="168"/>
    </row>
    <row r="27" spans="1:32">
      <c r="A27" s="39"/>
    </row>
    <row r="28" spans="1:32">
      <c r="A28" s="39"/>
    </row>
  </sheetData>
  <mergeCells count="26">
    <mergeCell ref="B25:G25"/>
    <mergeCell ref="N25:U25"/>
    <mergeCell ref="AA25:AF25"/>
    <mergeCell ref="O19:P19"/>
    <mergeCell ref="B26:G26"/>
    <mergeCell ref="N26:U26"/>
    <mergeCell ref="AA26:AF26"/>
    <mergeCell ref="B24:G24"/>
    <mergeCell ref="N24:U24"/>
    <mergeCell ref="AA24:AF24"/>
    <mergeCell ref="O18:P18"/>
    <mergeCell ref="R18:S18"/>
    <mergeCell ref="I20:J20"/>
    <mergeCell ref="A1:AG1"/>
    <mergeCell ref="A2:AG2"/>
    <mergeCell ref="A5:A6"/>
    <mergeCell ref="A7:A8"/>
    <mergeCell ref="A9:A10"/>
    <mergeCell ref="A11:A12"/>
    <mergeCell ref="A13:A14"/>
    <mergeCell ref="A15:A16"/>
    <mergeCell ref="F18:G18"/>
    <mergeCell ref="I18:J18"/>
    <mergeCell ref="F19:G19"/>
    <mergeCell ref="I19:J19"/>
    <mergeCell ref="F20:G20"/>
  </mergeCells>
  <conditionalFormatting sqref="B5">
    <cfRule type="colorScale" priority="799">
      <colorScale>
        <cfvo type="num" val="1"/>
        <cfvo type="num" val="2"/>
        <cfvo type="num" val="3"/>
        <color rgb="FFF8696B"/>
        <color rgb="FFFFEB84"/>
        <color rgb="FF63BE7B"/>
      </colorScale>
    </cfRule>
    <cfRule type="colorScale" priority="800">
      <colorScale>
        <cfvo type="num" val="1"/>
        <cfvo type="num" val="2"/>
        <cfvo type="num" val="3"/>
        <color rgb="FFF8696B"/>
        <color rgb="FFFFEB84"/>
        <color rgb="FF63BE7B"/>
      </colorScale>
    </cfRule>
    <cfRule type="colorScale" priority="801">
      <colorScale>
        <cfvo type="num" val="1"/>
        <cfvo type="num" val="2"/>
        <cfvo type="num" val="3"/>
        <color rgb="FFF8696B"/>
        <color rgb="FFFFEB84"/>
        <color rgb="FF63BE7B"/>
      </colorScale>
    </cfRule>
    <cfRule type="colorScale" priority="804">
      <colorScale>
        <cfvo type="num" val="1"/>
        <cfvo type="num" val="2"/>
        <cfvo type="num" val="3"/>
        <color rgb="FFF8696B"/>
        <color rgb="FFFFEB84"/>
        <color rgb="FF63BE7B"/>
      </colorScale>
    </cfRule>
    <cfRule type="colorScale" priority="807">
      <colorScale>
        <cfvo type="num" val="1"/>
        <cfvo type="num" val="2"/>
        <cfvo type="num" val="3"/>
        <color rgb="FFF8696B"/>
        <color rgb="FFFFEB84"/>
        <color rgb="FF63BE7B"/>
      </colorScale>
    </cfRule>
    <cfRule type="colorScale" priority="808">
      <colorScale>
        <cfvo type="num" val="1"/>
        <cfvo type="num" val="2"/>
        <cfvo type="num" val="3"/>
        <color rgb="FFF8696B"/>
        <color rgb="FFFFEB84"/>
        <color rgb="FF63BE7B"/>
      </colorScale>
    </cfRule>
  </conditionalFormatting>
  <conditionalFormatting sqref="B7">
    <cfRule type="colorScale" priority="598">
      <colorScale>
        <cfvo type="min" val="0"/>
        <cfvo type="percentile" val="50"/>
        <cfvo type="max" val="0"/>
        <color rgb="FFF8696B"/>
        <color rgb="FFFFEB84"/>
        <color rgb="FF63BE7B"/>
      </colorScale>
    </cfRule>
    <cfRule type="colorScale" priority="599">
      <colorScale>
        <cfvo type="num" val="1"/>
        <cfvo type="num" val="2"/>
        <cfvo type="num" val="3"/>
        <color rgb="FFF8696B"/>
        <color rgb="FFFFEB84"/>
        <color rgb="FF63BE7B"/>
      </colorScale>
    </cfRule>
    <cfRule type="colorScale" priority="600">
      <colorScale>
        <cfvo type="num" val="1"/>
        <cfvo type="num" val="2"/>
        <cfvo type="num" val="3"/>
        <color rgb="FFF8696B"/>
        <color rgb="FFFFEB84"/>
        <color rgb="FF63BE7B"/>
      </colorScale>
    </cfRule>
    <cfRule type="colorScale" priority="601">
      <colorScale>
        <cfvo type="num" val="1"/>
        <cfvo type="num" val="2"/>
        <cfvo type="num" val="3"/>
        <color rgb="FFF8696B"/>
        <color rgb="FFFFEB84"/>
        <color rgb="FF63BE7B"/>
      </colorScale>
    </cfRule>
    <cfRule type="colorScale" priority="602">
      <colorScale>
        <cfvo type="num" val="1"/>
        <cfvo type="num" val="2"/>
        <cfvo type="num" val="3"/>
        <color rgb="FFF8696B"/>
        <color rgb="FFFFEB84"/>
        <color rgb="FF63BE7B"/>
      </colorScale>
    </cfRule>
    <cfRule type="colorScale" priority="603">
      <colorScale>
        <cfvo type="num" val="1"/>
        <cfvo type="num" val="2"/>
        <cfvo type="num" val="3"/>
        <color rgb="FFF8696B"/>
        <color rgb="FFFFEB84"/>
        <color rgb="FF63BE7B"/>
      </colorScale>
    </cfRule>
    <cfRule type="colorScale" priority="604">
      <colorScale>
        <cfvo type="num" val="1"/>
        <cfvo type="num" val="2"/>
        <cfvo type="num" val="3"/>
        <color rgb="FFF8696B"/>
        <color rgb="FFFFEB84"/>
        <color rgb="FF63BE7B"/>
      </colorScale>
    </cfRule>
  </conditionalFormatting>
  <conditionalFormatting sqref="B9">
    <cfRule type="colorScale" priority="1269">
      <colorScale>
        <cfvo type="num" val="1"/>
        <cfvo type="num" val="2"/>
        <cfvo type="num" val="3"/>
        <color rgb="FFF8696B"/>
        <color rgb="FFFFEB84"/>
        <color rgb="FF63BE7B"/>
      </colorScale>
    </cfRule>
    <cfRule type="colorScale" priority="1270">
      <colorScale>
        <cfvo type="num" val="1"/>
        <cfvo type="num" val="2"/>
        <cfvo type="num" val="3"/>
        <color rgb="FFF8696B"/>
        <color rgb="FFFFEB84"/>
        <color rgb="FF63BE7B"/>
      </colorScale>
    </cfRule>
  </conditionalFormatting>
  <conditionalFormatting sqref="B11">
    <cfRule type="colorScale" priority="590">
      <colorScale>
        <cfvo type="min" val="0"/>
        <cfvo type="percentile" val="50"/>
        <cfvo type="max" val="0"/>
        <color rgb="FFF8696B"/>
        <color rgb="FFFFEB84"/>
        <color rgb="FF63BE7B"/>
      </colorScale>
    </cfRule>
    <cfRule type="colorScale" priority="591">
      <colorScale>
        <cfvo type="num" val="1"/>
        <cfvo type="num" val="2"/>
        <cfvo type="num" val="3"/>
        <color rgb="FFF8696B"/>
        <color rgb="FFFFEB84"/>
        <color rgb="FF63BE7B"/>
      </colorScale>
    </cfRule>
    <cfRule type="colorScale" priority="592">
      <colorScale>
        <cfvo type="num" val="1"/>
        <cfvo type="num" val="2"/>
        <cfvo type="num" val="3"/>
        <color rgb="FFF8696B"/>
        <color rgb="FFFFEB84"/>
        <color rgb="FF63BE7B"/>
      </colorScale>
    </cfRule>
  </conditionalFormatting>
  <conditionalFormatting sqref="B13">
    <cfRule type="colorScale" priority="158">
      <colorScale>
        <cfvo type="min" val="0"/>
        <cfvo type="percentile" val="50"/>
        <cfvo type="max" val="0"/>
        <color rgb="FFF8696B"/>
        <color rgb="FFFFEB84"/>
        <color rgb="FF63BE7B"/>
      </colorScale>
    </cfRule>
    <cfRule type="colorScale" priority="159">
      <colorScale>
        <cfvo type="num" val="1"/>
        <cfvo type="num" val="2"/>
        <cfvo type="num" val="3"/>
        <color rgb="FFF8696B"/>
        <color rgb="FFFFEB84"/>
        <color rgb="FF63BE7B"/>
      </colorScale>
    </cfRule>
    <cfRule type="colorScale" priority="160">
      <colorScale>
        <cfvo type="num" val="1"/>
        <cfvo type="num" val="2"/>
        <cfvo type="num" val="3"/>
        <color rgb="FFF8696B"/>
        <color rgb="FFFFEB84"/>
        <color rgb="FF63BE7B"/>
      </colorScale>
    </cfRule>
  </conditionalFormatting>
  <conditionalFormatting sqref="B5:C5">
    <cfRule type="colorScale" priority="806">
      <colorScale>
        <cfvo type="num" val="1"/>
        <cfvo type="num" val="2"/>
        <cfvo type="num" val="3"/>
        <color rgb="FFF8696B"/>
        <color rgb="FFFFEB84"/>
        <color rgb="FF63BE7B"/>
      </colorScale>
    </cfRule>
  </conditionalFormatting>
  <conditionalFormatting sqref="B7:C7">
    <cfRule type="cellIs" dxfId="3316" priority="565" operator="equal">
      <formula>5</formula>
    </cfRule>
    <cfRule type="cellIs" dxfId="3315" priority="566" operator="equal">
      <formula>4</formula>
    </cfRule>
    <cfRule type="cellIs" dxfId="3314" priority="567" operator="equal">
      <formula>1</formula>
    </cfRule>
    <cfRule type="cellIs" dxfId="3313" priority="568" operator="equal">
      <formula>3</formula>
    </cfRule>
    <cfRule type="cellIs" dxfId="3312" priority="569" operator="equal">
      <formula>2</formula>
    </cfRule>
  </conditionalFormatting>
  <conditionalFormatting sqref="B9:C9">
    <cfRule type="colorScale" priority="1417">
      <colorScale>
        <cfvo type="num" val="1"/>
        <cfvo type="num" val="2"/>
        <cfvo type="num" val="3"/>
        <color rgb="FFF8696B"/>
        <color rgb="FFFFEB84"/>
        <color rgb="FF63BE7B"/>
      </colorScale>
    </cfRule>
  </conditionalFormatting>
  <conditionalFormatting sqref="B11:C11">
    <cfRule type="cellIs" dxfId="3311" priority="161" operator="equal">
      <formula>5</formula>
    </cfRule>
    <cfRule type="cellIs" dxfId="3310" priority="162" operator="equal">
      <formula>4</formula>
    </cfRule>
    <cfRule type="cellIs" dxfId="3309" priority="163" operator="equal">
      <formula>1</formula>
    </cfRule>
    <cfRule type="cellIs" dxfId="3308" priority="164" operator="equal">
      <formula>3</formula>
    </cfRule>
    <cfRule type="cellIs" dxfId="3307" priority="165" operator="equal">
      <formula>2</formula>
    </cfRule>
  </conditionalFormatting>
  <conditionalFormatting sqref="B13:C13">
    <cfRule type="cellIs" dxfId="3306" priority="153" operator="equal">
      <formula>5</formula>
    </cfRule>
    <cfRule type="cellIs" dxfId="3305" priority="154" operator="equal">
      <formula>4</formula>
    </cfRule>
    <cfRule type="cellIs" dxfId="3304" priority="155" operator="equal">
      <formula>1</formula>
    </cfRule>
    <cfRule type="cellIs" dxfId="3303" priority="156" operator="equal">
      <formula>3</formula>
    </cfRule>
    <cfRule type="cellIs" dxfId="3302" priority="157" operator="equal">
      <formula>2</formula>
    </cfRule>
  </conditionalFormatting>
  <conditionalFormatting sqref="B15:C15">
    <cfRule type="colorScale" priority="213">
      <colorScale>
        <cfvo type="num" val="1"/>
        <cfvo type="num" val="2"/>
        <cfvo type="num" val="3"/>
        <color rgb="FFF8696B"/>
        <color rgb="FFFFEB84"/>
        <color rgb="FF63BE7B"/>
      </colorScale>
    </cfRule>
  </conditionalFormatting>
  <conditionalFormatting sqref="B9:D9 AF7 Y7 AE13:AF13 Y13 B12:AF12 D11 F11 AA7 H11 B10:AE10">
    <cfRule type="colorScale" priority="1421">
      <colorScale>
        <cfvo type="num" val="1"/>
        <cfvo type="num" val="2"/>
        <cfvo type="num" val="3"/>
        <color rgb="FFF8696B"/>
        <color rgb="FFFFEB84"/>
        <color rgb="FF63BE7B"/>
      </colorScale>
    </cfRule>
  </conditionalFormatting>
  <conditionalFormatting sqref="B18:F22 H18:W18 AD18:AE18 G19:AE22">
    <cfRule type="colorScale" priority="1956">
      <colorScale>
        <cfvo type="num" val="1"/>
        <cfvo type="num" val="2"/>
        <cfvo type="num" val="3"/>
        <color rgb="FFF8696B"/>
        <color rgb="FFFFEB84"/>
        <color rgb="FF63BE7B"/>
      </colorScale>
    </cfRule>
  </conditionalFormatting>
  <conditionalFormatting sqref="B8:G8 D7:E7 O7:P7 G7:L7 S7:T7 V7:W7 AA7:AD7 Y7 B5:AF6 AF7">
    <cfRule type="colorScale" priority="1419">
      <colorScale>
        <cfvo type="num" val="1"/>
        <cfvo type="num" val="2"/>
        <cfvo type="num" val="3"/>
        <color rgb="FFF8696B"/>
        <color rgb="FFFFEB84"/>
        <color rgb="FF63BE7B"/>
      </colorScale>
    </cfRule>
  </conditionalFormatting>
  <conditionalFormatting sqref="B17:H17 L17:AC17">
    <cfRule type="colorScale" priority="1955">
      <colorScale>
        <cfvo type="num" val="1"/>
        <cfvo type="num" val="2"/>
        <cfvo type="num" val="3"/>
        <color rgb="FFF8696B"/>
        <color rgb="FFFFEB84"/>
        <color rgb="FF63BE7B"/>
      </colorScale>
    </cfRule>
  </conditionalFormatting>
  <conditionalFormatting sqref="B5:AF5">
    <cfRule type="colorScale" priority="1389">
      <colorScale>
        <cfvo type="num" val="1"/>
        <cfvo type="num" val="2"/>
        <cfvo type="num" val="3"/>
        <color rgb="FFF8696B"/>
        <color rgb="FFFFEB84"/>
        <color rgb="FF63BE7B"/>
      </colorScale>
    </cfRule>
  </conditionalFormatting>
  <conditionalFormatting sqref="C5">
    <cfRule type="colorScale" priority="797">
      <colorScale>
        <cfvo type="num" val="1"/>
        <cfvo type="num" val="2"/>
        <cfvo type="num" val="3"/>
        <color rgb="FFF8696B"/>
        <color rgb="FFFFEB84"/>
        <color rgb="FF63BE7B"/>
      </colorScale>
    </cfRule>
    <cfRule type="colorScale" priority="798">
      <colorScale>
        <cfvo type="num" val="1"/>
        <cfvo type="num" val="2"/>
        <cfvo type="num" val="3"/>
        <color rgb="FFF8696B"/>
        <color rgb="FFFFEB84"/>
        <color rgb="FF63BE7B"/>
      </colorScale>
    </cfRule>
    <cfRule type="colorScale" priority="802">
      <colorScale>
        <cfvo type="num" val="1"/>
        <cfvo type="num" val="2"/>
        <cfvo type="num" val="3"/>
        <color rgb="FFF8696B"/>
        <color rgb="FFFFEB84"/>
        <color rgb="FF63BE7B"/>
      </colorScale>
    </cfRule>
    <cfRule type="colorScale" priority="803">
      <colorScale>
        <cfvo type="num" val="1"/>
        <cfvo type="num" val="2"/>
        <cfvo type="num" val="3"/>
        <color rgb="FFF8696B"/>
        <color rgb="FFFFEB84"/>
        <color rgb="FF63BE7B"/>
      </colorScale>
    </cfRule>
    <cfRule type="colorScale" priority="805">
      <colorScale>
        <cfvo type="num" val="1"/>
        <cfvo type="num" val="2"/>
        <cfvo type="num" val="3"/>
        <color rgb="FFF8696B"/>
        <color rgb="FFFFEB84"/>
        <color rgb="FF63BE7B"/>
      </colorScale>
    </cfRule>
    <cfRule type="colorScale" priority="809">
      <colorScale>
        <cfvo type="num" val="1"/>
        <cfvo type="num" val="2"/>
        <cfvo type="num" val="3"/>
        <color rgb="FFF8696B"/>
        <color rgb="FFFFEB84"/>
        <color rgb="FF63BE7B"/>
      </colorScale>
    </cfRule>
  </conditionalFormatting>
  <conditionalFormatting sqref="C7">
    <cfRule type="colorScale" priority="570">
      <colorScale>
        <cfvo type="min" val="0"/>
        <cfvo type="percentile" val="50"/>
        <cfvo type="max" val="0"/>
        <color rgb="FFF8696B"/>
        <color rgb="FFFFEB84"/>
        <color rgb="FF63BE7B"/>
      </colorScale>
    </cfRule>
    <cfRule type="colorScale" priority="571">
      <colorScale>
        <cfvo type="num" val="1"/>
        <cfvo type="num" val="2"/>
        <cfvo type="num" val="3"/>
        <color rgb="FFF8696B"/>
        <color rgb="FFFFEB84"/>
        <color rgb="FF63BE7B"/>
      </colorScale>
    </cfRule>
    <cfRule type="colorScale" priority="572">
      <colorScale>
        <cfvo type="num" val="1"/>
        <cfvo type="num" val="2"/>
        <cfvo type="num" val="3"/>
        <color rgb="FFF8696B"/>
        <color rgb="FFFFEB84"/>
        <color rgb="FF63BE7B"/>
      </colorScale>
    </cfRule>
  </conditionalFormatting>
  <conditionalFormatting sqref="C11">
    <cfRule type="colorScale" priority="166">
      <colorScale>
        <cfvo type="min" val="0"/>
        <cfvo type="percentile" val="50"/>
        <cfvo type="max" val="0"/>
        <color rgb="FFF8696B"/>
        <color rgb="FFFFEB84"/>
        <color rgb="FF63BE7B"/>
      </colorScale>
    </cfRule>
    <cfRule type="colorScale" priority="167">
      <colorScale>
        <cfvo type="num" val="1"/>
        <cfvo type="num" val="2"/>
        <cfvo type="num" val="3"/>
        <color rgb="FFF8696B"/>
        <color rgb="FFFFEB84"/>
        <color rgb="FF63BE7B"/>
      </colorScale>
    </cfRule>
    <cfRule type="colorScale" priority="168">
      <colorScale>
        <cfvo type="num" val="1"/>
        <cfvo type="num" val="2"/>
        <cfvo type="num" val="3"/>
        <color rgb="FFF8696B"/>
        <color rgb="FFFFEB84"/>
        <color rgb="FF63BE7B"/>
      </colorScale>
    </cfRule>
    <cfRule type="colorScale" priority="169">
      <colorScale>
        <cfvo type="num" val="1"/>
        <cfvo type="num" val="2"/>
        <cfvo type="num" val="3"/>
        <color rgb="FFF8696B"/>
        <color rgb="FFFFEB84"/>
        <color rgb="FF63BE7B"/>
      </colorScale>
    </cfRule>
    <cfRule type="colorScale" priority="170">
      <colorScale>
        <cfvo type="num" val="1"/>
        <cfvo type="num" val="2"/>
        <cfvo type="num" val="3"/>
        <color rgb="FFF8696B"/>
        <color rgb="FFFFEB84"/>
        <color rgb="FF63BE7B"/>
      </colorScale>
    </cfRule>
    <cfRule type="colorScale" priority="171">
      <colorScale>
        <cfvo type="num" val="1"/>
        <cfvo type="num" val="2"/>
        <cfvo type="num" val="3"/>
        <color rgb="FFF8696B"/>
        <color rgb="FFFFEB84"/>
        <color rgb="FF63BE7B"/>
      </colorScale>
    </cfRule>
    <cfRule type="colorScale" priority="172">
      <colorScale>
        <cfvo type="num" val="1"/>
        <cfvo type="num" val="2"/>
        <cfvo type="num" val="3"/>
        <color rgb="FFF8696B"/>
        <color rgb="FFFFEB84"/>
        <color rgb="FF63BE7B"/>
      </colorScale>
    </cfRule>
  </conditionalFormatting>
  <conditionalFormatting sqref="C13">
    <cfRule type="colorScale" priority="578">
      <colorScale>
        <cfvo type="min" val="0"/>
        <cfvo type="percentile" val="50"/>
        <cfvo type="max" val="0"/>
        <color rgb="FFF8696B"/>
        <color rgb="FFFFEB84"/>
        <color rgb="FF63BE7B"/>
      </colorScale>
    </cfRule>
    <cfRule type="colorScale" priority="579">
      <colorScale>
        <cfvo type="num" val="1"/>
        <cfvo type="num" val="2"/>
        <cfvo type="num" val="3"/>
        <color rgb="FFF8696B"/>
        <color rgb="FFFFEB84"/>
        <color rgb="FF63BE7B"/>
      </colorScale>
    </cfRule>
    <cfRule type="colorScale" priority="580">
      <colorScale>
        <cfvo type="num" val="1"/>
        <cfvo type="num" val="2"/>
        <cfvo type="num" val="3"/>
        <color rgb="FFF8696B"/>
        <color rgb="FFFFEB84"/>
        <color rgb="FF63BE7B"/>
      </colorScale>
    </cfRule>
    <cfRule type="colorScale" priority="581">
      <colorScale>
        <cfvo type="num" val="1"/>
        <cfvo type="num" val="2"/>
        <cfvo type="num" val="3"/>
        <color rgb="FFF8696B"/>
        <color rgb="FFFFEB84"/>
        <color rgb="FF63BE7B"/>
      </colorScale>
    </cfRule>
    <cfRule type="colorScale" priority="582">
      <colorScale>
        <cfvo type="num" val="1"/>
        <cfvo type="num" val="2"/>
        <cfvo type="num" val="3"/>
        <color rgb="FFF8696B"/>
        <color rgb="FFFFEB84"/>
        <color rgb="FF63BE7B"/>
      </colorScale>
    </cfRule>
    <cfRule type="colorScale" priority="583">
      <colorScale>
        <cfvo type="num" val="1"/>
        <cfvo type="num" val="2"/>
        <cfvo type="num" val="3"/>
        <color rgb="FFF8696B"/>
        <color rgb="FFFFEB84"/>
        <color rgb="FF63BE7B"/>
      </colorScale>
    </cfRule>
    <cfRule type="colorScale" priority="584">
      <colorScale>
        <cfvo type="num" val="1"/>
        <cfvo type="num" val="2"/>
        <cfvo type="num" val="3"/>
        <color rgb="FFF8696B"/>
        <color rgb="FFFFEB84"/>
        <color rgb="FF63BE7B"/>
      </colorScale>
    </cfRule>
  </conditionalFormatting>
  <conditionalFormatting sqref="D7">
    <cfRule type="colorScale" priority="1325">
      <colorScale>
        <cfvo type="num" val="1"/>
        <cfvo type="num" val="2"/>
        <cfvo type="num" val="3"/>
        <color rgb="FFF8696B"/>
        <color rgb="FFFFEB84"/>
        <color rgb="FF63BE7B"/>
      </colorScale>
    </cfRule>
  </conditionalFormatting>
  <conditionalFormatting sqref="D9">
    <cfRule type="colorScale" priority="1324">
      <colorScale>
        <cfvo type="num" val="1"/>
        <cfvo type="num" val="2"/>
        <cfvo type="num" val="3"/>
        <color rgb="FFF8696B"/>
        <color rgb="FFFFEB84"/>
        <color rgb="FF63BE7B"/>
      </colorScale>
    </cfRule>
  </conditionalFormatting>
  <conditionalFormatting sqref="D13">
    <cfRule type="colorScale" priority="867">
      <colorScale>
        <cfvo type="num" val="1"/>
        <cfvo type="num" val="2"/>
        <cfvo type="num" val="3"/>
        <color rgb="FFF8696B"/>
        <color rgb="FFFFEB84"/>
        <color rgb="FF63BE7B"/>
      </colorScale>
    </cfRule>
    <cfRule type="colorScale" priority="868">
      <colorScale>
        <cfvo type="num" val="1"/>
        <cfvo type="num" val="2"/>
        <cfvo type="num" val="3"/>
        <color rgb="FFF8696B"/>
        <color rgb="FFFFEB84"/>
        <color rgb="FF63BE7B"/>
      </colorScale>
    </cfRule>
    <cfRule type="colorScale" priority="869">
      <colorScale>
        <cfvo type="num" val="1"/>
        <cfvo type="num" val="2"/>
        <cfvo type="num" val="3"/>
        <color rgb="FFF8696B"/>
        <color rgb="FFFFEB84"/>
        <color rgb="FF63BE7B"/>
      </colorScale>
    </cfRule>
    <cfRule type="colorScale" priority="870">
      <colorScale>
        <cfvo type="num" val="1"/>
        <cfvo type="num" val="2"/>
        <cfvo type="num" val="3"/>
        <color rgb="FFF8696B"/>
        <color rgb="FFFFEB84"/>
        <color rgb="FF63BE7B"/>
      </colorScale>
    </cfRule>
    <cfRule type="colorScale" priority="1054">
      <colorScale>
        <cfvo type="num" val="1"/>
        <cfvo type="num" val="2"/>
        <cfvo type="num" val="3"/>
        <color rgb="FFF8696B"/>
        <color rgb="FFFFEB84"/>
        <color rgb="FF63BE7B"/>
      </colorScale>
    </cfRule>
  </conditionalFormatting>
  <conditionalFormatting sqref="D15">
    <cfRule type="colorScale" priority="940">
      <colorScale>
        <cfvo type="num" val="1"/>
        <cfvo type="num" val="2"/>
        <cfvo type="num" val="3"/>
        <color rgb="FFF8696B"/>
        <color rgb="FFFFEB84"/>
        <color rgb="FF63BE7B"/>
      </colorScale>
    </cfRule>
  </conditionalFormatting>
  <conditionalFormatting sqref="D15:E15 L15 N15:S15 G15:J15 V15:X15 AC15 AE15:AF15">
    <cfRule type="colorScale" priority="958">
      <colorScale>
        <cfvo type="num" val="1"/>
        <cfvo type="num" val="2"/>
        <cfvo type="num" val="3"/>
        <color rgb="FFF8696B"/>
        <color rgb="FFFFEB84"/>
        <color rgb="FF63BE7B"/>
      </colorScale>
    </cfRule>
  </conditionalFormatting>
  <conditionalFormatting sqref="D13:F13 L13:M13 Q13 T13:U13 AD13:AF13 Y13">
    <cfRule type="colorScale" priority="1051">
      <colorScale>
        <cfvo type="num" val="1"/>
        <cfvo type="num" val="2"/>
        <cfvo type="num" val="3"/>
        <color rgb="FFF8696B"/>
        <color rgb="FFFFEB84"/>
        <color rgb="FF63BE7B"/>
      </colorScale>
    </cfRule>
    <cfRule type="colorScale" priority="1068">
      <colorScale>
        <cfvo type="num" val="1"/>
        <cfvo type="num" val="2"/>
        <cfvo type="num" val="3"/>
        <color rgb="FFF8696B"/>
        <color rgb="FFFFEB84"/>
        <color rgb="FF63BE7B"/>
      </colorScale>
    </cfRule>
  </conditionalFormatting>
  <conditionalFormatting sqref="D5:H5">
    <cfRule type="colorScale" priority="1366">
      <colorScale>
        <cfvo type="num" val="1"/>
        <cfvo type="num" val="2"/>
        <cfvo type="num" val="3"/>
        <color rgb="FFF8696B"/>
        <color rgb="FFFFEB84"/>
        <color rgb="FF63BE7B"/>
      </colorScale>
    </cfRule>
  </conditionalFormatting>
  <conditionalFormatting sqref="E5">
    <cfRule type="colorScale" priority="1367">
      <colorScale>
        <cfvo type="num" val="1"/>
        <cfvo type="num" val="2"/>
        <cfvo type="num" val="3"/>
        <color rgb="FFF8696B"/>
        <color rgb="FFFFEB84"/>
        <color rgb="FF63BE7B"/>
      </colorScale>
    </cfRule>
  </conditionalFormatting>
  <conditionalFormatting sqref="E7">
    <cfRule type="colorScale" priority="1275">
      <colorScale>
        <cfvo type="num" val="1"/>
        <cfvo type="num" val="2"/>
        <cfvo type="num" val="3"/>
        <color rgb="FFF8696B"/>
        <color rgb="FFFFEB84"/>
        <color rgb="FF63BE7B"/>
      </colorScale>
    </cfRule>
    <cfRule type="colorScale" priority="1390">
      <colorScale>
        <cfvo type="num" val="1"/>
        <cfvo type="num" val="2"/>
        <cfvo type="num" val="3"/>
        <color rgb="FFF8696B"/>
        <color rgb="FFFFEB84"/>
        <color rgb="FF63BE7B"/>
      </colorScale>
    </cfRule>
  </conditionalFormatting>
  <conditionalFormatting sqref="E9">
    <cfRule type="colorScale" priority="259">
      <colorScale>
        <cfvo type="min" val="0"/>
        <cfvo type="percentile" val="50"/>
        <cfvo type="max" val="0"/>
        <color rgb="FFF8696B"/>
        <color rgb="FFFFEB84"/>
        <color rgb="FF63BE7B"/>
      </colorScale>
    </cfRule>
    <cfRule type="colorScale" priority="260">
      <colorScale>
        <cfvo type="num" val="1"/>
        <cfvo type="num" val="2"/>
        <cfvo type="num" val="3"/>
        <color rgb="FFF8696B"/>
        <color rgb="FFFFEB84"/>
        <color rgb="FF63BE7B"/>
      </colorScale>
    </cfRule>
    <cfRule type="colorScale" priority="261">
      <colorScale>
        <cfvo type="num" val="1"/>
        <cfvo type="num" val="2"/>
        <cfvo type="num" val="3"/>
        <color rgb="FFF8696B"/>
        <color rgb="FFFFEB84"/>
        <color rgb="FF63BE7B"/>
      </colorScale>
    </cfRule>
  </conditionalFormatting>
  <conditionalFormatting sqref="E11">
    <cfRule type="cellIs" dxfId="3301" priority="522" operator="equal">
      <formula>5</formula>
    </cfRule>
    <cfRule type="cellIs" dxfId="3300" priority="523" operator="equal">
      <formula>4</formula>
    </cfRule>
    <cfRule type="cellIs" dxfId="3299" priority="524" operator="equal">
      <formula>1</formula>
    </cfRule>
    <cfRule type="cellIs" dxfId="3298" priority="525" operator="equal">
      <formula>3</formula>
    </cfRule>
    <cfRule type="cellIs" dxfId="3297" priority="526" operator="equal">
      <formula>2</formula>
    </cfRule>
    <cfRule type="colorScale" priority="527">
      <colorScale>
        <cfvo type="min" val="0"/>
        <cfvo type="percentile" val="50"/>
        <cfvo type="max" val="0"/>
        <color rgb="FFF8696B"/>
        <color rgb="FFFFEB84"/>
        <color rgb="FF63BE7B"/>
      </colorScale>
    </cfRule>
    <cfRule type="colorScale" priority="528">
      <colorScale>
        <cfvo type="num" val="1"/>
        <cfvo type="num" val="2"/>
        <cfvo type="num" val="3"/>
        <color rgb="FFF8696B"/>
        <color rgb="FFFFEB84"/>
        <color rgb="FF63BE7B"/>
      </colorScale>
    </cfRule>
    <cfRule type="colorScale" priority="529">
      <colorScale>
        <cfvo type="num" val="1"/>
        <cfvo type="num" val="2"/>
        <cfvo type="num" val="3"/>
        <color rgb="FFF8696B"/>
        <color rgb="FFFFEB84"/>
        <color rgb="FF63BE7B"/>
      </colorScale>
    </cfRule>
    <cfRule type="colorScale" priority="530">
      <colorScale>
        <cfvo type="num" val="1"/>
        <cfvo type="num" val="2"/>
        <cfvo type="num" val="3"/>
        <color rgb="FFF8696B"/>
        <color rgb="FFFFEB84"/>
        <color rgb="FF63BE7B"/>
      </colorScale>
    </cfRule>
    <cfRule type="colorScale" priority="531">
      <colorScale>
        <cfvo type="num" val="1"/>
        <cfvo type="num" val="2"/>
        <cfvo type="num" val="3"/>
        <color rgb="FFF8696B"/>
        <color rgb="FFFFEB84"/>
        <color rgb="FF63BE7B"/>
      </colorScale>
    </cfRule>
    <cfRule type="colorScale" priority="532">
      <colorScale>
        <cfvo type="num" val="1"/>
        <cfvo type="num" val="2"/>
        <cfvo type="num" val="3"/>
        <color rgb="FFF8696B"/>
        <color rgb="FFFFEB84"/>
        <color rgb="FF63BE7B"/>
      </colorScale>
    </cfRule>
    <cfRule type="colorScale" priority="533">
      <colorScale>
        <cfvo type="num" val="1"/>
        <cfvo type="num" val="2"/>
        <cfvo type="num" val="3"/>
        <color rgb="FFF8696B"/>
        <color rgb="FFFFEB84"/>
        <color rgb="FF63BE7B"/>
      </colorScale>
    </cfRule>
  </conditionalFormatting>
  <conditionalFormatting sqref="E13">
    <cfRule type="colorScale" priority="1050">
      <colorScale>
        <cfvo type="num" val="1"/>
        <cfvo type="num" val="2"/>
        <cfvo type="num" val="3"/>
        <color rgb="FFF8696B"/>
        <color rgb="FFFFEB84"/>
        <color rgb="FF63BE7B"/>
      </colorScale>
    </cfRule>
    <cfRule type="colorScale" priority="1064">
      <colorScale>
        <cfvo type="num" val="1"/>
        <cfvo type="num" val="2"/>
        <cfvo type="num" val="3"/>
        <color rgb="FFF8696B"/>
        <color rgb="FFFFEB84"/>
        <color rgb="FF63BE7B"/>
      </colorScale>
    </cfRule>
  </conditionalFormatting>
  <conditionalFormatting sqref="E15">
    <cfRule type="colorScale" priority="928">
      <colorScale>
        <cfvo type="num" val="1"/>
        <cfvo type="num" val="2"/>
        <cfvo type="num" val="3"/>
        <color rgb="FFF8696B"/>
        <color rgb="FFFFEB84"/>
        <color rgb="FF63BE7B"/>
      </colorScale>
    </cfRule>
    <cfRule type="colorScale" priority="952">
      <colorScale>
        <cfvo type="num" val="1"/>
        <cfvo type="num" val="2"/>
        <cfvo type="num" val="3"/>
        <color rgb="FFF8696B"/>
        <color rgb="FFFFEB84"/>
        <color rgb="FF63BE7B"/>
      </colorScale>
    </cfRule>
  </conditionalFormatting>
  <conditionalFormatting sqref="E9:F9">
    <cfRule type="cellIs" dxfId="3296" priority="254" operator="equal">
      <formula>5</formula>
    </cfRule>
    <cfRule type="cellIs" dxfId="3295" priority="255" operator="equal">
      <formula>4</formula>
    </cfRule>
    <cfRule type="cellIs" dxfId="3294" priority="256" operator="equal">
      <formula>1</formula>
    </cfRule>
    <cfRule type="cellIs" dxfId="3293" priority="257" operator="equal">
      <formula>3</formula>
    </cfRule>
    <cfRule type="cellIs" dxfId="3292" priority="258" operator="equal">
      <formula>2</formula>
    </cfRule>
  </conditionalFormatting>
  <conditionalFormatting sqref="F7">
    <cfRule type="cellIs" dxfId="3291" priority="605" operator="equal">
      <formula>5</formula>
    </cfRule>
    <cfRule type="cellIs" dxfId="3290" priority="606" operator="equal">
      <formula>4</formula>
    </cfRule>
    <cfRule type="cellIs" dxfId="3289" priority="607" operator="equal">
      <formula>1</formula>
    </cfRule>
    <cfRule type="cellIs" dxfId="3288" priority="608" operator="equal">
      <formula>3</formula>
    </cfRule>
    <cfRule type="cellIs" dxfId="3287" priority="609" operator="equal">
      <formula>2</formula>
    </cfRule>
    <cfRule type="colorScale" priority="610">
      <colorScale>
        <cfvo type="min" val="0"/>
        <cfvo type="percentile" val="50"/>
        <cfvo type="max" val="0"/>
        <color rgb="FFF8696B"/>
        <color rgb="FFFFEB84"/>
        <color rgb="FF63BE7B"/>
      </colorScale>
    </cfRule>
    <cfRule type="colorScale" priority="611">
      <colorScale>
        <cfvo type="num" val="1"/>
        <cfvo type="num" val="2"/>
        <cfvo type="num" val="3"/>
        <color rgb="FFF8696B"/>
        <color rgb="FFFFEB84"/>
        <color rgb="FF63BE7B"/>
      </colorScale>
    </cfRule>
    <cfRule type="colorScale" priority="612">
      <colorScale>
        <cfvo type="num" val="1"/>
        <cfvo type="num" val="2"/>
        <cfvo type="num" val="3"/>
        <color rgb="FFF8696B"/>
        <color rgb="FFFFEB84"/>
        <color rgb="FF63BE7B"/>
      </colorScale>
    </cfRule>
  </conditionalFormatting>
  <conditionalFormatting sqref="F9">
    <cfRule type="colorScale" priority="679">
      <colorScale>
        <cfvo type="min" val="0"/>
        <cfvo type="percentile" val="50"/>
        <cfvo type="max" val="0"/>
        <color rgb="FFF8696B"/>
        <color rgb="FFFFEB84"/>
        <color rgb="FF63BE7B"/>
      </colorScale>
    </cfRule>
    <cfRule type="colorScale" priority="680">
      <colorScale>
        <cfvo type="num" val="1"/>
        <cfvo type="num" val="2"/>
        <cfvo type="num" val="3"/>
        <color rgb="FFF8696B"/>
        <color rgb="FFFFEB84"/>
        <color rgb="FF63BE7B"/>
      </colorScale>
    </cfRule>
    <cfRule type="colorScale" priority="681">
      <colorScale>
        <cfvo type="num" val="1"/>
        <cfvo type="num" val="2"/>
        <cfvo type="num" val="3"/>
        <color rgb="FFF8696B"/>
        <color rgb="FFFFEB84"/>
        <color rgb="FF63BE7B"/>
      </colorScale>
    </cfRule>
    <cfRule type="colorScale" priority="682">
      <colorScale>
        <cfvo type="num" val="1"/>
        <cfvo type="num" val="2"/>
        <cfvo type="num" val="3"/>
        <color rgb="FFF8696B"/>
        <color rgb="FFFFEB84"/>
        <color rgb="FF63BE7B"/>
      </colorScale>
    </cfRule>
    <cfRule type="colorScale" priority="683">
      <colorScale>
        <cfvo type="num" val="1"/>
        <cfvo type="num" val="2"/>
        <cfvo type="num" val="3"/>
        <color rgb="FFF8696B"/>
        <color rgb="FFFFEB84"/>
        <color rgb="FF63BE7B"/>
      </colorScale>
    </cfRule>
    <cfRule type="colorScale" priority="684">
      <colorScale>
        <cfvo type="num" val="1"/>
        <cfvo type="num" val="2"/>
        <cfvo type="num" val="3"/>
        <color rgb="FFF8696B"/>
        <color rgb="FFFFEB84"/>
        <color rgb="FF63BE7B"/>
      </colorScale>
    </cfRule>
    <cfRule type="colorScale" priority="685">
      <colorScale>
        <cfvo type="num" val="1"/>
        <cfvo type="num" val="2"/>
        <cfvo type="num" val="3"/>
        <color rgb="FFF8696B"/>
        <color rgb="FFFFEB84"/>
        <color rgb="FF63BE7B"/>
      </colorScale>
    </cfRule>
  </conditionalFormatting>
  <conditionalFormatting sqref="F13">
    <cfRule type="colorScale" priority="1060">
      <colorScale>
        <cfvo type="num" val="1"/>
        <cfvo type="num" val="2"/>
        <cfvo type="num" val="3"/>
        <color rgb="FFF8696B"/>
        <color rgb="FFFFEB84"/>
        <color rgb="FF63BE7B"/>
      </colorScale>
    </cfRule>
    <cfRule type="colorScale" priority="1062">
      <colorScale>
        <cfvo type="num" val="1"/>
        <cfvo type="num" val="2"/>
        <cfvo type="num" val="3"/>
        <color rgb="FFF8696B"/>
        <color rgb="FFFFEB84"/>
        <color rgb="FF63BE7B"/>
      </colorScale>
    </cfRule>
    <cfRule type="colorScale" priority="1067">
      <colorScale>
        <cfvo type="num" val="1"/>
        <cfvo type="num" val="2"/>
        <cfvo type="num" val="3"/>
        <color rgb="FFF8696B"/>
        <color rgb="FFFFEB84"/>
        <color rgb="FF63BE7B"/>
      </colorScale>
    </cfRule>
  </conditionalFormatting>
  <conditionalFormatting sqref="F15">
    <cfRule type="cellIs" dxfId="3286" priority="613" operator="equal">
      <formula>5</formula>
    </cfRule>
    <cfRule type="cellIs" dxfId="3285" priority="614" operator="equal">
      <formula>4</formula>
    </cfRule>
    <cfRule type="cellIs" dxfId="3284" priority="615" operator="equal">
      <formula>1</formula>
    </cfRule>
    <cfRule type="cellIs" dxfId="3283" priority="616" operator="equal">
      <formula>3</formula>
    </cfRule>
    <cfRule type="cellIs" dxfId="3282" priority="617" operator="equal">
      <formula>2</formula>
    </cfRule>
    <cfRule type="colorScale" priority="618">
      <colorScale>
        <cfvo type="min" val="0"/>
        <cfvo type="percentile" val="50"/>
        <cfvo type="max" val="0"/>
        <color rgb="FFF8696B"/>
        <color rgb="FFFFEB84"/>
        <color rgb="FF63BE7B"/>
      </colorScale>
    </cfRule>
    <cfRule type="colorScale" priority="619">
      <colorScale>
        <cfvo type="num" val="1"/>
        <cfvo type="num" val="2"/>
        <cfvo type="num" val="3"/>
        <color rgb="FFF8696B"/>
        <color rgb="FFFFEB84"/>
        <color rgb="FF63BE7B"/>
      </colorScale>
    </cfRule>
    <cfRule type="colorScale" priority="620">
      <colorScale>
        <cfvo type="num" val="1"/>
        <cfvo type="num" val="2"/>
        <cfvo type="num" val="3"/>
        <color rgb="FFF8696B"/>
        <color rgb="FFFFEB84"/>
        <color rgb="FF63BE7B"/>
      </colorScale>
    </cfRule>
    <cfRule type="colorScale" priority="621">
      <colorScale>
        <cfvo type="num" val="1"/>
        <cfvo type="num" val="2"/>
        <cfvo type="num" val="3"/>
        <color rgb="FFF8696B"/>
        <color rgb="FFFFEB84"/>
        <color rgb="FF63BE7B"/>
      </colorScale>
    </cfRule>
    <cfRule type="colorScale" priority="622">
      <colorScale>
        <cfvo type="num" val="1"/>
        <cfvo type="num" val="2"/>
        <cfvo type="num" val="3"/>
        <color rgb="FFF8696B"/>
        <color rgb="FFFFEB84"/>
        <color rgb="FF63BE7B"/>
      </colorScale>
    </cfRule>
    <cfRule type="colorScale" priority="623">
      <colorScale>
        <cfvo type="num" val="1"/>
        <cfvo type="num" val="2"/>
        <cfvo type="num" val="3"/>
        <color rgb="FFF8696B"/>
        <color rgb="FFFFEB84"/>
        <color rgb="FF63BE7B"/>
      </colorScale>
    </cfRule>
    <cfRule type="colorScale" priority="624">
      <colorScale>
        <cfvo type="num" val="1"/>
        <cfvo type="num" val="2"/>
        <cfvo type="num" val="3"/>
        <color rgb="FFF8696B"/>
        <color rgb="FFFFEB84"/>
        <color rgb="FF63BE7B"/>
      </colorScale>
    </cfRule>
  </conditionalFormatting>
  <conditionalFormatting sqref="G5">
    <cfRule type="colorScale" priority="1290">
      <colorScale>
        <cfvo type="num" val="1"/>
        <cfvo type="num" val="2"/>
        <cfvo type="num" val="3"/>
        <color rgb="FFF8696B"/>
        <color rgb="FFFFEB84"/>
        <color rgb="FF63BE7B"/>
      </colorScale>
    </cfRule>
    <cfRule type="colorScale" priority="1351">
      <colorScale>
        <cfvo type="num" val="1"/>
        <cfvo type="num" val="2"/>
        <cfvo type="num" val="3"/>
        <color rgb="FFF8696B"/>
        <color rgb="FFFFEB84"/>
        <color rgb="FF63BE7B"/>
      </colorScale>
    </cfRule>
    <cfRule type="colorScale" priority="1353">
      <colorScale>
        <cfvo type="num" val="1"/>
        <cfvo type="num" val="2"/>
        <cfvo type="num" val="3"/>
        <color rgb="FFF8696B"/>
        <color rgb="FFFFEB84"/>
        <color rgb="FF63BE7B"/>
      </colorScale>
    </cfRule>
    <cfRule type="colorScale" priority="1376">
      <colorScale>
        <cfvo type="num" val="1"/>
        <cfvo type="num" val="2"/>
        <cfvo type="num" val="3"/>
        <color rgb="FFF8696B"/>
        <color rgb="FFFFEB84"/>
        <color rgb="FF63BE7B"/>
      </colorScale>
    </cfRule>
    <cfRule type="colorScale" priority="1416">
      <colorScale>
        <cfvo type="num" val="1"/>
        <cfvo type="num" val="2"/>
        <cfvo type="num" val="3"/>
        <color rgb="FFF8696B"/>
        <color rgb="FFFFEB84"/>
        <color rgb="FF63BE7B"/>
      </colorScale>
    </cfRule>
  </conditionalFormatting>
  <conditionalFormatting sqref="G7">
    <cfRule type="colorScale" priority="1204">
      <colorScale>
        <cfvo type="num" val="1"/>
        <cfvo type="num" val="2"/>
        <cfvo type="num" val="3"/>
        <color rgb="FFF8696B"/>
        <color rgb="FFFFEB84"/>
        <color rgb="FF63BE7B"/>
      </colorScale>
    </cfRule>
    <cfRule type="colorScale" priority="1207">
      <colorScale>
        <cfvo type="num" val="1"/>
        <cfvo type="num" val="2"/>
        <cfvo type="num" val="3"/>
        <color rgb="FFF8696B"/>
        <color rgb="FFFFEB84"/>
        <color rgb="FF63BE7B"/>
      </colorScale>
    </cfRule>
    <cfRule type="colorScale" priority="1388">
      <colorScale>
        <cfvo type="num" val="1"/>
        <cfvo type="num" val="2"/>
        <cfvo type="num" val="3"/>
        <color rgb="FFF8696B"/>
        <color rgb="FFFFEB84"/>
        <color rgb="FF63BE7B"/>
      </colorScale>
    </cfRule>
  </conditionalFormatting>
  <conditionalFormatting sqref="G9">
    <cfRule type="colorScale" priority="1218">
      <colorScale>
        <cfvo type="num" val="1"/>
        <cfvo type="num" val="2"/>
        <cfvo type="num" val="3"/>
        <color rgb="FFF8696B"/>
        <color rgb="FFFFEB84"/>
        <color rgb="FF63BE7B"/>
      </colorScale>
    </cfRule>
    <cfRule type="colorScale" priority="1219">
      <colorScale>
        <cfvo type="num" val="1"/>
        <cfvo type="num" val="2"/>
        <cfvo type="num" val="3"/>
        <color rgb="FFF8696B"/>
        <color rgb="FFFFEB84"/>
        <color rgb="FF63BE7B"/>
      </colorScale>
    </cfRule>
    <cfRule type="colorScale" priority="1220">
      <colorScale>
        <cfvo type="num" val="1"/>
        <cfvo type="num" val="2"/>
        <cfvo type="num" val="3"/>
        <color rgb="FFF8696B"/>
        <color rgb="FFFFEB84"/>
        <color rgb="FF63BE7B"/>
      </colorScale>
    </cfRule>
    <cfRule type="colorScale" priority="1221">
      <colorScale>
        <cfvo type="num" val="1"/>
        <cfvo type="num" val="2"/>
        <cfvo type="num" val="3"/>
        <color rgb="FFF8696B"/>
        <color rgb="FFFFEB84"/>
        <color rgb="FF63BE7B"/>
      </colorScale>
    </cfRule>
    <cfRule type="colorScale" priority="1222">
      <colorScale>
        <cfvo type="num" val="1"/>
        <cfvo type="num" val="2"/>
        <cfvo type="num" val="3"/>
        <color rgb="FFF8696B"/>
        <color rgb="FFFFEB84"/>
        <color rgb="FF63BE7B"/>
      </colorScale>
    </cfRule>
    <cfRule type="colorScale" priority="1223">
      <colorScale>
        <cfvo type="num" val="1"/>
        <cfvo type="num" val="2"/>
        <cfvo type="num" val="3"/>
        <color rgb="FFF8696B"/>
        <color rgb="FFFFEB84"/>
        <color rgb="FF63BE7B"/>
      </colorScale>
    </cfRule>
    <cfRule type="colorScale" priority="1224">
      <colorScale>
        <cfvo type="num" val="1"/>
        <cfvo type="num" val="2"/>
        <cfvo type="num" val="3"/>
        <color rgb="FFF8696B"/>
        <color rgb="FFFFEB84"/>
        <color rgb="FF63BE7B"/>
      </colorScale>
    </cfRule>
    <cfRule type="colorScale" priority="1225">
      <colorScale>
        <cfvo type="num" val="1"/>
        <cfvo type="num" val="2"/>
        <cfvo type="num" val="3"/>
        <color rgb="FFF8696B"/>
        <color rgb="FFFFEB84"/>
        <color rgb="FF63BE7B"/>
      </colorScale>
    </cfRule>
    <cfRule type="colorScale" priority="1226">
      <colorScale>
        <cfvo type="num" val="1"/>
        <cfvo type="num" val="2"/>
        <cfvo type="num" val="3"/>
        <color rgb="FFF8696B"/>
        <color rgb="FFFFEB84"/>
        <color rgb="FF63BE7B"/>
      </colorScale>
    </cfRule>
    <cfRule type="colorScale" priority="1227">
      <colorScale>
        <cfvo type="num" val="1"/>
        <cfvo type="num" val="2"/>
        <cfvo type="num" val="3"/>
        <color rgb="FFF8696B"/>
        <color rgb="FFFFEB84"/>
        <color rgb="FF63BE7B"/>
      </colorScale>
    </cfRule>
    <cfRule type="colorScale" priority="1228">
      <colorScale>
        <cfvo type="num" val="1"/>
        <cfvo type="num" val="2"/>
        <cfvo type="num" val="3"/>
        <color rgb="FFF8696B"/>
        <color rgb="FFFFEB84"/>
        <color rgb="FF63BE7B"/>
      </colorScale>
    </cfRule>
    <cfRule type="colorScale" priority="1229">
      <colorScale>
        <cfvo type="num" val="1"/>
        <cfvo type="num" val="2"/>
        <cfvo type="num" val="3"/>
        <color rgb="FFF8696B"/>
        <color rgb="FFFFEB84"/>
        <color rgb="FF63BE7B"/>
      </colorScale>
    </cfRule>
  </conditionalFormatting>
  <conditionalFormatting sqref="G11">
    <cfRule type="cellIs" dxfId="3281" priority="121" operator="equal">
      <formula>5</formula>
    </cfRule>
    <cfRule type="cellIs" dxfId="3280" priority="122" operator="equal">
      <formula>4</formula>
    </cfRule>
    <cfRule type="cellIs" dxfId="3279" priority="123" operator="equal">
      <formula>1</formula>
    </cfRule>
    <cfRule type="cellIs" dxfId="3278" priority="124" operator="equal">
      <formula>3</formula>
    </cfRule>
    <cfRule type="cellIs" dxfId="3277" priority="125" operator="equal">
      <formula>2</formula>
    </cfRule>
    <cfRule type="colorScale" priority="126">
      <colorScale>
        <cfvo type="min" val="0"/>
        <cfvo type="percentile" val="50"/>
        <cfvo type="max" val="0"/>
        <color rgb="FFF8696B"/>
        <color rgb="FFFFEB84"/>
        <color rgb="FF63BE7B"/>
      </colorScale>
    </cfRule>
    <cfRule type="colorScale" priority="127">
      <colorScale>
        <cfvo type="num" val="1"/>
        <cfvo type="num" val="2"/>
        <cfvo type="num" val="3"/>
        <color rgb="FFF8696B"/>
        <color rgb="FFFFEB84"/>
        <color rgb="FF63BE7B"/>
      </colorScale>
    </cfRule>
    <cfRule type="colorScale" priority="128">
      <colorScale>
        <cfvo type="num" val="1"/>
        <cfvo type="num" val="2"/>
        <cfvo type="num" val="3"/>
        <color rgb="FFF8696B"/>
        <color rgb="FFFFEB84"/>
        <color rgb="FF63BE7B"/>
      </colorScale>
    </cfRule>
  </conditionalFormatting>
  <conditionalFormatting sqref="G13">
    <cfRule type="cellIs" dxfId="3276" priority="141" operator="equal">
      <formula>5</formula>
    </cfRule>
    <cfRule type="cellIs" dxfId="3275" priority="142" operator="equal">
      <formula>4</formula>
    </cfRule>
    <cfRule type="cellIs" dxfId="3274" priority="143" operator="equal">
      <formula>1</formula>
    </cfRule>
    <cfRule type="cellIs" dxfId="3273" priority="144" operator="equal">
      <formula>3</formula>
    </cfRule>
    <cfRule type="cellIs" dxfId="3272" priority="145" operator="equal">
      <formula>2</formula>
    </cfRule>
    <cfRule type="colorScale" priority="146">
      <colorScale>
        <cfvo type="min" val="0"/>
        <cfvo type="percentile" val="50"/>
        <cfvo type="max" val="0"/>
        <color rgb="FFF8696B"/>
        <color rgb="FFFFEB84"/>
        <color rgb="FF63BE7B"/>
      </colorScale>
    </cfRule>
    <cfRule type="colorScale" priority="147">
      <colorScale>
        <cfvo type="num" val="1"/>
        <cfvo type="num" val="2"/>
        <cfvo type="num" val="3"/>
        <color rgb="FFF8696B"/>
        <color rgb="FFFFEB84"/>
        <color rgb="FF63BE7B"/>
      </colorScale>
    </cfRule>
    <cfRule type="colorScale" priority="148">
      <colorScale>
        <cfvo type="num" val="1"/>
        <cfvo type="num" val="2"/>
        <cfvo type="num" val="3"/>
        <color rgb="FFF8696B"/>
        <color rgb="FFFFEB84"/>
        <color rgb="FF63BE7B"/>
      </colorScale>
    </cfRule>
    <cfRule type="colorScale" priority="149">
      <colorScale>
        <cfvo type="num" val="1"/>
        <cfvo type="num" val="2"/>
        <cfvo type="num" val="3"/>
        <color rgb="FFF8696B"/>
        <color rgb="FFFFEB84"/>
        <color rgb="FF63BE7B"/>
      </colorScale>
    </cfRule>
    <cfRule type="colorScale" priority="150">
      <colorScale>
        <cfvo type="num" val="1"/>
        <cfvo type="num" val="2"/>
        <cfvo type="num" val="3"/>
        <color rgb="FFF8696B"/>
        <color rgb="FFFFEB84"/>
        <color rgb="FF63BE7B"/>
      </colorScale>
    </cfRule>
    <cfRule type="colorScale" priority="151">
      <colorScale>
        <cfvo type="num" val="1"/>
        <cfvo type="num" val="2"/>
        <cfvo type="num" val="3"/>
        <color rgb="FFF8696B"/>
        <color rgb="FFFFEB84"/>
        <color rgb="FF63BE7B"/>
      </colorScale>
    </cfRule>
    <cfRule type="colorScale" priority="152">
      <colorScale>
        <cfvo type="num" val="1"/>
        <cfvo type="num" val="2"/>
        <cfvo type="num" val="3"/>
        <color rgb="FFF8696B"/>
        <color rgb="FFFFEB84"/>
        <color rgb="FF63BE7B"/>
      </colorScale>
    </cfRule>
  </conditionalFormatting>
  <conditionalFormatting sqref="G15">
    <cfRule type="colorScale" priority="906">
      <colorScale>
        <cfvo type="num" val="1"/>
        <cfvo type="num" val="2"/>
        <cfvo type="num" val="3"/>
        <color rgb="FFF8696B"/>
        <color rgb="FFFFEB84"/>
        <color rgb="FF63BE7B"/>
      </colorScale>
    </cfRule>
    <cfRule type="colorScale" priority="909">
      <colorScale>
        <cfvo type="num" val="1"/>
        <cfvo type="num" val="2"/>
        <cfvo type="num" val="3"/>
        <color rgb="FFF8696B"/>
        <color rgb="FFFFEB84"/>
        <color rgb="FF63BE7B"/>
      </colorScale>
    </cfRule>
    <cfRule type="colorScale" priority="951">
      <colorScale>
        <cfvo type="num" val="1"/>
        <cfvo type="num" val="2"/>
        <cfvo type="num" val="3"/>
        <color rgb="FFF8696B"/>
        <color rgb="FFFFEB84"/>
        <color rgb="FF63BE7B"/>
      </colorScale>
    </cfRule>
  </conditionalFormatting>
  <conditionalFormatting sqref="G7:H7">
    <cfRule type="colorScale" priority="1252">
      <colorScale>
        <cfvo type="num" val="1"/>
        <cfvo type="num" val="2"/>
        <cfvo type="num" val="3"/>
        <color rgb="FFF8696B"/>
        <color rgb="FFFFEB84"/>
        <color rgb="FF63BE7B"/>
      </colorScale>
    </cfRule>
  </conditionalFormatting>
  <conditionalFormatting sqref="G15:H15">
    <cfRule type="colorScale" priority="920">
      <colorScale>
        <cfvo type="num" val="1"/>
        <cfvo type="num" val="2"/>
        <cfvo type="num" val="3"/>
        <color rgb="FFF8696B"/>
        <color rgb="FFFFEB84"/>
        <color rgb="FF63BE7B"/>
      </colorScale>
    </cfRule>
  </conditionalFormatting>
  <conditionalFormatting sqref="H5">
    <cfRule type="colorScale" priority="1253">
      <colorScale>
        <cfvo type="num" val="1"/>
        <cfvo type="num" val="2"/>
        <cfvo type="num" val="3"/>
        <color rgb="FFF8696B"/>
        <color rgb="FFFFEB84"/>
        <color rgb="FF63BE7B"/>
      </colorScale>
    </cfRule>
    <cfRule type="colorScale" priority="1288">
      <colorScale>
        <cfvo type="num" val="1"/>
        <cfvo type="num" val="2"/>
        <cfvo type="num" val="3"/>
        <color rgb="FFF8696B"/>
        <color rgb="FFFFEB84"/>
        <color rgb="FF63BE7B"/>
      </colorScale>
    </cfRule>
    <cfRule type="colorScale" priority="1289">
      <colorScale>
        <cfvo type="num" val="1"/>
        <cfvo type="num" val="2"/>
        <cfvo type="num" val="3"/>
        <color rgb="FFF8696B"/>
        <color rgb="FFFFEB84"/>
        <color rgb="FF63BE7B"/>
      </colorScale>
    </cfRule>
    <cfRule type="colorScale" priority="1291">
      <colorScale>
        <cfvo type="num" val="1"/>
        <cfvo type="num" val="2"/>
        <cfvo type="num" val="3"/>
        <color rgb="FFF8696B"/>
        <color rgb="FFFFEB84"/>
        <color rgb="FF63BE7B"/>
      </colorScale>
    </cfRule>
    <cfRule type="colorScale" priority="1292">
      <colorScale>
        <cfvo type="num" val="1"/>
        <cfvo type="num" val="2"/>
        <cfvo type="num" val="3"/>
        <color rgb="FFF8696B"/>
        <color rgb="FFFFEB84"/>
        <color rgb="FF63BE7B"/>
      </colorScale>
    </cfRule>
    <cfRule type="colorScale" priority="1293">
      <colorScale>
        <cfvo type="num" val="1"/>
        <cfvo type="num" val="2"/>
        <cfvo type="num" val="3"/>
        <color rgb="FFF8696B"/>
        <color rgb="FFFFEB84"/>
        <color rgb="FF63BE7B"/>
      </colorScale>
    </cfRule>
    <cfRule type="colorScale" priority="1294">
      <colorScale>
        <cfvo type="num" val="1"/>
        <cfvo type="num" val="2"/>
        <cfvo type="num" val="3"/>
        <color rgb="FFF8696B"/>
        <color rgb="FFFFEB84"/>
        <color rgb="FF63BE7B"/>
      </colorScale>
    </cfRule>
    <cfRule type="colorScale" priority="1295">
      <colorScale>
        <cfvo type="num" val="1"/>
        <cfvo type="num" val="2"/>
        <cfvo type="num" val="3"/>
        <color rgb="FFF8696B"/>
        <color rgb="FFFFEB84"/>
        <color rgb="FF63BE7B"/>
      </colorScale>
    </cfRule>
    <cfRule type="colorScale" priority="1348">
      <colorScale>
        <cfvo type="num" val="1"/>
        <cfvo type="num" val="2"/>
        <cfvo type="num" val="3"/>
        <color rgb="FFF8696B"/>
        <color rgb="FFFFEB84"/>
        <color rgb="FF63BE7B"/>
      </colorScale>
    </cfRule>
    <cfRule type="colorScale" priority="1350">
      <colorScale>
        <cfvo type="num" val="1"/>
        <cfvo type="num" val="2"/>
        <cfvo type="num" val="3"/>
        <color rgb="FFF8696B"/>
        <color rgb="FFFFEB84"/>
        <color rgb="FF63BE7B"/>
      </colorScale>
    </cfRule>
    <cfRule type="colorScale" priority="1352">
      <colorScale>
        <cfvo type="num" val="1"/>
        <cfvo type="num" val="2"/>
        <cfvo type="num" val="3"/>
        <color rgb="FFF8696B"/>
        <color rgb="FFFFEB84"/>
        <color rgb="FF63BE7B"/>
      </colorScale>
    </cfRule>
    <cfRule type="colorScale" priority="1354">
      <colorScale>
        <cfvo type="num" val="1"/>
        <cfvo type="num" val="2"/>
        <cfvo type="num" val="3"/>
        <color rgb="FFF8696B"/>
        <color rgb="FFFFEB84"/>
        <color rgb="FF63BE7B"/>
      </colorScale>
    </cfRule>
  </conditionalFormatting>
  <conditionalFormatting sqref="H7">
    <cfRule type="colorScale" priority="1205">
      <colorScale>
        <cfvo type="num" val="1"/>
        <cfvo type="num" val="2"/>
        <cfvo type="num" val="3"/>
        <color rgb="FFF8696B"/>
        <color rgb="FFFFEB84"/>
        <color rgb="FF63BE7B"/>
      </colorScale>
    </cfRule>
    <cfRule type="colorScale" priority="1206">
      <colorScale>
        <cfvo type="num" val="1"/>
        <cfvo type="num" val="2"/>
        <cfvo type="num" val="3"/>
        <color rgb="FFF8696B"/>
        <color rgb="FFFFEB84"/>
        <color rgb="FF63BE7B"/>
      </colorScale>
    </cfRule>
    <cfRule type="colorScale" priority="1208">
      <colorScale>
        <cfvo type="num" val="1"/>
        <cfvo type="num" val="2"/>
        <cfvo type="num" val="3"/>
        <color rgb="FFF8696B"/>
        <color rgb="FFFFEB84"/>
        <color rgb="FF63BE7B"/>
      </colorScale>
    </cfRule>
    <cfRule type="colorScale" priority="1323">
      <colorScale>
        <cfvo type="num" val="1"/>
        <cfvo type="num" val="2"/>
        <cfvo type="num" val="3"/>
        <color rgb="FFF8696B"/>
        <color rgb="FFFFEB84"/>
        <color rgb="FF63BE7B"/>
      </colorScale>
    </cfRule>
    <cfRule type="colorScale" priority="1347">
      <colorScale>
        <cfvo type="num" val="1"/>
        <cfvo type="num" val="2"/>
        <cfvo type="num" val="3"/>
        <color rgb="FFF8696B"/>
        <color rgb="FFFFEB84"/>
        <color rgb="FF63BE7B"/>
      </colorScale>
    </cfRule>
  </conditionalFormatting>
  <conditionalFormatting sqref="H9">
    <cfRule type="colorScale" priority="1159">
      <colorScale>
        <cfvo type="num" val="1"/>
        <cfvo type="num" val="2"/>
        <cfvo type="num" val="3"/>
        <color rgb="FFF8696B"/>
        <color rgb="FFFFEB84"/>
        <color rgb="FF63BE7B"/>
      </colorScale>
    </cfRule>
    <cfRule type="colorScale" priority="1160">
      <colorScale>
        <cfvo type="num" val="1"/>
        <cfvo type="num" val="2"/>
        <cfvo type="num" val="3"/>
        <color rgb="FFF8696B"/>
        <color rgb="FFFFEB84"/>
        <color rgb="FF63BE7B"/>
      </colorScale>
    </cfRule>
    <cfRule type="colorScale" priority="1162">
      <colorScale>
        <cfvo type="num" val="1"/>
        <cfvo type="num" val="2"/>
        <cfvo type="num" val="3"/>
        <color rgb="FFF8696B"/>
        <color rgb="FFFFEB84"/>
        <color rgb="FF63BE7B"/>
      </colorScale>
    </cfRule>
  </conditionalFormatting>
  <conditionalFormatting sqref="H15">
    <cfRule type="colorScale" priority="907">
      <colorScale>
        <cfvo type="num" val="1"/>
        <cfvo type="num" val="2"/>
        <cfvo type="num" val="3"/>
        <color rgb="FFF8696B"/>
        <color rgb="FFFFEB84"/>
        <color rgb="FF63BE7B"/>
      </colorScale>
    </cfRule>
    <cfRule type="colorScale" priority="908">
      <colorScale>
        <cfvo type="num" val="1"/>
        <cfvo type="num" val="2"/>
        <cfvo type="num" val="3"/>
        <color rgb="FFF8696B"/>
        <color rgb="FFFFEB84"/>
        <color rgb="FF63BE7B"/>
      </colorScale>
    </cfRule>
    <cfRule type="colorScale" priority="910">
      <colorScale>
        <cfvo type="num" val="1"/>
        <cfvo type="num" val="2"/>
        <cfvo type="num" val="3"/>
        <color rgb="FFF8696B"/>
        <color rgb="FFFFEB84"/>
        <color rgb="FF63BE7B"/>
      </colorScale>
    </cfRule>
    <cfRule type="colorScale" priority="939">
      <colorScale>
        <cfvo type="num" val="1"/>
        <cfvo type="num" val="2"/>
        <cfvo type="num" val="3"/>
        <color rgb="FFF8696B"/>
        <color rgb="FFFFEB84"/>
        <color rgb="FF63BE7B"/>
      </colorScale>
    </cfRule>
    <cfRule type="colorScale" priority="946">
      <colorScale>
        <cfvo type="num" val="1"/>
        <cfvo type="num" val="2"/>
        <cfvo type="num" val="3"/>
        <color rgb="FFF8696B"/>
        <color rgb="FFFFEB84"/>
        <color rgb="FF63BE7B"/>
      </colorScale>
    </cfRule>
  </conditionalFormatting>
  <conditionalFormatting sqref="H13:J13">
    <cfRule type="colorScale" priority="627">
      <colorScale>
        <cfvo type="num" val="1"/>
        <cfvo type="num" val="2"/>
        <cfvo type="num" val="3"/>
        <color rgb="FFF8696B"/>
        <color rgb="FFFFEB84"/>
        <color rgb="FF63BE7B"/>
      </colorScale>
    </cfRule>
    <cfRule type="colorScale" priority="630">
      <colorScale>
        <cfvo type="num" val="1"/>
        <cfvo type="num" val="2"/>
        <cfvo type="num" val="3"/>
        <color rgb="FFF8696B"/>
        <color rgb="FFFFEB84"/>
        <color rgb="FF63BE7B"/>
      </colorScale>
    </cfRule>
    <cfRule type="colorScale" priority="632">
      <colorScale>
        <cfvo type="num" val="1"/>
        <cfvo type="num" val="2"/>
        <cfvo type="num" val="3"/>
        <color rgb="FFF8696B"/>
        <color rgb="FFFFEB84"/>
        <color rgb="FF63BE7B"/>
      </colorScale>
    </cfRule>
    <cfRule type="colorScale" priority="633">
      <colorScale>
        <cfvo type="num" val="1"/>
        <cfvo type="num" val="2"/>
        <cfvo type="num" val="3"/>
        <color rgb="FFF8696B"/>
        <color rgb="FFFFEB84"/>
        <color rgb="FF63BE7B"/>
      </colorScale>
    </cfRule>
    <cfRule type="colorScale" priority="634">
      <colorScale>
        <cfvo type="num" val="1"/>
        <cfvo type="num" val="2"/>
        <cfvo type="num" val="3"/>
        <color rgb="FFF8696B"/>
        <color rgb="FFFFEB84"/>
        <color rgb="FF63BE7B"/>
      </colorScale>
    </cfRule>
  </conditionalFormatting>
  <conditionalFormatting sqref="H13:K13">
    <cfRule type="colorScale" priority="635">
      <colorScale>
        <cfvo type="num" val="1"/>
        <cfvo type="num" val="2"/>
        <cfvo type="num" val="3"/>
        <color rgb="FFF8696B"/>
        <color rgb="FFFFEB84"/>
        <color rgb="FF63BE7B"/>
      </colorScale>
    </cfRule>
    <cfRule type="colorScale" priority="636">
      <colorScale>
        <cfvo type="num" val="1"/>
        <cfvo type="num" val="2"/>
        <cfvo type="num" val="3"/>
        <color rgb="FFF8696B"/>
        <color rgb="FFFFEB84"/>
        <color rgb="FF63BE7B"/>
      </colorScale>
    </cfRule>
    <cfRule type="colorScale" priority="637">
      <colorScale>
        <cfvo type="num" val="1"/>
        <cfvo type="num" val="2"/>
        <cfvo type="num" val="3"/>
        <color rgb="FFF8696B"/>
        <color rgb="FFFFEB84"/>
        <color rgb="FF63BE7B"/>
      </colorScale>
    </cfRule>
  </conditionalFormatting>
  <conditionalFormatting sqref="I5">
    <cfRule type="colorScale" priority="786">
      <colorScale>
        <cfvo type="num" val="1"/>
        <cfvo type="num" val="2"/>
        <cfvo type="num" val="3"/>
        <color rgb="FFF8696B"/>
        <color rgb="FFFFEB84"/>
        <color rgb="FF63BE7B"/>
      </colorScale>
    </cfRule>
    <cfRule type="colorScale" priority="787">
      <colorScale>
        <cfvo type="num" val="1"/>
        <cfvo type="num" val="2"/>
        <cfvo type="num" val="3"/>
        <color rgb="FFF8696B"/>
        <color rgb="FFFFEB84"/>
        <color rgb="FF63BE7B"/>
      </colorScale>
    </cfRule>
    <cfRule type="colorScale" priority="788">
      <colorScale>
        <cfvo type="num" val="1"/>
        <cfvo type="num" val="2"/>
        <cfvo type="num" val="3"/>
        <color rgb="FFF8696B"/>
        <color rgb="FFFFEB84"/>
        <color rgb="FF63BE7B"/>
      </colorScale>
    </cfRule>
    <cfRule type="colorScale" priority="791">
      <colorScale>
        <cfvo type="num" val="1"/>
        <cfvo type="num" val="2"/>
        <cfvo type="num" val="3"/>
        <color rgb="FFF8696B"/>
        <color rgb="FFFFEB84"/>
        <color rgb="FF63BE7B"/>
      </colorScale>
    </cfRule>
    <cfRule type="colorScale" priority="794">
      <colorScale>
        <cfvo type="num" val="1"/>
        <cfvo type="num" val="2"/>
        <cfvo type="num" val="3"/>
        <color rgb="FFF8696B"/>
        <color rgb="FFFFEB84"/>
        <color rgb="FF63BE7B"/>
      </colorScale>
    </cfRule>
    <cfRule type="colorScale" priority="795">
      <colorScale>
        <cfvo type="num" val="1"/>
        <cfvo type="num" val="2"/>
        <cfvo type="num" val="3"/>
        <color rgb="FFF8696B"/>
        <color rgb="FFFFEB84"/>
        <color rgb="FF63BE7B"/>
      </colorScale>
    </cfRule>
    <cfRule type="colorScale" priority="1254">
      <colorScale>
        <cfvo type="num" val="1"/>
        <cfvo type="num" val="2"/>
        <cfvo type="num" val="3"/>
        <color rgb="FFF8696B"/>
        <color rgb="FFFFEB84"/>
        <color rgb="FF63BE7B"/>
      </colorScale>
    </cfRule>
    <cfRule type="colorScale" priority="1349">
      <colorScale>
        <cfvo type="num" val="1"/>
        <cfvo type="num" val="2"/>
        <cfvo type="num" val="3"/>
        <color rgb="FFF8696B"/>
        <color rgb="FFFFEB84"/>
        <color rgb="FF63BE7B"/>
      </colorScale>
    </cfRule>
    <cfRule type="colorScale" priority="1415">
      <colorScale>
        <cfvo type="num" val="1"/>
        <cfvo type="num" val="2"/>
        <cfvo type="num" val="3"/>
        <color rgb="FFF8696B"/>
        <color rgb="FFFFEB84"/>
        <color rgb="FF63BE7B"/>
      </colorScale>
    </cfRule>
  </conditionalFormatting>
  <conditionalFormatting sqref="I7">
    <cfRule type="colorScale" priority="1199">
      <colorScale>
        <cfvo type="num" val="1"/>
        <cfvo type="num" val="2"/>
        <cfvo type="num" val="3"/>
        <color rgb="FFF8696B"/>
        <color rgb="FFFFEB84"/>
        <color rgb="FF63BE7B"/>
      </colorScale>
    </cfRule>
    <cfRule type="colorScale" priority="1202">
      <colorScale>
        <cfvo type="num" val="1"/>
        <cfvo type="num" val="2"/>
        <cfvo type="num" val="3"/>
        <color rgb="FFF8696B"/>
        <color rgb="FFFFEB84"/>
        <color rgb="FF63BE7B"/>
      </colorScale>
    </cfRule>
    <cfRule type="colorScale" priority="1250">
      <colorScale>
        <cfvo type="num" val="1"/>
        <cfvo type="num" val="2"/>
        <cfvo type="num" val="3"/>
        <color rgb="FFF8696B"/>
        <color rgb="FFFFEB84"/>
        <color rgb="FF63BE7B"/>
      </colorScale>
    </cfRule>
    <cfRule type="colorScale" priority="1251">
      <colorScale>
        <cfvo type="num" val="1"/>
        <cfvo type="num" val="2"/>
        <cfvo type="num" val="3"/>
        <color rgb="FFF8696B"/>
        <color rgb="FFFFEB84"/>
        <color rgb="FF63BE7B"/>
      </colorScale>
    </cfRule>
    <cfRule type="colorScale" priority="1255">
      <colorScale>
        <cfvo type="num" val="1"/>
        <cfvo type="num" val="2"/>
        <cfvo type="num" val="3"/>
        <color rgb="FFF8696B"/>
        <color rgb="FFFFEB84"/>
        <color rgb="FF63BE7B"/>
      </colorScale>
    </cfRule>
  </conditionalFormatting>
  <conditionalFormatting sqref="I8">
    <cfRule type="colorScale" priority="1013">
      <colorScale>
        <cfvo type="num" val="1"/>
        <cfvo type="num" val="2"/>
        <cfvo type="num" val="3"/>
        <color rgb="FFF8696B"/>
        <color rgb="FFFFEB84"/>
        <color rgb="FF63BE7B"/>
      </colorScale>
    </cfRule>
  </conditionalFormatting>
  <conditionalFormatting sqref="I9">
    <cfRule type="colorScale" priority="86">
      <colorScale>
        <cfvo type="min" val="0"/>
        <cfvo type="percentile" val="50"/>
        <cfvo type="max" val="0"/>
        <color rgb="FFF8696B"/>
        <color rgb="FFFFEB84"/>
        <color rgb="FF63BE7B"/>
      </colorScale>
    </cfRule>
    <cfRule type="colorScale" priority="87">
      <colorScale>
        <cfvo type="num" val="1"/>
        <cfvo type="num" val="2"/>
        <cfvo type="num" val="3"/>
        <color rgb="FFF8696B"/>
        <color rgb="FFFFEB84"/>
        <color rgb="FF63BE7B"/>
      </colorScale>
    </cfRule>
    <cfRule type="colorScale" priority="88">
      <colorScale>
        <cfvo type="num" val="1"/>
        <cfvo type="num" val="2"/>
        <cfvo type="num" val="3"/>
        <color rgb="FFF8696B"/>
        <color rgb="FFFFEB84"/>
        <color rgb="FF63BE7B"/>
      </colorScale>
    </cfRule>
    <cfRule type="colorScale" priority="89">
      <colorScale>
        <cfvo type="num" val="1"/>
        <cfvo type="num" val="2"/>
        <cfvo type="num" val="3"/>
        <color rgb="FFF8696B"/>
        <color rgb="FFFFEB84"/>
        <color rgb="FF63BE7B"/>
      </colorScale>
    </cfRule>
    <cfRule type="colorScale" priority="90">
      <colorScale>
        <cfvo type="num" val="1"/>
        <cfvo type="num" val="2"/>
        <cfvo type="num" val="3"/>
        <color rgb="FFF8696B"/>
        <color rgb="FFFFEB84"/>
        <color rgb="FF63BE7B"/>
      </colorScale>
    </cfRule>
    <cfRule type="colorScale" priority="91">
      <colorScale>
        <cfvo type="num" val="1"/>
        <cfvo type="num" val="2"/>
        <cfvo type="num" val="3"/>
        <color rgb="FFF8696B"/>
        <color rgb="FFFFEB84"/>
        <color rgb="FF63BE7B"/>
      </colorScale>
    </cfRule>
    <cfRule type="colorScale" priority="92">
      <colorScale>
        <cfvo type="num" val="1"/>
        <cfvo type="num" val="2"/>
        <cfvo type="num" val="3"/>
        <color rgb="FFF8696B"/>
        <color rgb="FFFFEB84"/>
        <color rgb="FF63BE7B"/>
      </colorScale>
    </cfRule>
  </conditionalFormatting>
  <conditionalFormatting sqref="I11">
    <cfRule type="colorScale" priority="118">
      <colorScale>
        <cfvo type="min" val="0"/>
        <cfvo type="percentile" val="50"/>
        <cfvo type="max" val="0"/>
        <color rgb="FFF8696B"/>
        <color rgb="FFFFEB84"/>
        <color rgb="FF63BE7B"/>
      </colorScale>
    </cfRule>
    <cfRule type="colorScale" priority="119">
      <colorScale>
        <cfvo type="num" val="1"/>
        <cfvo type="num" val="2"/>
        <cfvo type="num" val="3"/>
        <color rgb="FFF8696B"/>
        <color rgb="FFFFEB84"/>
        <color rgb="FF63BE7B"/>
      </colorScale>
    </cfRule>
    <cfRule type="colorScale" priority="120">
      <colorScale>
        <cfvo type="num" val="1"/>
        <cfvo type="num" val="2"/>
        <cfvo type="num" val="3"/>
        <color rgb="FFF8696B"/>
        <color rgb="FFFFEB84"/>
        <color rgb="FF63BE7B"/>
      </colorScale>
    </cfRule>
  </conditionalFormatting>
  <conditionalFormatting sqref="I15">
    <cfRule type="colorScale" priority="901">
      <colorScale>
        <cfvo type="num" val="1"/>
        <cfvo type="num" val="2"/>
        <cfvo type="num" val="3"/>
        <color rgb="FFF8696B"/>
        <color rgb="FFFFEB84"/>
        <color rgb="FF63BE7B"/>
      </colorScale>
    </cfRule>
    <cfRule type="colorScale" priority="904">
      <colorScale>
        <cfvo type="num" val="1"/>
        <cfvo type="num" val="2"/>
        <cfvo type="num" val="3"/>
        <color rgb="FFF8696B"/>
        <color rgb="FFFFEB84"/>
        <color rgb="FF63BE7B"/>
      </colorScale>
    </cfRule>
    <cfRule type="colorScale" priority="918">
      <colorScale>
        <cfvo type="num" val="1"/>
        <cfvo type="num" val="2"/>
        <cfvo type="num" val="3"/>
        <color rgb="FFF8696B"/>
        <color rgb="FFFFEB84"/>
        <color rgb="FF63BE7B"/>
      </colorScale>
    </cfRule>
    <cfRule type="colorScale" priority="919">
      <colorScale>
        <cfvo type="num" val="1"/>
        <cfvo type="num" val="2"/>
        <cfvo type="num" val="3"/>
        <color rgb="FFF8696B"/>
        <color rgb="FFFFEB84"/>
        <color rgb="FF63BE7B"/>
      </colorScale>
    </cfRule>
    <cfRule type="colorScale" priority="921">
      <colorScale>
        <cfvo type="num" val="1"/>
        <cfvo type="num" val="2"/>
        <cfvo type="num" val="3"/>
        <color rgb="FFF8696B"/>
        <color rgb="FFFFEB84"/>
        <color rgb="FF63BE7B"/>
      </colorScale>
    </cfRule>
  </conditionalFormatting>
  <conditionalFormatting sqref="I5:J5">
    <cfRule type="colorScale" priority="793">
      <colorScale>
        <cfvo type="num" val="1"/>
        <cfvo type="num" val="2"/>
        <cfvo type="num" val="3"/>
        <color rgb="FFF8696B"/>
        <color rgb="FFFFEB84"/>
        <color rgb="FF63BE7B"/>
      </colorScale>
    </cfRule>
  </conditionalFormatting>
  <conditionalFormatting sqref="I7:J7 B14:H14 L14:AF14 B16:H16">
    <cfRule type="colorScale" priority="1420">
      <colorScale>
        <cfvo type="num" val="1"/>
        <cfvo type="num" val="2"/>
        <cfvo type="num" val="3"/>
        <color rgb="FFF8696B"/>
        <color rgb="FFFFEB84"/>
        <color rgb="FF63BE7B"/>
      </colorScale>
    </cfRule>
  </conditionalFormatting>
  <conditionalFormatting sqref="I9:J9">
    <cfRule type="cellIs" dxfId="3271" priority="81" operator="equal">
      <formula>5</formula>
    </cfRule>
    <cfRule type="cellIs" dxfId="3270" priority="82" operator="equal">
      <formula>4</formula>
    </cfRule>
    <cfRule type="cellIs" dxfId="3269" priority="83" operator="equal">
      <formula>1</formula>
    </cfRule>
    <cfRule type="cellIs" dxfId="3268" priority="84" operator="equal">
      <formula>3</formula>
    </cfRule>
    <cfRule type="cellIs" dxfId="3267" priority="85" operator="equal">
      <formula>2</formula>
    </cfRule>
  </conditionalFormatting>
  <conditionalFormatting sqref="I15:J15">
    <cfRule type="colorScale" priority="959">
      <colorScale>
        <cfvo type="num" val="1"/>
        <cfvo type="num" val="2"/>
        <cfvo type="num" val="3"/>
        <color rgb="FFF8696B"/>
        <color rgb="FFFFEB84"/>
        <color rgb="FF63BE7B"/>
      </colorScale>
    </cfRule>
  </conditionalFormatting>
  <conditionalFormatting sqref="I11:K11">
    <cfRule type="cellIs" dxfId="3266" priority="113" operator="equal">
      <formula>5</formula>
    </cfRule>
    <cfRule type="cellIs" dxfId="3265" priority="114" operator="equal">
      <formula>4</formula>
    </cfRule>
    <cfRule type="cellIs" dxfId="3264" priority="115" operator="equal">
      <formula>1</formula>
    </cfRule>
    <cfRule type="cellIs" dxfId="3263" priority="116" operator="equal">
      <formula>3</formula>
    </cfRule>
    <cfRule type="cellIs" dxfId="3262" priority="117" operator="equal">
      <formula>2</formula>
    </cfRule>
  </conditionalFormatting>
  <conditionalFormatting sqref="I13:K13">
    <cfRule type="colorScale" priority="628">
      <colorScale>
        <cfvo type="num" val="1"/>
        <cfvo type="num" val="2"/>
        <cfvo type="num" val="3"/>
        <color rgb="FFF8696B"/>
        <color rgb="FFFFEB84"/>
        <color rgb="FF63BE7B"/>
      </colorScale>
    </cfRule>
    <cfRule type="colorScale" priority="629">
      <colorScale>
        <cfvo type="num" val="1"/>
        <cfvo type="num" val="2"/>
        <cfvo type="num" val="3"/>
        <color rgb="FFF8696B"/>
        <color rgb="FFFFEB84"/>
        <color rgb="FF63BE7B"/>
      </colorScale>
    </cfRule>
    <cfRule type="colorScale" priority="631">
      <colorScale>
        <cfvo type="num" val="1"/>
        <cfvo type="num" val="2"/>
        <cfvo type="num" val="3"/>
        <color rgb="FFF8696B"/>
        <color rgb="FFFFEB84"/>
        <color rgb="FF63BE7B"/>
      </colorScale>
    </cfRule>
  </conditionalFormatting>
  <conditionalFormatting sqref="J5">
    <cfRule type="colorScale" priority="784">
      <colorScale>
        <cfvo type="num" val="1"/>
        <cfvo type="num" val="2"/>
        <cfvo type="num" val="3"/>
        <color rgb="FFF8696B"/>
        <color rgb="FFFFEB84"/>
        <color rgb="FF63BE7B"/>
      </colorScale>
    </cfRule>
    <cfRule type="colorScale" priority="785">
      <colorScale>
        <cfvo type="num" val="1"/>
        <cfvo type="num" val="2"/>
        <cfvo type="num" val="3"/>
        <color rgb="FFF8696B"/>
        <color rgb="FFFFEB84"/>
        <color rgb="FF63BE7B"/>
      </colorScale>
    </cfRule>
    <cfRule type="colorScale" priority="789">
      <colorScale>
        <cfvo type="num" val="1"/>
        <cfvo type="num" val="2"/>
        <cfvo type="num" val="3"/>
        <color rgb="FFF8696B"/>
        <color rgb="FFFFEB84"/>
        <color rgb="FF63BE7B"/>
      </colorScale>
    </cfRule>
    <cfRule type="colorScale" priority="790">
      <colorScale>
        <cfvo type="num" val="1"/>
        <cfvo type="num" val="2"/>
        <cfvo type="num" val="3"/>
        <color rgb="FFF8696B"/>
        <color rgb="FFFFEB84"/>
        <color rgb="FF63BE7B"/>
      </colorScale>
    </cfRule>
    <cfRule type="colorScale" priority="792">
      <colorScale>
        <cfvo type="num" val="1"/>
        <cfvo type="num" val="2"/>
        <cfvo type="num" val="3"/>
        <color rgb="FFF8696B"/>
        <color rgb="FFFFEB84"/>
        <color rgb="FF63BE7B"/>
      </colorScale>
    </cfRule>
    <cfRule type="colorScale" priority="796">
      <colorScale>
        <cfvo type="num" val="1"/>
        <cfvo type="num" val="2"/>
        <cfvo type="num" val="3"/>
        <color rgb="FFF8696B"/>
        <color rgb="FFFFEB84"/>
        <color rgb="FF63BE7B"/>
      </colorScale>
    </cfRule>
    <cfRule type="colorScale" priority="1274">
      <colorScale>
        <cfvo type="num" val="1"/>
        <cfvo type="num" val="2"/>
        <cfvo type="num" val="3"/>
        <color rgb="FFF8696B"/>
        <color rgb="FFFFEB84"/>
        <color rgb="FF63BE7B"/>
      </colorScale>
    </cfRule>
    <cfRule type="colorScale" priority="1408">
      <colorScale>
        <cfvo type="num" val="1"/>
        <cfvo type="num" val="2"/>
        <cfvo type="num" val="3"/>
        <color rgb="FFF8696B"/>
        <color rgb="FFFFEB84"/>
        <color rgb="FF63BE7B"/>
      </colorScale>
    </cfRule>
  </conditionalFormatting>
  <conditionalFormatting sqref="J7">
    <cfRule type="colorScale" priority="1200">
      <colorScale>
        <cfvo type="num" val="1"/>
        <cfvo type="num" val="2"/>
        <cfvo type="num" val="3"/>
        <color rgb="FFF8696B"/>
        <color rgb="FFFFEB84"/>
        <color rgb="FF63BE7B"/>
      </colorScale>
    </cfRule>
    <cfRule type="colorScale" priority="1201">
      <colorScale>
        <cfvo type="num" val="1"/>
        <cfvo type="num" val="2"/>
        <cfvo type="num" val="3"/>
        <color rgb="FFF8696B"/>
        <color rgb="FFFFEB84"/>
        <color rgb="FF63BE7B"/>
      </colorScale>
    </cfRule>
    <cfRule type="colorScale" priority="1203">
      <colorScale>
        <cfvo type="num" val="1"/>
        <cfvo type="num" val="2"/>
        <cfvo type="num" val="3"/>
        <color rgb="FFF8696B"/>
        <color rgb="FFFFEB84"/>
        <color rgb="FF63BE7B"/>
      </colorScale>
    </cfRule>
  </conditionalFormatting>
  <conditionalFormatting sqref="J9">
    <cfRule type="colorScale" priority="715">
      <colorScale>
        <cfvo type="min" val="0"/>
        <cfvo type="percentile" val="50"/>
        <cfvo type="max" val="0"/>
        <color rgb="FFF8696B"/>
        <color rgb="FFFFEB84"/>
        <color rgb="FF63BE7B"/>
      </colorScale>
    </cfRule>
    <cfRule type="colorScale" priority="716">
      <colorScale>
        <cfvo type="num" val="1"/>
        <cfvo type="num" val="2"/>
        <cfvo type="num" val="3"/>
        <color rgb="FFF8696B"/>
        <color rgb="FFFFEB84"/>
        <color rgb="FF63BE7B"/>
      </colorScale>
    </cfRule>
    <cfRule type="colorScale" priority="717">
      <colorScale>
        <cfvo type="num" val="1"/>
        <cfvo type="num" val="2"/>
        <cfvo type="num" val="3"/>
        <color rgb="FFF8696B"/>
        <color rgb="FFFFEB84"/>
        <color rgb="FF63BE7B"/>
      </colorScale>
    </cfRule>
    <cfRule type="colorScale" priority="718">
      <colorScale>
        <cfvo type="num" val="1"/>
        <cfvo type="num" val="2"/>
        <cfvo type="num" val="3"/>
        <color rgb="FFF8696B"/>
        <color rgb="FFFFEB84"/>
        <color rgb="FF63BE7B"/>
      </colorScale>
    </cfRule>
    <cfRule type="colorScale" priority="719">
      <colorScale>
        <cfvo type="num" val="1"/>
        <cfvo type="num" val="2"/>
        <cfvo type="num" val="3"/>
        <color rgb="FFF8696B"/>
        <color rgb="FFFFEB84"/>
        <color rgb="FF63BE7B"/>
      </colorScale>
    </cfRule>
    <cfRule type="colorScale" priority="720">
      <colorScale>
        <cfvo type="num" val="1"/>
        <cfvo type="num" val="2"/>
        <cfvo type="num" val="3"/>
        <color rgb="FFF8696B"/>
        <color rgb="FFFFEB84"/>
        <color rgb="FF63BE7B"/>
      </colorScale>
    </cfRule>
    <cfRule type="colorScale" priority="721">
      <colorScale>
        <cfvo type="num" val="1"/>
        <cfvo type="num" val="2"/>
        <cfvo type="num" val="3"/>
        <color rgb="FFF8696B"/>
        <color rgb="FFFFEB84"/>
        <color rgb="FF63BE7B"/>
      </colorScale>
    </cfRule>
  </conditionalFormatting>
  <conditionalFormatting sqref="J11">
    <cfRule type="colorScale" priority="703">
      <colorScale>
        <cfvo type="min" val="0"/>
        <cfvo type="percentile" val="50"/>
        <cfvo type="max" val="0"/>
        <color rgb="FFF8696B"/>
        <color rgb="FFFFEB84"/>
        <color rgb="FF63BE7B"/>
      </colorScale>
    </cfRule>
    <cfRule type="colorScale" priority="704">
      <colorScale>
        <cfvo type="num" val="1"/>
        <cfvo type="num" val="2"/>
        <cfvo type="num" val="3"/>
        <color rgb="FFF8696B"/>
        <color rgb="FFFFEB84"/>
        <color rgb="FF63BE7B"/>
      </colorScale>
    </cfRule>
    <cfRule type="colorScale" priority="705">
      <colorScale>
        <cfvo type="num" val="1"/>
        <cfvo type="num" val="2"/>
        <cfvo type="num" val="3"/>
        <color rgb="FFF8696B"/>
        <color rgb="FFFFEB84"/>
        <color rgb="FF63BE7B"/>
      </colorScale>
    </cfRule>
    <cfRule type="colorScale" priority="706">
      <colorScale>
        <cfvo type="num" val="1"/>
        <cfvo type="num" val="2"/>
        <cfvo type="num" val="3"/>
        <color rgb="FFF8696B"/>
        <color rgb="FFFFEB84"/>
        <color rgb="FF63BE7B"/>
      </colorScale>
    </cfRule>
    <cfRule type="colorScale" priority="707">
      <colorScale>
        <cfvo type="num" val="1"/>
        <cfvo type="num" val="2"/>
        <cfvo type="num" val="3"/>
        <color rgb="FFF8696B"/>
        <color rgb="FFFFEB84"/>
        <color rgb="FF63BE7B"/>
      </colorScale>
    </cfRule>
    <cfRule type="colorScale" priority="708">
      <colorScale>
        <cfvo type="num" val="1"/>
        <cfvo type="num" val="2"/>
        <cfvo type="num" val="3"/>
        <color rgb="FFF8696B"/>
        <color rgb="FFFFEB84"/>
        <color rgb="FF63BE7B"/>
      </colorScale>
    </cfRule>
    <cfRule type="colorScale" priority="709">
      <colorScale>
        <cfvo type="num" val="1"/>
        <cfvo type="num" val="2"/>
        <cfvo type="num" val="3"/>
        <color rgb="FFF8696B"/>
        <color rgb="FFFFEB84"/>
        <color rgb="FF63BE7B"/>
      </colorScale>
    </cfRule>
  </conditionalFormatting>
  <conditionalFormatting sqref="J15">
    <cfRule type="colorScale" priority="902">
      <colorScale>
        <cfvo type="num" val="1"/>
        <cfvo type="num" val="2"/>
        <cfvo type="num" val="3"/>
        <color rgb="FFF8696B"/>
        <color rgb="FFFFEB84"/>
        <color rgb="FF63BE7B"/>
      </colorScale>
    </cfRule>
    <cfRule type="colorScale" priority="903">
      <colorScale>
        <cfvo type="num" val="1"/>
        <cfvo type="num" val="2"/>
        <cfvo type="num" val="3"/>
        <color rgb="FFF8696B"/>
        <color rgb="FFFFEB84"/>
        <color rgb="FF63BE7B"/>
      </colorScale>
    </cfRule>
    <cfRule type="colorScale" priority="905">
      <colorScale>
        <cfvo type="num" val="1"/>
        <cfvo type="num" val="2"/>
        <cfvo type="num" val="3"/>
        <color rgb="FFF8696B"/>
        <color rgb="FFFFEB84"/>
        <color rgb="FF63BE7B"/>
      </colorScale>
    </cfRule>
  </conditionalFormatting>
  <conditionalFormatting sqref="J16 J14">
    <cfRule type="colorScale" priority="1012">
      <colorScale>
        <cfvo type="num" val="1"/>
        <cfvo type="num" val="2"/>
        <cfvo type="num" val="3"/>
        <color rgb="FFF8696B"/>
        <color rgb="FFFFEB84"/>
        <color rgb="FF63BE7B"/>
      </colorScale>
    </cfRule>
  </conditionalFormatting>
  <conditionalFormatting sqref="J13:K13">
    <cfRule type="colorScale" priority="625">
      <colorScale>
        <cfvo type="num" val="1"/>
        <cfvo type="num" val="2"/>
        <cfvo type="num" val="3"/>
        <color rgb="FFF8696B"/>
        <color rgb="FFFFEB84"/>
        <color rgb="FF63BE7B"/>
      </colorScale>
    </cfRule>
    <cfRule type="colorScale" priority="626">
      <colorScale>
        <cfvo type="num" val="1"/>
        <cfvo type="num" val="2"/>
        <cfvo type="num" val="3"/>
        <color rgb="FFF8696B"/>
        <color rgb="FFFFEB84"/>
        <color rgb="FF63BE7B"/>
      </colorScale>
    </cfRule>
  </conditionalFormatting>
  <conditionalFormatting sqref="K5">
    <cfRule type="colorScale" priority="1364">
      <colorScale>
        <cfvo type="num" val="1"/>
        <cfvo type="num" val="2"/>
        <cfvo type="num" val="3"/>
        <color rgb="FFF8696B"/>
        <color rgb="FFFFEB84"/>
        <color rgb="FF63BE7B"/>
      </colorScale>
    </cfRule>
  </conditionalFormatting>
  <conditionalFormatting sqref="K7">
    <cfRule type="colorScale" priority="1194">
      <colorScale>
        <cfvo type="num" val="1"/>
        <cfvo type="num" val="2"/>
        <cfvo type="num" val="3"/>
        <color rgb="FFF8696B"/>
        <color rgb="FFFFEB84"/>
        <color rgb="FF63BE7B"/>
      </colorScale>
    </cfRule>
    <cfRule type="colorScale" priority="1197">
      <colorScale>
        <cfvo type="num" val="1"/>
        <cfvo type="num" val="2"/>
        <cfvo type="num" val="3"/>
        <color rgb="FFF8696B"/>
        <color rgb="FFFFEB84"/>
        <color rgb="FF63BE7B"/>
      </colorScale>
    </cfRule>
  </conditionalFormatting>
  <conditionalFormatting sqref="K9">
    <cfRule type="colorScale" priority="1154">
      <colorScale>
        <cfvo type="num" val="1"/>
        <cfvo type="num" val="2"/>
        <cfvo type="num" val="3"/>
        <color rgb="FFF8696B"/>
        <color rgb="FFFFEB84"/>
        <color rgb="FF63BE7B"/>
      </colorScale>
    </cfRule>
    <cfRule type="colorScale" priority="1155">
      <colorScale>
        <cfvo type="num" val="1"/>
        <cfvo type="num" val="2"/>
        <cfvo type="num" val="3"/>
        <color rgb="FFF8696B"/>
        <color rgb="FFFFEB84"/>
        <color rgb="FF63BE7B"/>
      </colorScale>
    </cfRule>
    <cfRule type="colorScale" priority="1156">
      <colorScale>
        <cfvo type="num" val="1"/>
        <cfvo type="num" val="2"/>
        <cfvo type="num" val="3"/>
        <color rgb="FFF8696B"/>
        <color rgb="FFFFEB84"/>
        <color rgb="FF63BE7B"/>
      </colorScale>
    </cfRule>
    <cfRule type="colorScale" priority="1157">
      <colorScale>
        <cfvo type="num" val="1"/>
        <cfvo type="num" val="2"/>
        <cfvo type="num" val="3"/>
        <color rgb="FFF8696B"/>
        <color rgb="FFFFEB84"/>
        <color rgb="FF63BE7B"/>
      </colorScale>
    </cfRule>
    <cfRule type="colorScale" priority="1158">
      <colorScale>
        <cfvo type="num" val="1"/>
        <cfvo type="num" val="2"/>
        <cfvo type="num" val="3"/>
        <color rgb="FFF8696B"/>
        <color rgb="FFFFEB84"/>
        <color rgb="FF63BE7B"/>
      </colorScale>
    </cfRule>
  </conditionalFormatting>
  <conditionalFormatting sqref="K11">
    <cfRule type="colorScale" priority="655">
      <colorScale>
        <cfvo type="min" val="0"/>
        <cfvo type="percentile" val="50"/>
        <cfvo type="max" val="0"/>
        <color rgb="FFF8696B"/>
        <color rgb="FFFFEB84"/>
        <color rgb="FF63BE7B"/>
      </colorScale>
    </cfRule>
    <cfRule type="colorScale" priority="656">
      <colorScale>
        <cfvo type="num" val="1"/>
        <cfvo type="num" val="2"/>
        <cfvo type="num" val="3"/>
        <color rgb="FFF8696B"/>
        <color rgb="FFFFEB84"/>
        <color rgb="FF63BE7B"/>
      </colorScale>
    </cfRule>
    <cfRule type="colorScale" priority="657">
      <colorScale>
        <cfvo type="num" val="1"/>
        <cfvo type="num" val="2"/>
        <cfvo type="num" val="3"/>
        <color rgb="FFF8696B"/>
        <color rgb="FFFFEB84"/>
        <color rgb="FF63BE7B"/>
      </colorScale>
    </cfRule>
    <cfRule type="colorScale" priority="658">
      <colorScale>
        <cfvo type="num" val="1"/>
        <cfvo type="num" val="2"/>
        <cfvo type="num" val="3"/>
        <color rgb="FFF8696B"/>
        <color rgb="FFFFEB84"/>
        <color rgb="FF63BE7B"/>
      </colorScale>
    </cfRule>
    <cfRule type="colorScale" priority="659">
      <colorScale>
        <cfvo type="num" val="1"/>
        <cfvo type="num" val="2"/>
        <cfvo type="num" val="3"/>
        <color rgb="FFF8696B"/>
        <color rgb="FFFFEB84"/>
        <color rgb="FF63BE7B"/>
      </colorScale>
    </cfRule>
    <cfRule type="colorScale" priority="660">
      <colorScale>
        <cfvo type="num" val="1"/>
        <cfvo type="num" val="2"/>
        <cfvo type="num" val="3"/>
        <color rgb="FFF8696B"/>
        <color rgb="FFFFEB84"/>
        <color rgb="FF63BE7B"/>
      </colorScale>
    </cfRule>
    <cfRule type="colorScale" priority="661">
      <colorScale>
        <cfvo type="num" val="1"/>
        <cfvo type="num" val="2"/>
        <cfvo type="num" val="3"/>
        <color rgb="FFF8696B"/>
        <color rgb="FFFFEB84"/>
        <color rgb="FF63BE7B"/>
      </colorScale>
    </cfRule>
  </conditionalFormatting>
  <conditionalFormatting sqref="K15">
    <cfRule type="cellIs" dxfId="3261" priority="686" operator="equal">
      <formula>5</formula>
    </cfRule>
    <cfRule type="cellIs" dxfId="3260" priority="687" operator="equal">
      <formula>4</formula>
    </cfRule>
    <cfRule type="cellIs" dxfId="3259" priority="688" operator="equal">
      <formula>1</formula>
    </cfRule>
    <cfRule type="cellIs" dxfId="3258" priority="689" operator="equal">
      <formula>3</formula>
    </cfRule>
    <cfRule type="cellIs" dxfId="3257" priority="690" operator="equal">
      <formula>2</formula>
    </cfRule>
    <cfRule type="colorScale" priority="691">
      <colorScale>
        <cfvo type="min" val="0"/>
        <cfvo type="percentile" val="50"/>
        <cfvo type="max" val="0"/>
        <color rgb="FFF8696B"/>
        <color rgb="FFFFEB84"/>
        <color rgb="FF63BE7B"/>
      </colorScale>
    </cfRule>
    <cfRule type="colorScale" priority="692">
      <colorScale>
        <cfvo type="num" val="1"/>
        <cfvo type="num" val="2"/>
        <cfvo type="num" val="3"/>
        <color rgb="FFF8696B"/>
        <color rgb="FFFFEB84"/>
        <color rgb="FF63BE7B"/>
      </colorScale>
    </cfRule>
    <cfRule type="colorScale" priority="693">
      <colorScale>
        <cfvo type="num" val="1"/>
        <cfvo type="num" val="2"/>
        <cfvo type="num" val="3"/>
        <color rgb="FFF8696B"/>
        <color rgb="FFFFEB84"/>
        <color rgb="FF63BE7B"/>
      </colorScale>
    </cfRule>
    <cfRule type="colorScale" priority="694">
      <colorScale>
        <cfvo type="num" val="1"/>
        <cfvo type="num" val="2"/>
        <cfvo type="num" val="3"/>
        <color rgb="FFF8696B"/>
        <color rgb="FFFFEB84"/>
        <color rgb="FF63BE7B"/>
      </colorScale>
    </cfRule>
    <cfRule type="colorScale" priority="695">
      <colorScale>
        <cfvo type="num" val="1"/>
        <cfvo type="num" val="2"/>
        <cfvo type="num" val="3"/>
        <color rgb="FFF8696B"/>
        <color rgb="FFFFEB84"/>
        <color rgb="FF63BE7B"/>
      </colorScale>
    </cfRule>
    <cfRule type="colorScale" priority="696">
      <colorScale>
        <cfvo type="num" val="1"/>
        <cfvo type="num" val="2"/>
        <cfvo type="num" val="3"/>
        <color rgb="FFF8696B"/>
        <color rgb="FFFFEB84"/>
        <color rgb="FF63BE7B"/>
      </colorScale>
    </cfRule>
    <cfRule type="colorScale" priority="697">
      <colorScale>
        <cfvo type="num" val="1"/>
        <cfvo type="num" val="2"/>
        <cfvo type="num" val="3"/>
        <color rgb="FFF8696B"/>
        <color rgb="FFFFEB84"/>
        <color rgb="FF63BE7B"/>
      </colorScale>
    </cfRule>
  </conditionalFormatting>
  <conditionalFormatting sqref="K5:O5">
    <cfRule type="colorScale" priority="863">
      <colorScale>
        <cfvo type="num" val="1"/>
        <cfvo type="num" val="2"/>
        <cfvo type="num" val="3"/>
        <color rgb="FFF8696B"/>
        <color rgb="FFFFEB84"/>
        <color rgb="FF63BE7B"/>
      </colorScale>
    </cfRule>
  </conditionalFormatting>
  <conditionalFormatting sqref="K8:AA8 AC8:AF8 L16:M16 O16:AF16 N15">
    <cfRule type="colorScale" priority="1422">
      <colorScale>
        <cfvo type="num" val="1"/>
        <cfvo type="num" val="2"/>
        <cfvo type="num" val="3"/>
        <color rgb="FFF8696B"/>
        <color rgb="FFFFEB84"/>
        <color rgb="FF63BE7B"/>
      </colorScale>
    </cfRule>
  </conditionalFormatting>
  <conditionalFormatting sqref="L5">
    <cfRule type="colorScale" priority="864">
      <colorScale>
        <cfvo type="num" val="1"/>
        <cfvo type="num" val="2"/>
        <cfvo type="num" val="3"/>
        <color rgb="FFF8696B"/>
        <color rgb="FFFFEB84"/>
        <color rgb="FF63BE7B"/>
      </colorScale>
    </cfRule>
    <cfRule type="colorScale" priority="1248">
      <colorScale>
        <cfvo type="num" val="1"/>
        <cfvo type="num" val="2"/>
        <cfvo type="num" val="3"/>
        <color rgb="FFF8696B"/>
        <color rgb="FFFFEB84"/>
        <color rgb="FF63BE7B"/>
      </colorScale>
    </cfRule>
    <cfRule type="colorScale" priority="1345">
      <colorScale>
        <cfvo type="num" val="1"/>
        <cfvo type="num" val="2"/>
        <cfvo type="num" val="3"/>
        <color rgb="FFF8696B"/>
        <color rgb="FFFFEB84"/>
        <color rgb="FF63BE7B"/>
      </colorScale>
    </cfRule>
    <cfRule type="colorScale" priority="1365">
      <colorScale>
        <cfvo type="num" val="1"/>
        <cfvo type="num" val="2"/>
        <cfvo type="num" val="3"/>
        <color rgb="FFF8696B"/>
        <color rgb="FFFFEB84"/>
        <color rgb="FF63BE7B"/>
      </colorScale>
    </cfRule>
    <cfRule type="colorScale" priority="1387">
      <colorScale>
        <cfvo type="num" val="1"/>
        <cfvo type="num" val="2"/>
        <cfvo type="num" val="3"/>
        <color rgb="FFF8696B"/>
        <color rgb="FFFFEB84"/>
        <color rgb="FF63BE7B"/>
      </colorScale>
    </cfRule>
  </conditionalFormatting>
  <conditionalFormatting sqref="L7">
    <cfRule type="colorScale" priority="1195">
      <colorScale>
        <cfvo type="num" val="1"/>
        <cfvo type="num" val="2"/>
        <cfvo type="num" val="3"/>
        <color rgb="FFF8696B"/>
        <color rgb="FFFFEB84"/>
        <color rgb="FF63BE7B"/>
      </colorScale>
    </cfRule>
    <cfRule type="colorScale" priority="1196">
      <colorScale>
        <cfvo type="num" val="1"/>
        <cfvo type="num" val="2"/>
        <cfvo type="num" val="3"/>
        <color rgb="FFF8696B"/>
        <color rgb="FFFFEB84"/>
        <color rgb="FF63BE7B"/>
      </colorScale>
    </cfRule>
    <cfRule type="colorScale" priority="1198">
      <colorScale>
        <cfvo type="num" val="1"/>
        <cfvo type="num" val="2"/>
        <cfvo type="num" val="3"/>
        <color rgb="FFF8696B"/>
        <color rgb="FFFFEB84"/>
        <color rgb="FF63BE7B"/>
      </colorScale>
    </cfRule>
  </conditionalFormatting>
  <conditionalFormatting sqref="L9 H9">
    <cfRule type="colorScale" priority="1163">
      <colorScale>
        <cfvo type="num" val="1"/>
        <cfvo type="num" val="2"/>
        <cfvo type="num" val="3"/>
        <color rgb="FFF8696B"/>
        <color rgb="FFFFEB84"/>
        <color rgb="FF63BE7B"/>
      </colorScale>
    </cfRule>
  </conditionalFormatting>
  <conditionalFormatting sqref="L9">
    <cfRule type="colorScale" priority="1161">
      <colorScale>
        <cfvo type="num" val="1"/>
        <cfvo type="num" val="2"/>
        <cfvo type="num" val="3"/>
        <color rgb="FFF8696B"/>
        <color rgb="FFFFEB84"/>
        <color rgb="FF63BE7B"/>
      </colorScale>
    </cfRule>
  </conditionalFormatting>
  <conditionalFormatting sqref="L11">
    <cfRule type="colorScale" priority="1095">
      <colorScale>
        <cfvo type="num" val="1"/>
        <cfvo type="num" val="2"/>
        <cfvo type="num" val="3"/>
        <color rgb="FFF8696B"/>
        <color rgb="FFFFEB84"/>
        <color rgb="FF63BE7B"/>
      </colorScale>
    </cfRule>
    <cfRule type="colorScale" priority="1096">
      <colorScale>
        <cfvo type="num" val="1"/>
        <cfvo type="num" val="2"/>
        <cfvo type="num" val="3"/>
        <color rgb="FFF8696B"/>
        <color rgb="FFFFEB84"/>
        <color rgb="FF63BE7B"/>
      </colorScale>
    </cfRule>
  </conditionalFormatting>
  <conditionalFormatting sqref="L13">
    <cfRule type="colorScale" priority="1033">
      <colorScale>
        <cfvo type="num" val="1"/>
        <cfvo type="num" val="2"/>
        <cfvo type="num" val="3"/>
        <color rgb="FFF8696B"/>
        <color rgb="FFFFEB84"/>
        <color rgb="FF63BE7B"/>
      </colorScale>
    </cfRule>
    <cfRule type="colorScale" priority="1034">
      <colorScale>
        <cfvo type="num" val="1"/>
        <cfvo type="num" val="2"/>
        <cfvo type="num" val="3"/>
        <color rgb="FFF8696B"/>
        <color rgb="FFFFEB84"/>
        <color rgb="FF63BE7B"/>
      </colorScale>
    </cfRule>
    <cfRule type="colorScale" priority="1035">
      <colorScale>
        <cfvo type="num" val="1"/>
        <cfvo type="num" val="2"/>
        <cfvo type="num" val="3"/>
        <color rgb="FFF8696B"/>
        <color rgb="FFFFEB84"/>
        <color rgb="FF63BE7B"/>
      </colorScale>
    </cfRule>
  </conditionalFormatting>
  <conditionalFormatting sqref="L15 E15 N15:S15 G15:J15 V15:X15 AC15 AE15:AF15">
    <cfRule type="colorScale" priority="929">
      <colorScale>
        <cfvo type="num" val="1"/>
        <cfvo type="num" val="2"/>
        <cfvo type="num" val="3"/>
        <color rgb="FFF8696B"/>
        <color rgb="FFFFEB84"/>
        <color rgb="FF63BE7B"/>
      </colorScale>
    </cfRule>
  </conditionalFormatting>
  <conditionalFormatting sqref="L15">
    <cfRule type="colorScale" priority="898">
      <colorScale>
        <cfvo type="num" val="1"/>
        <cfvo type="num" val="2"/>
        <cfvo type="num" val="3"/>
        <color rgb="FFF8696B"/>
        <color rgb="FFFFEB84"/>
        <color rgb="FF63BE7B"/>
      </colorScale>
    </cfRule>
    <cfRule type="colorScale" priority="899">
      <colorScale>
        <cfvo type="num" val="1"/>
        <cfvo type="num" val="2"/>
        <cfvo type="num" val="3"/>
        <color rgb="FFF8696B"/>
        <color rgb="FFFFEB84"/>
        <color rgb="FF63BE7B"/>
      </colorScale>
    </cfRule>
    <cfRule type="colorScale" priority="900">
      <colorScale>
        <cfvo type="num" val="1"/>
        <cfvo type="num" val="2"/>
        <cfvo type="num" val="3"/>
        <color rgb="FFF8696B"/>
        <color rgb="FFFFEB84"/>
        <color rgb="FF63BE7B"/>
      </colorScale>
    </cfRule>
  </conditionalFormatting>
  <conditionalFormatting sqref="L26">
    <cfRule type="colorScale" priority="3928">
      <colorScale>
        <cfvo type="num" val="1"/>
        <cfvo type="num" val="2"/>
        <cfvo type="num" val="3"/>
        <color rgb="FFF8696B"/>
        <color rgb="FFFFEB84"/>
        <color rgb="FF63BE7B"/>
      </colorScale>
    </cfRule>
  </conditionalFormatting>
  <conditionalFormatting sqref="M5">
    <cfRule type="colorScale" priority="534">
      <colorScale>
        <cfvo type="num" val="1"/>
        <cfvo type="num" val="2"/>
        <cfvo type="num" val="3"/>
        <color rgb="FFF8696B"/>
        <color rgb="FFFFEB84"/>
        <color rgb="FF63BE7B"/>
      </colorScale>
    </cfRule>
    <cfRule type="colorScale" priority="535">
      <colorScale>
        <cfvo type="num" val="1"/>
        <cfvo type="num" val="2"/>
        <cfvo type="num" val="3"/>
        <color rgb="FFF8696B"/>
        <color rgb="FFFFEB84"/>
        <color rgb="FF63BE7B"/>
      </colorScale>
    </cfRule>
    <cfRule type="colorScale" priority="536">
      <colorScale>
        <cfvo type="num" val="1"/>
        <cfvo type="num" val="2"/>
        <cfvo type="num" val="3"/>
        <color rgb="FFF8696B"/>
        <color rgb="FFFFEB84"/>
        <color rgb="FF63BE7B"/>
      </colorScale>
    </cfRule>
    <cfRule type="colorScale" priority="537">
      <colorScale>
        <cfvo type="num" val="1"/>
        <cfvo type="num" val="2"/>
        <cfvo type="num" val="3"/>
        <color rgb="FFF8696B"/>
        <color rgb="FFFFEB84"/>
        <color rgb="FF63BE7B"/>
      </colorScale>
    </cfRule>
    <cfRule type="colorScale" priority="538">
      <colorScale>
        <cfvo type="num" val="1"/>
        <cfvo type="num" val="2"/>
        <cfvo type="num" val="3"/>
        <color rgb="FFF8696B"/>
        <color rgb="FFFFEB84"/>
        <color rgb="FF63BE7B"/>
      </colorScale>
    </cfRule>
    <cfRule type="colorScale" priority="539">
      <colorScale>
        <cfvo type="num" val="1"/>
        <cfvo type="num" val="2"/>
        <cfvo type="num" val="3"/>
        <color rgb="FFF8696B"/>
        <color rgb="FFFFEB84"/>
        <color rgb="FF63BE7B"/>
      </colorScale>
    </cfRule>
    <cfRule type="colorScale" priority="540">
      <colorScale>
        <cfvo type="num" val="1"/>
        <cfvo type="num" val="2"/>
        <cfvo type="num" val="3"/>
        <color rgb="FFF8696B"/>
        <color rgb="FFFFEB84"/>
        <color rgb="FF63BE7B"/>
      </colorScale>
    </cfRule>
    <cfRule type="colorScale" priority="541">
      <colorScale>
        <cfvo type="num" val="1"/>
        <cfvo type="num" val="2"/>
        <cfvo type="num" val="3"/>
        <color rgb="FFF8696B"/>
        <color rgb="FFFFEB84"/>
        <color rgb="FF63BE7B"/>
      </colorScale>
    </cfRule>
    <cfRule type="colorScale" priority="542">
      <colorScale>
        <cfvo type="num" val="1"/>
        <cfvo type="num" val="2"/>
        <cfvo type="num" val="3"/>
        <color rgb="FFF8696B"/>
        <color rgb="FFFFEB84"/>
        <color rgb="FF63BE7B"/>
      </colorScale>
    </cfRule>
    <cfRule type="colorScale" priority="543">
      <colorScale>
        <cfvo type="num" val="1"/>
        <cfvo type="num" val="2"/>
        <cfvo type="num" val="3"/>
        <color rgb="FFF8696B"/>
        <color rgb="FFFFEB84"/>
        <color rgb="FF63BE7B"/>
      </colorScale>
    </cfRule>
    <cfRule type="colorScale" priority="544">
      <colorScale>
        <cfvo type="num" val="1"/>
        <cfvo type="num" val="2"/>
        <cfvo type="num" val="3"/>
        <color rgb="FFF8696B"/>
        <color rgb="FFFFEB84"/>
        <color rgb="FF63BE7B"/>
      </colorScale>
    </cfRule>
    <cfRule type="colorScale" priority="545">
      <colorScale>
        <cfvo type="num" val="1"/>
        <cfvo type="num" val="2"/>
        <cfvo type="num" val="3"/>
        <color rgb="FFF8696B"/>
        <color rgb="FFFFEB84"/>
        <color rgb="FF63BE7B"/>
      </colorScale>
    </cfRule>
    <cfRule type="colorScale" priority="546">
      <colorScale>
        <cfvo type="num" val="1"/>
        <cfvo type="num" val="2"/>
        <cfvo type="num" val="3"/>
        <color rgb="FFF8696B"/>
        <color rgb="FFFFEB84"/>
        <color rgb="FF63BE7B"/>
      </colorScale>
    </cfRule>
    <cfRule type="colorScale" priority="547">
      <colorScale>
        <cfvo type="num" val="1"/>
        <cfvo type="num" val="2"/>
        <cfvo type="num" val="3"/>
        <color rgb="FFF8696B"/>
        <color rgb="FFFFEB84"/>
        <color rgb="FF63BE7B"/>
      </colorScale>
    </cfRule>
    <cfRule type="colorScale" priority="548">
      <colorScale>
        <cfvo type="num" val="1"/>
        <cfvo type="num" val="2"/>
        <cfvo type="num" val="3"/>
        <color rgb="FFF8696B"/>
        <color rgb="FFFFEB84"/>
        <color rgb="FF63BE7B"/>
      </colorScale>
    </cfRule>
    <cfRule type="colorScale" priority="549">
      <colorScale>
        <cfvo type="num" val="1"/>
        <cfvo type="num" val="2"/>
        <cfvo type="num" val="3"/>
        <color rgb="FFF8696B"/>
        <color rgb="FFFFEB84"/>
        <color rgb="FF63BE7B"/>
      </colorScale>
    </cfRule>
    <cfRule type="colorScale" priority="550">
      <colorScale>
        <cfvo type="num" val="1"/>
        <cfvo type="num" val="2"/>
        <cfvo type="num" val="3"/>
        <color rgb="FFF8696B"/>
        <color rgb="FFFFEB84"/>
        <color rgb="FF63BE7B"/>
      </colorScale>
    </cfRule>
    <cfRule type="colorScale" priority="551">
      <colorScale>
        <cfvo type="num" val="1"/>
        <cfvo type="num" val="2"/>
        <cfvo type="num" val="3"/>
        <color rgb="FFF8696B"/>
        <color rgb="FFFFEB84"/>
        <color rgb="FF63BE7B"/>
      </colorScale>
    </cfRule>
    <cfRule type="colorScale" priority="552">
      <colorScale>
        <cfvo type="num" val="1"/>
        <cfvo type="num" val="2"/>
        <cfvo type="num" val="3"/>
        <color rgb="FFF8696B"/>
        <color rgb="FFFFEB84"/>
        <color rgb="FF63BE7B"/>
      </colorScale>
    </cfRule>
    <cfRule type="colorScale" priority="553">
      <colorScale>
        <cfvo type="num" val="1"/>
        <cfvo type="num" val="2"/>
        <cfvo type="num" val="3"/>
        <color rgb="FFF8696B"/>
        <color rgb="FFFFEB84"/>
        <color rgb="FF63BE7B"/>
      </colorScale>
    </cfRule>
    <cfRule type="colorScale" priority="554">
      <colorScale>
        <cfvo type="num" val="1"/>
        <cfvo type="num" val="2"/>
        <cfvo type="num" val="3"/>
        <color rgb="FFF8696B"/>
        <color rgb="FFFFEB84"/>
        <color rgb="FF63BE7B"/>
      </colorScale>
    </cfRule>
    <cfRule type="colorScale" priority="555">
      <colorScale>
        <cfvo type="num" val="1"/>
        <cfvo type="num" val="2"/>
        <cfvo type="num" val="3"/>
        <color rgb="FFF8696B"/>
        <color rgb="FFFFEB84"/>
        <color rgb="FF63BE7B"/>
      </colorScale>
    </cfRule>
    <cfRule type="colorScale" priority="556">
      <colorScale>
        <cfvo type="num" val="1"/>
        <cfvo type="num" val="2"/>
        <cfvo type="num" val="3"/>
        <color rgb="FFF8696B"/>
        <color rgb="FFFFEB84"/>
        <color rgb="FF63BE7B"/>
      </colorScale>
    </cfRule>
    <cfRule type="colorScale" priority="557">
      <colorScale>
        <cfvo type="num" val="1"/>
        <cfvo type="num" val="2"/>
        <cfvo type="num" val="3"/>
        <color rgb="FFF8696B"/>
        <color rgb="FFFFEB84"/>
        <color rgb="FF63BE7B"/>
      </colorScale>
    </cfRule>
    <cfRule type="colorScale" priority="558">
      <colorScale>
        <cfvo type="num" val="1"/>
        <cfvo type="num" val="2"/>
        <cfvo type="num" val="3"/>
        <color rgb="FFF8696B"/>
        <color rgb="FFFFEB84"/>
        <color rgb="FF63BE7B"/>
      </colorScale>
    </cfRule>
    <cfRule type="colorScale" priority="559">
      <colorScale>
        <cfvo type="num" val="1"/>
        <cfvo type="num" val="2"/>
        <cfvo type="num" val="3"/>
        <color rgb="FFF8696B"/>
        <color rgb="FFFFEB84"/>
        <color rgb="FF63BE7B"/>
      </colorScale>
    </cfRule>
    <cfRule type="colorScale" priority="560">
      <colorScale>
        <cfvo type="num" val="1"/>
        <cfvo type="num" val="2"/>
        <cfvo type="num" val="3"/>
        <color rgb="FFF8696B"/>
        <color rgb="FFFFEB84"/>
        <color rgb="FF63BE7B"/>
      </colorScale>
    </cfRule>
    <cfRule type="colorScale" priority="561">
      <colorScale>
        <cfvo type="num" val="1"/>
        <cfvo type="num" val="2"/>
        <cfvo type="num" val="3"/>
        <color rgb="FFF8696B"/>
        <color rgb="FFFFEB84"/>
        <color rgb="FF63BE7B"/>
      </colorScale>
    </cfRule>
    <cfRule type="colorScale" priority="562">
      <colorScale>
        <cfvo type="num" val="1"/>
        <cfvo type="num" val="2"/>
        <cfvo type="num" val="3"/>
        <color rgb="FFF8696B"/>
        <color rgb="FFFFEB84"/>
        <color rgb="FF63BE7B"/>
      </colorScale>
    </cfRule>
    <cfRule type="colorScale" priority="563">
      <colorScale>
        <cfvo type="num" val="1"/>
        <cfvo type="num" val="2"/>
        <cfvo type="num" val="3"/>
        <color rgb="FFF8696B"/>
        <color rgb="FFFFEB84"/>
        <color rgb="FF63BE7B"/>
      </colorScale>
    </cfRule>
    <cfRule type="colorScale" priority="564">
      <colorScale>
        <cfvo type="num" val="1"/>
        <cfvo type="num" val="2"/>
        <cfvo type="num" val="3"/>
        <color rgb="FFF8696B"/>
        <color rgb="FFFFEB84"/>
        <color rgb="FF63BE7B"/>
      </colorScale>
    </cfRule>
    <cfRule type="colorScale" priority="1249">
      <colorScale>
        <cfvo type="num" val="1"/>
        <cfvo type="num" val="2"/>
        <cfvo type="num" val="3"/>
        <color rgb="FFF8696B"/>
        <color rgb="FFFFEB84"/>
        <color rgb="FF63BE7B"/>
      </colorScale>
    </cfRule>
    <cfRule type="colorScale" priority="1342">
      <colorScale>
        <cfvo type="num" val="1"/>
        <cfvo type="num" val="2"/>
        <cfvo type="num" val="3"/>
        <color rgb="FFF8696B"/>
        <color rgb="FFFFEB84"/>
        <color rgb="FF63BE7B"/>
      </colorScale>
    </cfRule>
    <cfRule type="colorScale" priority="1344">
      <colorScale>
        <cfvo type="num" val="1"/>
        <cfvo type="num" val="2"/>
        <cfvo type="num" val="3"/>
        <color rgb="FFF8696B"/>
        <color rgb="FFFFEB84"/>
        <color rgb="FF63BE7B"/>
      </colorScale>
    </cfRule>
    <cfRule type="colorScale" priority="1346">
      <colorScale>
        <cfvo type="num" val="1"/>
        <cfvo type="num" val="2"/>
        <cfvo type="num" val="3"/>
        <color rgb="FFF8696B"/>
        <color rgb="FFFFEB84"/>
        <color rgb="FF63BE7B"/>
      </colorScale>
    </cfRule>
    <cfRule type="colorScale" priority="1375">
      <colorScale>
        <cfvo type="num" val="1"/>
        <cfvo type="num" val="2"/>
        <cfvo type="num" val="3"/>
        <color rgb="FFF8696B"/>
        <color rgb="FFFFEB84"/>
        <color rgb="FF63BE7B"/>
      </colorScale>
    </cfRule>
  </conditionalFormatting>
  <conditionalFormatting sqref="M7">
    <cfRule type="colorScale" priority="667">
      <colorScale>
        <cfvo type="min" val="0"/>
        <cfvo type="percentile" val="50"/>
        <cfvo type="max" val="0"/>
        <color rgb="FFF8696B"/>
        <color rgb="FFFFEB84"/>
        <color rgb="FF63BE7B"/>
      </colorScale>
    </cfRule>
    <cfRule type="colorScale" priority="668">
      <colorScale>
        <cfvo type="num" val="1"/>
        <cfvo type="num" val="2"/>
        <cfvo type="num" val="3"/>
        <color rgb="FFF8696B"/>
        <color rgb="FFFFEB84"/>
        <color rgb="FF63BE7B"/>
      </colorScale>
    </cfRule>
    <cfRule type="colorScale" priority="669">
      <colorScale>
        <cfvo type="num" val="1"/>
        <cfvo type="num" val="2"/>
        <cfvo type="num" val="3"/>
        <color rgb="FFF8696B"/>
        <color rgb="FFFFEB84"/>
        <color rgb="FF63BE7B"/>
      </colorScale>
    </cfRule>
    <cfRule type="colorScale" priority="670">
      <colorScale>
        <cfvo type="num" val="1"/>
        <cfvo type="num" val="2"/>
        <cfvo type="num" val="3"/>
        <color rgb="FFF8696B"/>
        <color rgb="FFFFEB84"/>
        <color rgb="FF63BE7B"/>
      </colorScale>
    </cfRule>
    <cfRule type="colorScale" priority="671">
      <colorScale>
        <cfvo type="num" val="1"/>
        <cfvo type="num" val="2"/>
        <cfvo type="num" val="3"/>
        <color rgb="FFF8696B"/>
        <color rgb="FFFFEB84"/>
        <color rgb="FF63BE7B"/>
      </colorScale>
    </cfRule>
    <cfRule type="colorScale" priority="672">
      <colorScale>
        <cfvo type="num" val="1"/>
        <cfvo type="num" val="2"/>
        <cfvo type="num" val="3"/>
        <color rgb="FFF8696B"/>
        <color rgb="FFFFEB84"/>
        <color rgb="FF63BE7B"/>
      </colorScale>
    </cfRule>
    <cfRule type="colorScale" priority="673">
      <colorScale>
        <cfvo type="num" val="1"/>
        <cfvo type="num" val="2"/>
        <cfvo type="num" val="3"/>
        <color rgb="FFF8696B"/>
        <color rgb="FFFFEB84"/>
        <color rgb="FF63BE7B"/>
      </colorScale>
    </cfRule>
  </conditionalFormatting>
  <conditionalFormatting sqref="M9">
    <cfRule type="colorScale" priority="178">
      <colorScale>
        <cfvo type="min" val="0"/>
        <cfvo type="percentile" val="50"/>
        <cfvo type="max" val="0"/>
        <color rgb="FFF8696B"/>
        <color rgb="FFFFEB84"/>
        <color rgb="FF63BE7B"/>
      </colorScale>
    </cfRule>
    <cfRule type="colorScale" priority="179">
      <colorScale>
        <cfvo type="num" val="1"/>
        <cfvo type="num" val="2"/>
        <cfvo type="num" val="3"/>
        <color rgb="FFF8696B"/>
        <color rgb="FFFFEB84"/>
        <color rgb="FF63BE7B"/>
      </colorScale>
    </cfRule>
    <cfRule type="colorScale" priority="180">
      <colorScale>
        <cfvo type="num" val="1"/>
        <cfvo type="num" val="2"/>
        <cfvo type="num" val="3"/>
        <color rgb="FFF8696B"/>
        <color rgb="FFFFEB84"/>
        <color rgb="FF63BE7B"/>
      </colorScale>
    </cfRule>
  </conditionalFormatting>
  <conditionalFormatting sqref="M11">
    <cfRule type="colorScale" priority="1083">
      <colorScale>
        <cfvo type="num" val="1"/>
        <cfvo type="num" val="2"/>
        <cfvo type="num" val="3"/>
        <color rgb="FFF8696B"/>
        <color rgb="FFFFEB84"/>
        <color rgb="FF63BE7B"/>
      </colorScale>
    </cfRule>
    <cfRule type="colorScale" priority="1084">
      <colorScale>
        <cfvo type="num" val="1"/>
        <cfvo type="num" val="2"/>
        <cfvo type="num" val="3"/>
        <color rgb="FFF8696B"/>
        <color rgb="FFFFEB84"/>
        <color rgb="FF63BE7B"/>
      </colorScale>
    </cfRule>
    <cfRule type="colorScale" priority="1085">
      <colorScale>
        <cfvo type="num" val="1"/>
        <cfvo type="num" val="2"/>
        <cfvo type="num" val="3"/>
        <color rgb="FFF8696B"/>
        <color rgb="FFFFEB84"/>
        <color rgb="FF63BE7B"/>
      </colorScale>
    </cfRule>
    <cfRule type="colorScale" priority="1086">
      <colorScale>
        <cfvo type="num" val="1"/>
        <cfvo type="num" val="2"/>
        <cfvo type="num" val="3"/>
        <color rgb="FFF8696B"/>
        <color rgb="FFFFEB84"/>
        <color rgb="FF63BE7B"/>
      </colorScale>
    </cfRule>
    <cfRule type="colorScale" priority="1087">
      <colorScale>
        <cfvo type="num" val="1"/>
        <cfvo type="num" val="2"/>
        <cfvo type="num" val="3"/>
        <color rgb="FFF8696B"/>
        <color rgb="FFFFEB84"/>
        <color rgb="FF63BE7B"/>
      </colorScale>
    </cfRule>
    <cfRule type="colorScale" priority="1088">
      <colorScale>
        <cfvo type="num" val="1"/>
        <cfvo type="num" val="2"/>
        <cfvo type="num" val="3"/>
        <color rgb="FFF8696B"/>
        <color rgb="FFFFEB84"/>
        <color rgb="FF63BE7B"/>
      </colorScale>
    </cfRule>
    <cfRule type="colorScale" priority="1089">
      <colorScale>
        <cfvo type="num" val="1"/>
        <cfvo type="num" val="2"/>
        <cfvo type="num" val="3"/>
        <color rgb="FFF8696B"/>
        <color rgb="FFFFEB84"/>
        <color rgb="FF63BE7B"/>
      </colorScale>
    </cfRule>
    <cfRule type="colorScale" priority="1090">
      <colorScale>
        <cfvo type="num" val="1"/>
        <cfvo type="num" val="2"/>
        <cfvo type="num" val="3"/>
        <color rgb="FFF8696B"/>
        <color rgb="FFFFEB84"/>
        <color rgb="FF63BE7B"/>
      </colorScale>
    </cfRule>
    <cfRule type="colorScale" priority="1091">
      <colorScale>
        <cfvo type="num" val="1"/>
        <cfvo type="num" val="2"/>
        <cfvo type="num" val="3"/>
        <color rgb="FFF8696B"/>
        <color rgb="FFFFEB84"/>
        <color rgb="FF63BE7B"/>
      </colorScale>
    </cfRule>
    <cfRule type="colorScale" priority="1092">
      <colorScale>
        <cfvo type="num" val="1"/>
        <cfvo type="num" val="2"/>
        <cfvo type="num" val="3"/>
        <color rgb="FFF8696B"/>
        <color rgb="FFFFEB84"/>
        <color rgb="FF63BE7B"/>
      </colorScale>
    </cfRule>
    <cfRule type="colorScale" priority="1093">
      <colorScale>
        <cfvo type="num" val="1"/>
        <cfvo type="num" val="2"/>
        <cfvo type="num" val="3"/>
        <color rgb="FFF8696B"/>
        <color rgb="FFFFEB84"/>
        <color rgb="FF63BE7B"/>
      </colorScale>
    </cfRule>
    <cfRule type="colorScale" priority="1094">
      <colorScale>
        <cfvo type="num" val="1"/>
        <cfvo type="num" val="2"/>
        <cfvo type="num" val="3"/>
        <color rgb="FFF8696B"/>
        <color rgb="FFFFEB84"/>
        <color rgb="FF63BE7B"/>
      </colorScale>
    </cfRule>
    <cfRule type="colorScale" priority="1097">
      <colorScale>
        <cfvo type="num" val="1"/>
        <cfvo type="num" val="2"/>
        <cfvo type="num" val="3"/>
        <color rgb="FFF8696B"/>
        <color rgb="FFFFEB84"/>
        <color rgb="FF63BE7B"/>
      </colorScale>
    </cfRule>
  </conditionalFormatting>
  <conditionalFormatting sqref="M13">
    <cfRule type="colorScale" priority="1031">
      <colorScale>
        <cfvo type="num" val="1"/>
        <cfvo type="num" val="2"/>
        <cfvo type="num" val="3"/>
        <color rgb="FFF8696B"/>
        <color rgb="FFFFEB84"/>
        <color rgb="FF63BE7B"/>
      </colorScale>
    </cfRule>
    <cfRule type="colorScale" priority="1032">
      <colorScale>
        <cfvo type="num" val="1"/>
        <cfvo type="num" val="2"/>
        <cfvo type="num" val="3"/>
        <color rgb="FFF8696B"/>
        <color rgb="FFFFEB84"/>
        <color rgb="FF63BE7B"/>
      </colorScale>
    </cfRule>
  </conditionalFormatting>
  <conditionalFormatting sqref="M15">
    <cfRule type="cellIs" dxfId="3256" priority="638" operator="equal">
      <formula>5</formula>
    </cfRule>
    <cfRule type="cellIs" dxfId="3255" priority="639" operator="equal">
      <formula>4</formula>
    </cfRule>
    <cfRule type="cellIs" dxfId="3254" priority="640" operator="equal">
      <formula>1</formula>
    </cfRule>
    <cfRule type="cellIs" dxfId="3253" priority="641" operator="equal">
      <formula>3</formula>
    </cfRule>
    <cfRule type="cellIs" dxfId="3252" priority="642" operator="equal">
      <formula>2</formula>
    </cfRule>
    <cfRule type="colorScale" priority="643">
      <colorScale>
        <cfvo type="min" val="0"/>
        <cfvo type="percentile" val="50"/>
        <cfvo type="max" val="0"/>
        <color rgb="FFF8696B"/>
        <color rgb="FFFFEB84"/>
        <color rgb="FF63BE7B"/>
      </colorScale>
    </cfRule>
    <cfRule type="colorScale" priority="644">
      <colorScale>
        <cfvo type="num" val="1"/>
        <cfvo type="num" val="2"/>
        <cfvo type="num" val="3"/>
        <color rgb="FFF8696B"/>
        <color rgb="FFFFEB84"/>
        <color rgb="FF63BE7B"/>
      </colorScale>
    </cfRule>
    <cfRule type="colorScale" priority="645">
      <colorScale>
        <cfvo type="num" val="1"/>
        <cfvo type="num" val="2"/>
        <cfvo type="num" val="3"/>
        <color rgb="FFF8696B"/>
        <color rgb="FFFFEB84"/>
        <color rgb="FF63BE7B"/>
      </colorScale>
    </cfRule>
    <cfRule type="colorScale" priority="646">
      <colorScale>
        <cfvo type="num" val="1"/>
        <cfvo type="num" val="2"/>
        <cfvo type="num" val="3"/>
        <color rgb="FFF8696B"/>
        <color rgb="FFFFEB84"/>
        <color rgb="FF63BE7B"/>
      </colorScale>
    </cfRule>
    <cfRule type="colorScale" priority="647">
      <colorScale>
        <cfvo type="num" val="1"/>
        <cfvo type="num" val="2"/>
        <cfvo type="num" val="3"/>
        <color rgb="FFF8696B"/>
        <color rgb="FFFFEB84"/>
        <color rgb="FF63BE7B"/>
      </colorScale>
    </cfRule>
    <cfRule type="colorScale" priority="648">
      <colorScale>
        <cfvo type="num" val="1"/>
        <cfvo type="num" val="2"/>
        <cfvo type="num" val="3"/>
        <color rgb="FFF8696B"/>
        <color rgb="FFFFEB84"/>
        <color rgb="FF63BE7B"/>
      </colorScale>
    </cfRule>
    <cfRule type="colorScale" priority="649">
      <colorScale>
        <cfvo type="num" val="1"/>
        <cfvo type="num" val="2"/>
        <cfvo type="num" val="3"/>
        <color rgb="FFF8696B"/>
        <color rgb="FFFFEB84"/>
        <color rgb="FF63BE7B"/>
      </colorScale>
    </cfRule>
  </conditionalFormatting>
  <conditionalFormatting sqref="M7:N7">
    <cfRule type="cellIs" dxfId="3251" priority="490" operator="equal">
      <formula>5</formula>
    </cfRule>
    <cfRule type="cellIs" dxfId="3250" priority="491" operator="equal">
      <formula>4</formula>
    </cfRule>
    <cfRule type="cellIs" dxfId="3249" priority="492" operator="equal">
      <formula>1</formula>
    </cfRule>
    <cfRule type="cellIs" dxfId="3248" priority="493" operator="equal">
      <formula>3</formula>
    </cfRule>
    <cfRule type="cellIs" dxfId="3247" priority="494" operator="equal">
      <formula>2</formula>
    </cfRule>
  </conditionalFormatting>
  <conditionalFormatting sqref="M9:Q9">
    <cfRule type="cellIs" dxfId="3246" priority="173" operator="equal">
      <formula>5</formula>
    </cfRule>
    <cfRule type="cellIs" dxfId="3245" priority="174" operator="equal">
      <formula>4</formula>
    </cfRule>
    <cfRule type="cellIs" dxfId="3244" priority="175" operator="equal">
      <formula>1</formula>
    </cfRule>
    <cfRule type="cellIs" dxfId="3243" priority="176" operator="equal">
      <formula>3</formula>
    </cfRule>
    <cfRule type="cellIs" dxfId="3242" priority="177" operator="equal">
      <formula>2</formula>
    </cfRule>
  </conditionalFormatting>
  <conditionalFormatting sqref="N5">
    <cfRule type="colorScale" priority="851">
      <colorScale>
        <cfvo type="num" val="1"/>
        <cfvo type="num" val="2"/>
        <cfvo type="num" val="3"/>
        <color rgb="FFF8696B"/>
        <color rgb="FFFFEB84"/>
        <color rgb="FF63BE7B"/>
      </colorScale>
    </cfRule>
    <cfRule type="colorScale" priority="859">
      <colorScale>
        <cfvo type="num" val="1"/>
        <cfvo type="num" val="2"/>
        <cfvo type="num" val="3"/>
        <color rgb="FFF8696B"/>
        <color rgb="FFFFEB84"/>
        <color rgb="FF63BE7B"/>
      </colorScale>
    </cfRule>
    <cfRule type="colorScale" priority="861">
      <colorScale>
        <cfvo type="num" val="1"/>
        <cfvo type="num" val="2"/>
        <cfvo type="num" val="3"/>
        <color rgb="FFF8696B"/>
        <color rgb="FFFFEB84"/>
        <color rgb="FF63BE7B"/>
      </colorScale>
    </cfRule>
    <cfRule type="colorScale" priority="865">
      <colorScale>
        <cfvo type="num" val="1"/>
        <cfvo type="num" val="2"/>
        <cfvo type="num" val="3"/>
        <color rgb="FFF8696B"/>
        <color rgb="FFFFEB84"/>
        <color rgb="FF63BE7B"/>
      </colorScale>
    </cfRule>
    <cfRule type="colorScale" priority="866">
      <colorScale>
        <cfvo type="num" val="1"/>
        <cfvo type="num" val="2"/>
        <cfvo type="num" val="3"/>
        <color rgb="FFF8696B"/>
        <color rgb="FFFFEB84"/>
        <color rgb="FF63BE7B"/>
      </colorScale>
    </cfRule>
    <cfRule type="colorScale" priority="998">
      <colorScale>
        <cfvo type="num" val="1"/>
        <cfvo type="num" val="2"/>
        <cfvo type="num" val="3"/>
        <color rgb="FFF8696B"/>
        <color rgb="FFFFEB84"/>
        <color rgb="FF63BE7B"/>
      </colorScale>
    </cfRule>
    <cfRule type="colorScale" priority="1006">
      <colorScale>
        <cfvo type="num" val="1"/>
        <cfvo type="num" val="2"/>
        <cfvo type="num" val="3"/>
        <color rgb="FFF8696B"/>
        <color rgb="FFFFEB84"/>
        <color rgb="FF63BE7B"/>
      </colorScale>
    </cfRule>
    <cfRule type="colorScale" priority="1008">
      <colorScale>
        <cfvo type="num" val="1"/>
        <cfvo type="num" val="2"/>
        <cfvo type="num" val="3"/>
        <color rgb="FFF8696B"/>
        <color rgb="FFFFEB84"/>
        <color rgb="FF63BE7B"/>
      </colorScale>
    </cfRule>
    <cfRule type="colorScale" priority="1010">
      <colorScale>
        <cfvo type="num" val="1"/>
        <cfvo type="num" val="2"/>
        <cfvo type="num" val="3"/>
        <color rgb="FFF8696B"/>
        <color rgb="FFFFEB84"/>
        <color rgb="FF63BE7B"/>
      </colorScale>
    </cfRule>
    <cfRule type="colorScale" priority="1011">
      <colorScale>
        <cfvo type="num" val="1"/>
        <cfvo type="num" val="2"/>
        <cfvo type="num" val="3"/>
        <color rgb="FFF8696B"/>
        <color rgb="FFFFEB84"/>
        <color rgb="FF63BE7B"/>
      </colorScale>
    </cfRule>
    <cfRule type="colorScale" priority="1343">
      <colorScale>
        <cfvo type="num" val="1"/>
        <cfvo type="num" val="2"/>
        <cfvo type="num" val="3"/>
        <color rgb="FFF8696B"/>
        <color rgb="FFFFEB84"/>
        <color rgb="FF63BE7B"/>
      </colorScale>
    </cfRule>
    <cfRule type="colorScale" priority="1414">
      <colorScale>
        <cfvo type="num" val="1"/>
        <cfvo type="num" val="2"/>
        <cfvo type="num" val="3"/>
        <color rgb="FFF8696B"/>
        <color rgb="FFFFEB84"/>
        <color rgb="FF63BE7B"/>
      </colorScale>
    </cfRule>
  </conditionalFormatting>
  <conditionalFormatting sqref="N7">
    <cfRule type="colorScale" priority="495">
      <colorScale>
        <cfvo type="min" val="0"/>
        <cfvo type="percentile" val="50"/>
        <cfvo type="max" val="0"/>
        <color rgb="FFF8696B"/>
        <color rgb="FFFFEB84"/>
        <color rgb="FF63BE7B"/>
      </colorScale>
    </cfRule>
    <cfRule type="colorScale" priority="496">
      <colorScale>
        <cfvo type="num" val="1"/>
        <cfvo type="num" val="2"/>
        <cfvo type="num" val="3"/>
        <color rgb="FFF8696B"/>
        <color rgb="FFFFEB84"/>
        <color rgb="FF63BE7B"/>
      </colorScale>
    </cfRule>
    <cfRule type="colorScale" priority="497">
      <colorScale>
        <cfvo type="num" val="1"/>
        <cfvo type="num" val="2"/>
        <cfvo type="num" val="3"/>
        <color rgb="FFF8696B"/>
        <color rgb="FFFFEB84"/>
        <color rgb="FF63BE7B"/>
      </colorScale>
    </cfRule>
  </conditionalFormatting>
  <conditionalFormatting sqref="N9">
    <cfRule type="colorScale" priority="319">
      <colorScale>
        <cfvo type="min" val="0"/>
        <cfvo type="percentile" val="50"/>
        <cfvo type="max" val="0"/>
        <color rgb="FFF8696B"/>
        <color rgb="FFFFEB84"/>
        <color rgb="FF63BE7B"/>
      </colorScale>
    </cfRule>
    <cfRule type="colorScale" priority="320">
      <colorScale>
        <cfvo type="num" val="1"/>
        <cfvo type="num" val="2"/>
        <cfvo type="num" val="3"/>
        <color rgb="FFF8696B"/>
        <color rgb="FFFFEB84"/>
        <color rgb="FF63BE7B"/>
      </colorScale>
    </cfRule>
    <cfRule type="colorScale" priority="321">
      <colorScale>
        <cfvo type="num" val="1"/>
        <cfvo type="num" val="2"/>
        <cfvo type="num" val="3"/>
        <color rgb="FFF8696B"/>
        <color rgb="FFFFEB84"/>
        <color rgb="FF63BE7B"/>
      </colorScale>
    </cfRule>
    <cfRule type="colorScale" priority="322">
      <colorScale>
        <cfvo type="num" val="1"/>
        <cfvo type="num" val="2"/>
        <cfvo type="num" val="3"/>
        <color rgb="FFF8696B"/>
        <color rgb="FFFFEB84"/>
        <color rgb="FF63BE7B"/>
      </colorScale>
    </cfRule>
    <cfRule type="colorScale" priority="323">
      <colorScale>
        <cfvo type="num" val="1"/>
        <cfvo type="num" val="2"/>
        <cfvo type="num" val="3"/>
        <color rgb="FFF8696B"/>
        <color rgb="FFFFEB84"/>
        <color rgb="FF63BE7B"/>
      </colorScale>
    </cfRule>
    <cfRule type="colorScale" priority="324">
      <colorScale>
        <cfvo type="num" val="1"/>
        <cfvo type="num" val="2"/>
        <cfvo type="num" val="3"/>
        <color rgb="FFF8696B"/>
        <color rgb="FFFFEB84"/>
        <color rgb="FF63BE7B"/>
      </colorScale>
    </cfRule>
    <cfRule type="colorScale" priority="325">
      <colorScale>
        <cfvo type="num" val="1"/>
        <cfvo type="num" val="2"/>
        <cfvo type="num" val="3"/>
        <color rgb="FFF8696B"/>
        <color rgb="FFFFEB84"/>
        <color rgb="FF63BE7B"/>
      </colorScale>
    </cfRule>
  </conditionalFormatting>
  <conditionalFormatting sqref="N11">
    <cfRule type="colorScale" priority="1079">
      <colorScale>
        <cfvo type="num" val="1"/>
        <cfvo type="num" val="2"/>
        <cfvo type="num" val="3"/>
        <color rgb="FFF8696B"/>
        <color rgb="FFFFEB84"/>
        <color rgb="FF63BE7B"/>
      </colorScale>
    </cfRule>
    <cfRule type="colorScale" priority="1080">
      <colorScale>
        <cfvo type="num" val="1"/>
        <cfvo type="num" val="2"/>
        <cfvo type="num" val="3"/>
        <color rgb="FFF8696B"/>
        <color rgb="FFFFEB84"/>
        <color rgb="FF63BE7B"/>
      </colorScale>
    </cfRule>
    <cfRule type="colorScale" priority="1081">
      <colorScale>
        <cfvo type="num" val="1"/>
        <cfvo type="num" val="2"/>
        <cfvo type="num" val="3"/>
        <color rgb="FFF8696B"/>
        <color rgb="FFFFEB84"/>
        <color rgb="FF63BE7B"/>
      </colorScale>
    </cfRule>
    <cfRule type="colorScale" priority="1082">
      <colorScale>
        <cfvo type="num" val="1"/>
        <cfvo type="num" val="2"/>
        <cfvo type="num" val="3"/>
        <color rgb="FFF8696B"/>
        <color rgb="FFFFEB84"/>
        <color rgb="FF63BE7B"/>
      </colorScale>
    </cfRule>
  </conditionalFormatting>
  <conditionalFormatting sqref="N13">
    <cfRule type="colorScale" priority="727">
      <colorScale>
        <cfvo type="min" val="0"/>
        <cfvo type="percentile" val="50"/>
        <cfvo type="max" val="0"/>
        <color rgb="FFF8696B"/>
        <color rgb="FFFFEB84"/>
        <color rgb="FF63BE7B"/>
      </colorScale>
    </cfRule>
    <cfRule type="colorScale" priority="728">
      <colorScale>
        <cfvo type="num" val="1"/>
        <cfvo type="num" val="2"/>
        <cfvo type="num" val="3"/>
        <color rgb="FFF8696B"/>
        <color rgb="FFFFEB84"/>
        <color rgb="FF63BE7B"/>
      </colorScale>
    </cfRule>
    <cfRule type="colorScale" priority="729">
      <colorScale>
        <cfvo type="num" val="1"/>
        <cfvo type="num" val="2"/>
        <cfvo type="num" val="3"/>
        <color rgb="FFF8696B"/>
        <color rgb="FFFFEB84"/>
        <color rgb="FF63BE7B"/>
      </colorScale>
    </cfRule>
    <cfRule type="colorScale" priority="730">
      <colorScale>
        <cfvo type="num" val="1"/>
        <cfvo type="num" val="2"/>
        <cfvo type="num" val="3"/>
        <color rgb="FFF8696B"/>
        <color rgb="FFFFEB84"/>
        <color rgb="FF63BE7B"/>
      </colorScale>
    </cfRule>
    <cfRule type="colorScale" priority="731">
      <colorScale>
        <cfvo type="num" val="1"/>
        <cfvo type="num" val="2"/>
        <cfvo type="num" val="3"/>
        <color rgb="FFF8696B"/>
        <color rgb="FFFFEB84"/>
        <color rgb="FF63BE7B"/>
      </colorScale>
    </cfRule>
    <cfRule type="colorScale" priority="732">
      <colorScale>
        <cfvo type="num" val="1"/>
        <cfvo type="num" val="2"/>
        <cfvo type="num" val="3"/>
        <color rgb="FFF8696B"/>
        <color rgb="FFFFEB84"/>
        <color rgb="FF63BE7B"/>
      </colorScale>
    </cfRule>
    <cfRule type="colorScale" priority="733">
      <colorScale>
        <cfvo type="num" val="1"/>
        <cfvo type="num" val="2"/>
        <cfvo type="num" val="3"/>
        <color rgb="FFF8696B"/>
        <color rgb="FFFFEB84"/>
        <color rgb="FF63BE7B"/>
      </colorScale>
    </cfRule>
  </conditionalFormatting>
  <conditionalFormatting sqref="N13:P13">
    <cfRule type="cellIs" dxfId="3241" priority="181" operator="equal">
      <formula>5</formula>
    </cfRule>
    <cfRule type="cellIs" dxfId="3240" priority="182" operator="equal">
      <formula>4</formula>
    </cfRule>
    <cfRule type="cellIs" dxfId="3239" priority="183" operator="equal">
      <formula>1</formula>
    </cfRule>
    <cfRule type="cellIs" dxfId="3238" priority="184" operator="equal">
      <formula>3</formula>
    </cfRule>
    <cfRule type="cellIs" dxfId="3237" priority="185" operator="equal">
      <formula>2</formula>
    </cfRule>
  </conditionalFormatting>
  <conditionalFormatting sqref="O5">
    <cfRule type="colorScale" priority="848">
      <colorScale>
        <cfvo type="num" val="1"/>
        <cfvo type="num" val="2"/>
        <cfvo type="num" val="3"/>
        <color rgb="FFF8696B"/>
        <color rgb="FFFFEB84"/>
        <color rgb="FF63BE7B"/>
      </colorScale>
    </cfRule>
    <cfRule type="colorScale" priority="849">
      <colorScale>
        <cfvo type="num" val="1"/>
        <cfvo type="num" val="2"/>
        <cfvo type="num" val="3"/>
        <color rgb="FFF8696B"/>
        <color rgb="FFFFEB84"/>
        <color rgb="FF63BE7B"/>
      </colorScale>
    </cfRule>
    <cfRule type="colorScale" priority="850">
      <colorScale>
        <cfvo type="num" val="1"/>
        <cfvo type="num" val="2"/>
        <cfvo type="num" val="3"/>
        <color rgb="FFF8696B"/>
        <color rgb="FFFFEB84"/>
        <color rgb="FF63BE7B"/>
      </colorScale>
    </cfRule>
    <cfRule type="colorScale" priority="852">
      <colorScale>
        <cfvo type="num" val="1"/>
        <cfvo type="num" val="2"/>
        <cfvo type="num" val="3"/>
        <color rgb="FFF8696B"/>
        <color rgb="FFFFEB84"/>
        <color rgb="FF63BE7B"/>
      </colorScale>
    </cfRule>
    <cfRule type="colorScale" priority="853">
      <colorScale>
        <cfvo type="num" val="1"/>
        <cfvo type="num" val="2"/>
        <cfvo type="num" val="3"/>
        <color rgb="FFF8696B"/>
        <color rgb="FFFFEB84"/>
        <color rgb="FF63BE7B"/>
      </colorScale>
    </cfRule>
    <cfRule type="colorScale" priority="854">
      <colorScale>
        <cfvo type="num" val="1"/>
        <cfvo type="num" val="2"/>
        <cfvo type="num" val="3"/>
        <color rgb="FFF8696B"/>
        <color rgb="FFFFEB84"/>
        <color rgb="FF63BE7B"/>
      </colorScale>
    </cfRule>
    <cfRule type="colorScale" priority="855">
      <colorScale>
        <cfvo type="num" val="1"/>
        <cfvo type="num" val="2"/>
        <cfvo type="num" val="3"/>
        <color rgb="FFF8696B"/>
        <color rgb="FFFFEB84"/>
        <color rgb="FF63BE7B"/>
      </colorScale>
    </cfRule>
    <cfRule type="colorScale" priority="856">
      <colorScale>
        <cfvo type="num" val="1"/>
        <cfvo type="num" val="2"/>
        <cfvo type="num" val="3"/>
        <color rgb="FFF8696B"/>
        <color rgb="FFFFEB84"/>
        <color rgb="FF63BE7B"/>
      </colorScale>
    </cfRule>
    <cfRule type="colorScale" priority="857">
      <colorScale>
        <cfvo type="num" val="1"/>
        <cfvo type="num" val="2"/>
        <cfvo type="num" val="3"/>
        <color rgb="FFF8696B"/>
        <color rgb="FFFFEB84"/>
        <color rgb="FF63BE7B"/>
      </colorScale>
    </cfRule>
    <cfRule type="colorScale" priority="858">
      <colorScale>
        <cfvo type="num" val="1"/>
        <cfvo type="num" val="2"/>
        <cfvo type="num" val="3"/>
        <color rgb="FFF8696B"/>
        <color rgb="FFFFEB84"/>
        <color rgb="FF63BE7B"/>
      </colorScale>
    </cfRule>
    <cfRule type="colorScale" priority="860">
      <colorScale>
        <cfvo type="num" val="1"/>
        <cfvo type="num" val="2"/>
        <cfvo type="num" val="3"/>
        <color rgb="FFF8696B"/>
        <color rgb="FFFFEB84"/>
        <color rgb="FF63BE7B"/>
      </colorScale>
    </cfRule>
    <cfRule type="colorScale" priority="862">
      <colorScale>
        <cfvo type="num" val="1"/>
        <cfvo type="num" val="2"/>
        <cfvo type="num" val="3"/>
        <color rgb="FFF8696B"/>
        <color rgb="FFFFEB84"/>
        <color rgb="FF63BE7B"/>
      </colorScale>
    </cfRule>
    <cfRule type="colorScale" priority="995">
      <colorScale>
        <cfvo type="num" val="1"/>
        <cfvo type="num" val="2"/>
        <cfvo type="num" val="3"/>
        <color rgb="FFF8696B"/>
        <color rgb="FFFFEB84"/>
        <color rgb="FF63BE7B"/>
      </colorScale>
    </cfRule>
    <cfRule type="colorScale" priority="996">
      <colorScale>
        <cfvo type="num" val="1"/>
        <cfvo type="num" val="2"/>
        <cfvo type="num" val="3"/>
        <color rgb="FFF8696B"/>
        <color rgb="FFFFEB84"/>
        <color rgb="FF63BE7B"/>
      </colorScale>
    </cfRule>
    <cfRule type="colorScale" priority="997">
      <colorScale>
        <cfvo type="num" val="1"/>
        <cfvo type="num" val="2"/>
        <cfvo type="num" val="3"/>
        <color rgb="FFF8696B"/>
        <color rgb="FFFFEB84"/>
        <color rgb="FF63BE7B"/>
      </colorScale>
    </cfRule>
    <cfRule type="colorScale" priority="999">
      <colorScale>
        <cfvo type="num" val="1"/>
        <cfvo type="num" val="2"/>
        <cfvo type="num" val="3"/>
        <color rgb="FFF8696B"/>
        <color rgb="FFFFEB84"/>
        <color rgb="FF63BE7B"/>
      </colorScale>
    </cfRule>
    <cfRule type="colorScale" priority="1000">
      <colorScale>
        <cfvo type="num" val="1"/>
        <cfvo type="num" val="2"/>
        <cfvo type="num" val="3"/>
        <color rgb="FFF8696B"/>
        <color rgb="FFFFEB84"/>
        <color rgb="FF63BE7B"/>
      </colorScale>
    </cfRule>
    <cfRule type="colorScale" priority="1001">
      <colorScale>
        <cfvo type="num" val="1"/>
        <cfvo type="num" val="2"/>
        <cfvo type="num" val="3"/>
        <color rgb="FFF8696B"/>
        <color rgb="FFFFEB84"/>
        <color rgb="FF63BE7B"/>
      </colorScale>
    </cfRule>
    <cfRule type="colorScale" priority="1002">
      <colorScale>
        <cfvo type="num" val="1"/>
        <cfvo type="num" val="2"/>
        <cfvo type="num" val="3"/>
        <color rgb="FFF8696B"/>
        <color rgb="FFFFEB84"/>
        <color rgb="FF63BE7B"/>
      </colorScale>
    </cfRule>
    <cfRule type="colorScale" priority="1003">
      <colorScale>
        <cfvo type="num" val="1"/>
        <cfvo type="num" val="2"/>
        <cfvo type="num" val="3"/>
        <color rgb="FFF8696B"/>
        <color rgb="FFFFEB84"/>
        <color rgb="FF63BE7B"/>
      </colorScale>
    </cfRule>
    <cfRule type="colorScale" priority="1004">
      <colorScale>
        <cfvo type="num" val="1"/>
        <cfvo type="num" val="2"/>
        <cfvo type="num" val="3"/>
        <color rgb="FFF8696B"/>
        <color rgb="FFFFEB84"/>
        <color rgb="FF63BE7B"/>
      </colorScale>
    </cfRule>
    <cfRule type="colorScale" priority="1005">
      <colorScale>
        <cfvo type="num" val="1"/>
        <cfvo type="num" val="2"/>
        <cfvo type="num" val="3"/>
        <color rgb="FFF8696B"/>
        <color rgb="FFFFEB84"/>
        <color rgb="FF63BE7B"/>
      </colorScale>
    </cfRule>
    <cfRule type="colorScale" priority="1007">
      <colorScale>
        <cfvo type="num" val="1"/>
        <cfvo type="num" val="2"/>
        <cfvo type="num" val="3"/>
        <color rgb="FFF8696B"/>
        <color rgb="FFFFEB84"/>
        <color rgb="FF63BE7B"/>
      </colorScale>
    </cfRule>
    <cfRule type="colorScale" priority="1009">
      <colorScale>
        <cfvo type="num" val="1"/>
        <cfvo type="num" val="2"/>
        <cfvo type="num" val="3"/>
        <color rgb="FFF8696B"/>
        <color rgb="FFFFEB84"/>
        <color rgb="FF63BE7B"/>
      </colorScale>
    </cfRule>
    <cfRule type="colorScale" priority="1273">
      <colorScale>
        <cfvo type="num" val="1"/>
        <cfvo type="num" val="2"/>
        <cfvo type="num" val="3"/>
        <color rgb="FFF8696B"/>
        <color rgb="FFFFEB84"/>
        <color rgb="FF63BE7B"/>
      </colorScale>
    </cfRule>
    <cfRule type="colorScale" priority="1301">
      <colorScale>
        <cfvo type="num" val="1"/>
        <cfvo type="num" val="2"/>
        <cfvo type="num" val="3"/>
        <color rgb="FFF8696B"/>
        <color rgb="FFFFEB84"/>
        <color rgb="FF63BE7B"/>
      </colorScale>
    </cfRule>
    <cfRule type="colorScale" priority="1302">
      <colorScale>
        <cfvo type="num" val="1"/>
        <cfvo type="num" val="2"/>
        <cfvo type="num" val="3"/>
        <color rgb="FFF8696B"/>
        <color rgb="FFFFEB84"/>
        <color rgb="FF63BE7B"/>
      </colorScale>
    </cfRule>
    <cfRule type="colorScale" priority="1303">
      <colorScale>
        <cfvo type="num" val="1"/>
        <cfvo type="num" val="2"/>
        <cfvo type="num" val="3"/>
        <color rgb="FFF8696B"/>
        <color rgb="FFFFEB84"/>
        <color rgb="FF63BE7B"/>
      </colorScale>
    </cfRule>
    <cfRule type="colorScale" priority="1304">
      <colorScale>
        <cfvo type="num" val="1"/>
        <cfvo type="num" val="2"/>
        <cfvo type="num" val="3"/>
        <color rgb="FFF8696B"/>
        <color rgb="FFFFEB84"/>
        <color rgb="FF63BE7B"/>
      </colorScale>
    </cfRule>
    <cfRule type="colorScale" priority="1305">
      <colorScale>
        <cfvo type="num" val="1"/>
        <cfvo type="num" val="2"/>
        <cfvo type="num" val="3"/>
        <color rgb="FFF8696B"/>
        <color rgb="FFFFEB84"/>
        <color rgb="FF63BE7B"/>
      </colorScale>
    </cfRule>
  </conditionalFormatting>
  <conditionalFormatting sqref="O7">
    <cfRule type="colorScale" priority="1189">
      <colorScale>
        <cfvo type="num" val="1"/>
        <cfvo type="num" val="2"/>
        <cfvo type="num" val="3"/>
        <color rgb="FFF8696B"/>
        <color rgb="FFFFEB84"/>
        <color rgb="FF63BE7B"/>
      </colorScale>
    </cfRule>
    <cfRule type="colorScale" priority="1192">
      <colorScale>
        <cfvo type="num" val="1"/>
        <cfvo type="num" val="2"/>
        <cfvo type="num" val="3"/>
        <color rgb="FFF8696B"/>
        <color rgb="FFFFEB84"/>
        <color rgb="FF63BE7B"/>
      </colorScale>
    </cfRule>
    <cfRule type="colorScale" priority="1322">
      <colorScale>
        <cfvo type="num" val="1"/>
        <cfvo type="num" val="2"/>
        <cfvo type="num" val="3"/>
        <color rgb="FFF8696B"/>
        <color rgb="FFFFEB84"/>
        <color rgb="FF63BE7B"/>
      </colorScale>
    </cfRule>
    <cfRule type="colorScale" priority="1362">
      <colorScale>
        <cfvo type="num" val="1"/>
        <cfvo type="num" val="2"/>
        <cfvo type="num" val="3"/>
        <color rgb="FFF8696B"/>
        <color rgb="FFFFEB84"/>
        <color rgb="FF63BE7B"/>
      </colorScale>
    </cfRule>
    <cfRule type="colorScale" priority="1406">
      <colorScale>
        <cfvo type="num" val="1"/>
        <cfvo type="num" val="2"/>
        <cfvo type="num" val="3"/>
        <color rgb="FFF8696B"/>
        <color rgb="FFFFEB84"/>
        <color rgb="FF63BE7B"/>
      </colorScale>
    </cfRule>
    <cfRule type="colorScale" priority="1413">
      <colorScale>
        <cfvo type="num" val="1"/>
        <cfvo type="num" val="2"/>
        <cfvo type="num" val="3"/>
        <color rgb="FFF8696B"/>
        <color rgb="FFFFEB84"/>
        <color rgb="FF63BE7B"/>
      </colorScale>
    </cfRule>
  </conditionalFormatting>
  <conditionalFormatting sqref="O9">
    <cfRule type="colorScale" priority="403">
      <colorScale>
        <cfvo type="min" val="0"/>
        <cfvo type="percentile" val="50"/>
        <cfvo type="max" val="0"/>
        <color rgb="FFF8696B"/>
        <color rgb="FFFFEB84"/>
        <color rgb="FF63BE7B"/>
      </colorScale>
    </cfRule>
    <cfRule type="colorScale" priority="404">
      <colorScale>
        <cfvo type="num" val="1"/>
        <cfvo type="num" val="2"/>
        <cfvo type="num" val="3"/>
        <color rgb="FFF8696B"/>
        <color rgb="FFFFEB84"/>
        <color rgb="FF63BE7B"/>
      </colorScale>
    </cfRule>
    <cfRule type="colorScale" priority="405">
      <colorScale>
        <cfvo type="num" val="1"/>
        <cfvo type="num" val="2"/>
        <cfvo type="num" val="3"/>
        <color rgb="FFF8696B"/>
        <color rgb="FFFFEB84"/>
        <color rgb="FF63BE7B"/>
      </colorScale>
    </cfRule>
  </conditionalFormatting>
  <conditionalFormatting sqref="O11">
    <cfRule type="colorScale" priority="427">
      <colorScale>
        <cfvo type="min" val="0"/>
        <cfvo type="percentile" val="50"/>
        <cfvo type="max" val="0"/>
        <color rgb="FFF8696B"/>
        <color rgb="FFFFEB84"/>
        <color rgb="FF63BE7B"/>
      </colorScale>
    </cfRule>
    <cfRule type="colorScale" priority="428">
      <colorScale>
        <cfvo type="num" val="1"/>
        <cfvo type="num" val="2"/>
        <cfvo type="num" val="3"/>
        <color rgb="FFF8696B"/>
        <color rgb="FFFFEB84"/>
        <color rgb="FF63BE7B"/>
      </colorScale>
    </cfRule>
    <cfRule type="colorScale" priority="429">
      <colorScale>
        <cfvo type="num" val="1"/>
        <cfvo type="num" val="2"/>
        <cfvo type="num" val="3"/>
        <color rgb="FFF8696B"/>
        <color rgb="FFFFEB84"/>
        <color rgb="FF63BE7B"/>
      </colorScale>
    </cfRule>
    <cfRule type="colorScale" priority="430">
      <colorScale>
        <cfvo type="num" val="1"/>
        <cfvo type="num" val="2"/>
        <cfvo type="num" val="3"/>
        <color rgb="FFF8696B"/>
        <color rgb="FFFFEB84"/>
        <color rgb="FF63BE7B"/>
      </colorScale>
    </cfRule>
    <cfRule type="colorScale" priority="431">
      <colorScale>
        <cfvo type="num" val="1"/>
        <cfvo type="num" val="2"/>
        <cfvo type="num" val="3"/>
        <color rgb="FFF8696B"/>
        <color rgb="FFFFEB84"/>
        <color rgb="FF63BE7B"/>
      </colorScale>
    </cfRule>
    <cfRule type="colorScale" priority="432">
      <colorScale>
        <cfvo type="num" val="1"/>
        <cfvo type="num" val="2"/>
        <cfvo type="num" val="3"/>
        <color rgb="FFF8696B"/>
        <color rgb="FFFFEB84"/>
        <color rgb="FF63BE7B"/>
      </colorScale>
    </cfRule>
    <cfRule type="colorScale" priority="433">
      <colorScale>
        <cfvo type="num" val="1"/>
        <cfvo type="num" val="2"/>
        <cfvo type="num" val="3"/>
        <color rgb="FFF8696B"/>
        <color rgb="FFFFEB84"/>
        <color rgb="FF63BE7B"/>
      </colorScale>
    </cfRule>
  </conditionalFormatting>
  <conditionalFormatting sqref="O13">
    <cfRule type="colorScale" priority="186">
      <colorScale>
        <cfvo type="min" val="0"/>
        <cfvo type="percentile" val="50"/>
        <cfvo type="max" val="0"/>
        <color rgb="FFF8696B"/>
        <color rgb="FFFFEB84"/>
        <color rgb="FF63BE7B"/>
      </colorScale>
    </cfRule>
    <cfRule type="colorScale" priority="187">
      <colorScale>
        <cfvo type="num" val="1"/>
        <cfvo type="num" val="2"/>
        <cfvo type="num" val="3"/>
        <color rgb="FFF8696B"/>
        <color rgb="FFFFEB84"/>
        <color rgb="FF63BE7B"/>
      </colorScale>
    </cfRule>
    <cfRule type="colorScale" priority="188">
      <colorScale>
        <cfvo type="num" val="1"/>
        <cfvo type="num" val="2"/>
        <cfvo type="num" val="3"/>
        <color rgb="FFF8696B"/>
        <color rgb="FFFFEB84"/>
        <color rgb="FF63BE7B"/>
      </colorScale>
    </cfRule>
  </conditionalFormatting>
  <conditionalFormatting sqref="O15">
    <cfRule type="colorScale" priority="893">
      <colorScale>
        <cfvo type="num" val="1"/>
        <cfvo type="num" val="2"/>
        <cfvo type="num" val="3"/>
        <color rgb="FFF8696B"/>
        <color rgb="FFFFEB84"/>
        <color rgb="FF63BE7B"/>
      </colorScale>
    </cfRule>
    <cfRule type="colorScale" priority="896">
      <colorScale>
        <cfvo type="num" val="1"/>
        <cfvo type="num" val="2"/>
        <cfvo type="num" val="3"/>
        <color rgb="FFF8696B"/>
        <color rgb="FFFFEB84"/>
        <color rgb="FF63BE7B"/>
      </colorScale>
    </cfRule>
    <cfRule type="colorScale" priority="938">
      <colorScale>
        <cfvo type="num" val="1"/>
        <cfvo type="num" val="2"/>
        <cfvo type="num" val="3"/>
        <color rgb="FFF8696B"/>
        <color rgb="FFFFEB84"/>
        <color rgb="FF63BE7B"/>
      </colorScale>
    </cfRule>
    <cfRule type="colorScale" priority="947">
      <colorScale>
        <cfvo type="num" val="1"/>
        <cfvo type="num" val="2"/>
        <cfvo type="num" val="3"/>
        <color rgb="FFF8696B"/>
        <color rgb="FFFFEB84"/>
        <color rgb="FF63BE7B"/>
      </colorScale>
    </cfRule>
    <cfRule type="colorScale" priority="954">
      <colorScale>
        <cfvo type="num" val="1"/>
        <cfvo type="num" val="2"/>
        <cfvo type="num" val="3"/>
        <color rgb="FFF8696B"/>
        <color rgb="FFFFEB84"/>
        <color rgb="FF63BE7B"/>
      </colorScale>
    </cfRule>
    <cfRule type="colorScale" priority="956">
      <colorScale>
        <cfvo type="num" val="1"/>
        <cfvo type="num" val="2"/>
        <cfvo type="num" val="3"/>
        <color rgb="FFF8696B"/>
        <color rgb="FFFFEB84"/>
        <color rgb="FF63BE7B"/>
      </colorScale>
    </cfRule>
  </conditionalFormatting>
  <conditionalFormatting sqref="O7:P7 E7 G7:L7 S7:T7 V7:W7 AA7:AD7 Y7 AF7">
    <cfRule type="colorScale" priority="1276">
      <colorScale>
        <cfvo type="num" val="1"/>
        <cfvo type="num" val="2"/>
        <cfvo type="num" val="3"/>
        <color rgb="FFF8696B"/>
        <color rgb="FFFFEB84"/>
        <color rgb="FF63BE7B"/>
      </colorScale>
    </cfRule>
  </conditionalFormatting>
  <conditionalFormatting sqref="O7:P7">
    <cfRule type="colorScale" priority="1245">
      <colorScale>
        <cfvo type="num" val="1"/>
        <cfvo type="num" val="2"/>
        <cfvo type="num" val="3"/>
        <color rgb="FFF8696B"/>
        <color rgb="FFFFEB84"/>
        <color rgb="FF63BE7B"/>
      </colorScale>
    </cfRule>
    <cfRule type="colorScale" priority="1296">
      <colorScale>
        <cfvo type="num" val="1"/>
        <cfvo type="num" val="2"/>
        <cfvo type="num" val="3"/>
        <color rgb="FFF8696B"/>
        <color rgb="FFFFEB84"/>
        <color rgb="FF63BE7B"/>
      </colorScale>
    </cfRule>
    <cfRule type="colorScale" priority="1297">
      <colorScale>
        <cfvo type="num" val="1"/>
        <cfvo type="num" val="2"/>
        <cfvo type="num" val="3"/>
        <color rgb="FFF8696B"/>
        <color rgb="FFFFEB84"/>
        <color rgb="FF63BE7B"/>
      </colorScale>
    </cfRule>
    <cfRule type="colorScale" priority="1298">
      <colorScale>
        <cfvo type="num" val="1"/>
        <cfvo type="num" val="2"/>
        <cfvo type="num" val="3"/>
        <color rgb="FFF8696B"/>
        <color rgb="FFFFEB84"/>
        <color rgb="FF63BE7B"/>
      </colorScale>
    </cfRule>
    <cfRule type="colorScale" priority="1299">
      <colorScale>
        <cfvo type="num" val="1"/>
        <cfvo type="num" val="2"/>
        <cfvo type="num" val="3"/>
        <color rgb="FFF8696B"/>
        <color rgb="FFFFEB84"/>
        <color rgb="FF63BE7B"/>
      </colorScale>
    </cfRule>
    <cfRule type="colorScale" priority="1300">
      <colorScale>
        <cfvo type="num" val="1"/>
        <cfvo type="num" val="2"/>
        <cfvo type="num" val="3"/>
        <color rgb="FFF8696B"/>
        <color rgb="FFFFEB84"/>
        <color rgb="FF63BE7B"/>
      </colorScale>
    </cfRule>
    <cfRule type="colorScale" priority="1340">
      <colorScale>
        <cfvo type="num" val="1"/>
        <cfvo type="num" val="2"/>
        <cfvo type="num" val="3"/>
        <color rgb="FFF8696B"/>
        <color rgb="FFFFEB84"/>
        <color rgb="FF63BE7B"/>
      </colorScale>
    </cfRule>
    <cfRule type="colorScale" priority="1363">
      <colorScale>
        <cfvo type="num" val="1"/>
        <cfvo type="num" val="2"/>
        <cfvo type="num" val="3"/>
        <color rgb="FFF8696B"/>
        <color rgb="FFFFEB84"/>
        <color rgb="FF63BE7B"/>
      </colorScale>
    </cfRule>
    <cfRule type="colorScale" priority="1386">
      <colorScale>
        <cfvo type="num" val="1"/>
        <cfvo type="num" val="2"/>
        <cfvo type="num" val="3"/>
        <color rgb="FFF8696B"/>
        <color rgb="FFFFEB84"/>
        <color rgb="FF63BE7B"/>
      </colorScale>
    </cfRule>
    <cfRule type="colorScale" priority="1405">
      <colorScale>
        <cfvo type="num" val="1"/>
        <cfvo type="num" val="2"/>
        <cfvo type="num" val="3"/>
        <color rgb="FFF8696B"/>
        <color rgb="FFFFEB84"/>
        <color rgb="FF63BE7B"/>
      </colorScale>
    </cfRule>
    <cfRule type="colorScale" priority="1407">
      <colorScale>
        <cfvo type="num" val="1"/>
        <cfvo type="num" val="2"/>
        <cfvo type="num" val="3"/>
        <color rgb="FFF8696B"/>
        <color rgb="FFFFEB84"/>
        <color rgb="FF63BE7B"/>
      </colorScale>
    </cfRule>
  </conditionalFormatting>
  <conditionalFormatting sqref="O11:P11">
    <cfRule type="cellIs" dxfId="3236" priority="414" operator="equal">
      <formula>5</formula>
    </cfRule>
    <cfRule type="cellIs" dxfId="3235" priority="415" operator="equal">
      <formula>4</formula>
    </cfRule>
    <cfRule type="cellIs" dxfId="3234" priority="416" operator="equal">
      <formula>1</formula>
    </cfRule>
    <cfRule type="cellIs" dxfId="3233" priority="417" operator="equal">
      <formula>3</formula>
    </cfRule>
    <cfRule type="cellIs" dxfId="3232" priority="418" operator="equal">
      <formula>2</formula>
    </cfRule>
  </conditionalFormatting>
  <conditionalFormatting sqref="O15:P15">
    <cfRule type="colorScale" priority="916">
      <colorScale>
        <cfvo type="num" val="1"/>
        <cfvo type="num" val="2"/>
        <cfvo type="num" val="3"/>
        <color rgb="FFF8696B"/>
        <color rgb="FFFFEB84"/>
        <color rgb="FF63BE7B"/>
      </colorScale>
    </cfRule>
    <cfRule type="colorScale" priority="930">
      <colorScale>
        <cfvo type="num" val="1"/>
        <cfvo type="num" val="2"/>
        <cfvo type="num" val="3"/>
        <color rgb="FFF8696B"/>
        <color rgb="FFFFEB84"/>
        <color rgb="FF63BE7B"/>
      </colorScale>
    </cfRule>
    <cfRule type="colorScale" priority="931">
      <colorScale>
        <cfvo type="num" val="1"/>
        <cfvo type="num" val="2"/>
        <cfvo type="num" val="3"/>
        <color rgb="FFF8696B"/>
        <color rgb="FFFFEB84"/>
        <color rgb="FF63BE7B"/>
      </colorScale>
    </cfRule>
    <cfRule type="colorScale" priority="932">
      <colorScale>
        <cfvo type="num" val="1"/>
        <cfvo type="num" val="2"/>
        <cfvo type="num" val="3"/>
        <color rgb="FFF8696B"/>
        <color rgb="FFFFEB84"/>
        <color rgb="FF63BE7B"/>
      </colorScale>
    </cfRule>
    <cfRule type="colorScale" priority="933">
      <colorScale>
        <cfvo type="num" val="1"/>
        <cfvo type="num" val="2"/>
        <cfvo type="num" val="3"/>
        <color rgb="FFF8696B"/>
        <color rgb="FFFFEB84"/>
        <color rgb="FF63BE7B"/>
      </colorScale>
    </cfRule>
    <cfRule type="colorScale" priority="934">
      <colorScale>
        <cfvo type="num" val="1"/>
        <cfvo type="num" val="2"/>
        <cfvo type="num" val="3"/>
        <color rgb="FFF8696B"/>
        <color rgb="FFFFEB84"/>
        <color rgb="FF63BE7B"/>
      </colorScale>
    </cfRule>
    <cfRule type="colorScale" priority="944">
      <colorScale>
        <cfvo type="num" val="1"/>
        <cfvo type="num" val="2"/>
        <cfvo type="num" val="3"/>
        <color rgb="FFF8696B"/>
        <color rgb="FFFFEB84"/>
        <color rgb="FF63BE7B"/>
      </colorScale>
    </cfRule>
    <cfRule type="colorScale" priority="948">
      <colorScale>
        <cfvo type="num" val="1"/>
        <cfvo type="num" val="2"/>
        <cfvo type="num" val="3"/>
        <color rgb="FFF8696B"/>
        <color rgb="FFFFEB84"/>
        <color rgb="FF63BE7B"/>
      </colorScale>
    </cfRule>
    <cfRule type="colorScale" priority="950">
      <colorScale>
        <cfvo type="num" val="1"/>
        <cfvo type="num" val="2"/>
        <cfvo type="num" val="3"/>
        <color rgb="FFF8696B"/>
        <color rgb="FFFFEB84"/>
        <color rgb="FF63BE7B"/>
      </colorScale>
    </cfRule>
    <cfRule type="colorScale" priority="953">
      <colorScale>
        <cfvo type="num" val="1"/>
        <cfvo type="num" val="2"/>
        <cfvo type="num" val="3"/>
        <color rgb="FFF8696B"/>
        <color rgb="FFFFEB84"/>
        <color rgb="FF63BE7B"/>
      </colorScale>
    </cfRule>
    <cfRule type="colorScale" priority="955">
      <colorScale>
        <cfvo type="num" val="1"/>
        <cfvo type="num" val="2"/>
        <cfvo type="num" val="3"/>
        <color rgb="FFF8696B"/>
        <color rgb="FFFFEB84"/>
        <color rgb="FF63BE7B"/>
      </colorScale>
    </cfRule>
  </conditionalFormatting>
  <conditionalFormatting sqref="P5">
    <cfRule type="colorScale" priority="773">
      <colorScale>
        <cfvo type="num" val="1"/>
        <cfvo type="num" val="2"/>
        <cfvo type="num" val="3"/>
        <color rgb="FFF8696B"/>
        <color rgb="FFFFEB84"/>
        <color rgb="FF63BE7B"/>
      </colorScale>
    </cfRule>
    <cfRule type="colorScale" priority="774">
      <colorScale>
        <cfvo type="num" val="1"/>
        <cfvo type="num" val="2"/>
        <cfvo type="num" val="3"/>
        <color rgb="FFF8696B"/>
        <color rgb="FFFFEB84"/>
        <color rgb="FF63BE7B"/>
      </colorScale>
    </cfRule>
    <cfRule type="colorScale" priority="775">
      <colorScale>
        <cfvo type="num" val="1"/>
        <cfvo type="num" val="2"/>
        <cfvo type="num" val="3"/>
        <color rgb="FFF8696B"/>
        <color rgb="FFFFEB84"/>
        <color rgb="FF63BE7B"/>
      </colorScale>
    </cfRule>
    <cfRule type="colorScale" priority="778">
      <colorScale>
        <cfvo type="num" val="1"/>
        <cfvo type="num" val="2"/>
        <cfvo type="num" val="3"/>
        <color rgb="FFF8696B"/>
        <color rgb="FFFFEB84"/>
        <color rgb="FF63BE7B"/>
      </colorScale>
    </cfRule>
    <cfRule type="colorScale" priority="781">
      <colorScale>
        <cfvo type="num" val="1"/>
        <cfvo type="num" val="2"/>
        <cfvo type="num" val="3"/>
        <color rgb="FFF8696B"/>
        <color rgb="FFFFEB84"/>
        <color rgb="FF63BE7B"/>
      </colorScale>
    </cfRule>
    <cfRule type="colorScale" priority="782">
      <colorScale>
        <cfvo type="num" val="1"/>
        <cfvo type="num" val="2"/>
        <cfvo type="num" val="3"/>
        <color rgb="FFF8696B"/>
        <color rgb="FFFFEB84"/>
        <color rgb="FF63BE7B"/>
      </colorScale>
    </cfRule>
  </conditionalFormatting>
  <conditionalFormatting sqref="P7">
    <cfRule type="colorScale" priority="1190">
      <colorScale>
        <cfvo type="num" val="1"/>
        <cfvo type="num" val="2"/>
        <cfvo type="num" val="3"/>
        <color rgb="FFF8696B"/>
        <color rgb="FFFFEB84"/>
        <color rgb="FF63BE7B"/>
      </colorScale>
    </cfRule>
    <cfRule type="colorScale" priority="1191">
      <colorScale>
        <cfvo type="num" val="1"/>
        <cfvo type="num" val="2"/>
        <cfvo type="num" val="3"/>
        <color rgb="FFF8696B"/>
        <color rgb="FFFFEB84"/>
        <color rgb="FF63BE7B"/>
      </colorScale>
    </cfRule>
    <cfRule type="colorScale" priority="1193">
      <colorScale>
        <cfvo type="num" val="1"/>
        <cfvo type="num" val="2"/>
        <cfvo type="num" val="3"/>
        <color rgb="FFF8696B"/>
        <color rgb="FFFFEB84"/>
        <color rgb="FF63BE7B"/>
      </colorScale>
    </cfRule>
    <cfRule type="colorScale" priority="1271">
      <colorScale>
        <cfvo type="num" val="1"/>
        <cfvo type="num" val="2"/>
        <cfvo type="num" val="3"/>
        <color rgb="FFF8696B"/>
        <color rgb="FFFFEB84"/>
        <color rgb="FF63BE7B"/>
      </colorScale>
    </cfRule>
    <cfRule type="colorScale" priority="1272">
      <colorScale>
        <cfvo type="num" val="1"/>
        <cfvo type="num" val="2"/>
        <cfvo type="num" val="3"/>
        <color rgb="FFF8696B"/>
        <color rgb="FFFFEB84"/>
        <color rgb="FF63BE7B"/>
      </colorScale>
    </cfRule>
    <cfRule type="colorScale" priority="1338">
      <colorScale>
        <cfvo type="num" val="1"/>
        <cfvo type="num" val="2"/>
        <cfvo type="num" val="3"/>
        <color rgb="FFF8696B"/>
        <color rgb="FFFFEB84"/>
        <color rgb="FF63BE7B"/>
      </colorScale>
    </cfRule>
    <cfRule type="colorScale" priority="1339">
      <colorScale>
        <cfvo type="num" val="1"/>
        <cfvo type="num" val="2"/>
        <cfvo type="num" val="3"/>
        <color rgb="FFF8696B"/>
        <color rgb="FFFFEB84"/>
        <color rgb="FF63BE7B"/>
      </colorScale>
    </cfRule>
    <cfRule type="colorScale" priority="1341">
      <colorScale>
        <cfvo type="num" val="1"/>
        <cfvo type="num" val="2"/>
        <cfvo type="num" val="3"/>
        <color rgb="FFF8696B"/>
        <color rgb="FFFFEB84"/>
        <color rgb="FF63BE7B"/>
      </colorScale>
    </cfRule>
    <cfRule type="colorScale" priority="1374">
      <colorScale>
        <cfvo type="num" val="1"/>
        <cfvo type="num" val="2"/>
        <cfvo type="num" val="3"/>
        <color rgb="FFF8696B"/>
        <color rgb="FFFFEB84"/>
        <color rgb="FF63BE7B"/>
      </colorScale>
    </cfRule>
  </conditionalFormatting>
  <conditionalFormatting sqref="P9">
    <cfRule type="colorScale" priority="194">
      <colorScale>
        <cfvo type="min" val="0"/>
        <cfvo type="percentile" val="50"/>
        <cfvo type="max" val="0"/>
        <color rgb="FFF8696B"/>
        <color rgb="FFFFEB84"/>
        <color rgb="FF63BE7B"/>
      </colorScale>
    </cfRule>
    <cfRule type="colorScale" priority="195">
      <colorScale>
        <cfvo type="num" val="1"/>
        <cfvo type="num" val="2"/>
        <cfvo type="num" val="3"/>
        <color rgb="FFF8696B"/>
        <color rgb="FFFFEB84"/>
        <color rgb="FF63BE7B"/>
      </colorScale>
    </cfRule>
    <cfRule type="colorScale" priority="196">
      <colorScale>
        <cfvo type="num" val="1"/>
        <cfvo type="num" val="2"/>
        <cfvo type="num" val="3"/>
        <color rgb="FFF8696B"/>
        <color rgb="FFFFEB84"/>
        <color rgb="FF63BE7B"/>
      </colorScale>
    </cfRule>
    <cfRule type="colorScale" priority="197">
      <colorScale>
        <cfvo type="num" val="1"/>
        <cfvo type="num" val="2"/>
        <cfvo type="num" val="3"/>
        <color rgb="FFF8696B"/>
        <color rgb="FFFFEB84"/>
        <color rgb="FF63BE7B"/>
      </colorScale>
    </cfRule>
    <cfRule type="colorScale" priority="198">
      <colorScale>
        <cfvo type="num" val="1"/>
        <cfvo type="num" val="2"/>
        <cfvo type="num" val="3"/>
        <color rgb="FFF8696B"/>
        <color rgb="FFFFEB84"/>
        <color rgb="FF63BE7B"/>
      </colorScale>
    </cfRule>
    <cfRule type="colorScale" priority="199">
      <colorScale>
        <cfvo type="num" val="1"/>
        <cfvo type="num" val="2"/>
        <cfvo type="num" val="3"/>
        <color rgb="FFF8696B"/>
        <color rgb="FFFFEB84"/>
        <color rgb="FF63BE7B"/>
      </colorScale>
    </cfRule>
    <cfRule type="colorScale" priority="200">
      <colorScale>
        <cfvo type="num" val="1"/>
        <cfvo type="num" val="2"/>
        <cfvo type="num" val="3"/>
        <color rgb="FFF8696B"/>
        <color rgb="FFFFEB84"/>
        <color rgb="FF63BE7B"/>
      </colorScale>
    </cfRule>
  </conditionalFormatting>
  <conditionalFormatting sqref="P11">
    <cfRule type="colorScale" priority="419">
      <colorScale>
        <cfvo type="min" val="0"/>
        <cfvo type="percentile" val="50"/>
        <cfvo type="max" val="0"/>
        <color rgb="FFF8696B"/>
        <color rgb="FFFFEB84"/>
        <color rgb="FF63BE7B"/>
      </colorScale>
    </cfRule>
    <cfRule type="colorScale" priority="420">
      <colorScale>
        <cfvo type="num" val="1"/>
        <cfvo type="num" val="2"/>
        <cfvo type="num" val="3"/>
        <color rgb="FFF8696B"/>
        <color rgb="FFFFEB84"/>
        <color rgb="FF63BE7B"/>
      </colorScale>
    </cfRule>
    <cfRule type="colorScale" priority="421">
      <colorScale>
        <cfvo type="num" val="1"/>
        <cfvo type="num" val="2"/>
        <cfvo type="num" val="3"/>
        <color rgb="FFF8696B"/>
        <color rgb="FFFFEB84"/>
        <color rgb="FF63BE7B"/>
      </colorScale>
    </cfRule>
  </conditionalFormatting>
  <conditionalFormatting sqref="P13">
    <cfRule type="colorScale" priority="463">
      <colorScale>
        <cfvo type="min" val="0"/>
        <cfvo type="percentile" val="50"/>
        <cfvo type="max" val="0"/>
        <color rgb="FFF8696B"/>
        <color rgb="FFFFEB84"/>
        <color rgb="FF63BE7B"/>
      </colorScale>
    </cfRule>
    <cfRule type="colorScale" priority="464">
      <colorScale>
        <cfvo type="num" val="1"/>
        <cfvo type="num" val="2"/>
        <cfvo type="num" val="3"/>
        <color rgb="FFF8696B"/>
        <color rgb="FFFFEB84"/>
        <color rgb="FF63BE7B"/>
      </colorScale>
    </cfRule>
    <cfRule type="colorScale" priority="465">
      <colorScale>
        <cfvo type="num" val="1"/>
        <cfvo type="num" val="2"/>
        <cfvo type="num" val="3"/>
        <color rgb="FFF8696B"/>
        <color rgb="FFFFEB84"/>
        <color rgb="FF63BE7B"/>
      </colorScale>
    </cfRule>
    <cfRule type="colorScale" priority="466">
      <colorScale>
        <cfvo type="num" val="1"/>
        <cfvo type="num" val="2"/>
        <cfvo type="num" val="3"/>
        <color rgb="FFF8696B"/>
        <color rgb="FFFFEB84"/>
        <color rgb="FF63BE7B"/>
      </colorScale>
    </cfRule>
    <cfRule type="colorScale" priority="467">
      <colorScale>
        <cfvo type="num" val="1"/>
        <cfvo type="num" val="2"/>
        <cfvo type="num" val="3"/>
        <color rgb="FFF8696B"/>
        <color rgb="FFFFEB84"/>
        <color rgb="FF63BE7B"/>
      </colorScale>
    </cfRule>
    <cfRule type="colorScale" priority="468">
      <colorScale>
        <cfvo type="num" val="1"/>
        <cfvo type="num" val="2"/>
        <cfvo type="num" val="3"/>
        <color rgb="FFF8696B"/>
        <color rgb="FFFFEB84"/>
        <color rgb="FF63BE7B"/>
      </colorScale>
    </cfRule>
    <cfRule type="colorScale" priority="469">
      <colorScale>
        <cfvo type="num" val="1"/>
        <cfvo type="num" val="2"/>
        <cfvo type="num" val="3"/>
        <color rgb="FFF8696B"/>
        <color rgb="FFFFEB84"/>
        <color rgb="FF63BE7B"/>
      </colorScale>
    </cfRule>
  </conditionalFormatting>
  <conditionalFormatting sqref="P15">
    <cfRule type="colorScale" priority="894">
      <colorScale>
        <cfvo type="num" val="1"/>
        <cfvo type="num" val="2"/>
        <cfvo type="num" val="3"/>
        <color rgb="FFF8696B"/>
        <color rgb="FFFFEB84"/>
        <color rgb="FF63BE7B"/>
      </colorScale>
    </cfRule>
    <cfRule type="colorScale" priority="895">
      <colorScale>
        <cfvo type="num" val="1"/>
        <cfvo type="num" val="2"/>
        <cfvo type="num" val="3"/>
        <color rgb="FFF8696B"/>
        <color rgb="FFFFEB84"/>
        <color rgb="FF63BE7B"/>
      </colorScale>
    </cfRule>
    <cfRule type="colorScale" priority="897">
      <colorScale>
        <cfvo type="num" val="1"/>
        <cfvo type="num" val="2"/>
        <cfvo type="num" val="3"/>
        <color rgb="FFF8696B"/>
        <color rgb="FFFFEB84"/>
        <color rgb="FF63BE7B"/>
      </colorScale>
    </cfRule>
    <cfRule type="colorScale" priority="926">
      <colorScale>
        <cfvo type="num" val="1"/>
        <cfvo type="num" val="2"/>
        <cfvo type="num" val="3"/>
        <color rgb="FFF8696B"/>
        <color rgb="FFFFEB84"/>
        <color rgb="FF63BE7B"/>
      </colorScale>
    </cfRule>
  </conditionalFormatting>
  <conditionalFormatting sqref="P5:Q5">
    <cfRule type="colorScale" priority="780">
      <colorScale>
        <cfvo type="num" val="1"/>
        <cfvo type="num" val="2"/>
        <cfvo type="num" val="3"/>
        <color rgb="FFF8696B"/>
        <color rgb="FFFFEB84"/>
        <color rgb="FF63BE7B"/>
      </colorScale>
    </cfRule>
  </conditionalFormatting>
  <conditionalFormatting sqref="P15:Q15">
    <cfRule type="colorScale" priority="927">
      <colorScale>
        <cfvo type="num" val="1"/>
        <cfvo type="num" val="2"/>
        <cfvo type="num" val="3"/>
        <color rgb="FFF8696B"/>
        <color rgb="FFFFEB84"/>
        <color rgb="FF63BE7B"/>
      </colorScale>
    </cfRule>
    <cfRule type="colorScale" priority="941">
      <colorScale>
        <cfvo type="num" val="1"/>
        <cfvo type="num" val="2"/>
        <cfvo type="num" val="3"/>
        <color rgb="FFF8696B"/>
        <color rgb="FFFFEB84"/>
        <color rgb="FF63BE7B"/>
      </colorScale>
    </cfRule>
    <cfRule type="colorScale" priority="943">
      <colorScale>
        <cfvo type="num" val="1"/>
        <cfvo type="num" val="2"/>
        <cfvo type="num" val="3"/>
        <color rgb="FFF8696B"/>
        <color rgb="FFFFEB84"/>
        <color rgb="FF63BE7B"/>
      </colorScale>
    </cfRule>
    <cfRule type="colorScale" priority="945">
      <colorScale>
        <cfvo type="num" val="1"/>
        <cfvo type="num" val="2"/>
        <cfvo type="num" val="3"/>
        <color rgb="FFF8696B"/>
        <color rgb="FFFFEB84"/>
        <color rgb="FF63BE7B"/>
      </colorScale>
    </cfRule>
    <cfRule type="colorScale" priority="949">
      <colorScale>
        <cfvo type="num" val="1"/>
        <cfvo type="num" val="2"/>
        <cfvo type="num" val="3"/>
        <color rgb="FFF8696B"/>
        <color rgb="FFFFEB84"/>
        <color rgb="FF63BE7B"/>
      </colorScale>
    </cfRule>
  </conditionalFormatting>
  <conditionalFormatting sqref="P5:AF5">
    <cfRule type="colorScale" priority="1246">
      <colorScale>
        <cfvo type="num" val="1"/>
        <cfvo type="num" val="2"/>
        <cfvo type="num" val="3"/>
        <color rgb="FFF8696B"/>
        <color rgb="FFFFEB84"/>
        <color rgb="FF63BE7B"/>
      </colorScale>
    </cfRule>
    <cfRule type="colorScale" priority="1403">
      <colorScale>
        <cfvo type="num" val="1"/>
        <cfvo type="num" val="2"/>
        <cfvo type="num" val="3"/>
        <color rgb="FFF8696B"/>
        <color rgb="FFFFEB84"/>
        <color rgb="FF63BE7B"/>
      </colorScale>
    </cfRule>
  </conditionalFormatting>
  <conditionalFormatting sqref="Q5">
    <cfRule type="colorScale" priority="771">
      <colorScale>
        <cfvo type="num" val="1"/>
        <cfvo type="num" val="2"/>
        <cfvo type="num" val="3"/>
        <color rgb="FFF8696B"/>
        <color rgb="FFFFEB84"/>
        <color rgb="FF63BE7B"/>
      </colorScale>
    </cfRule>
    <cfRule type="colorScale" priority="772">
      <colorScale>
        <cfvo type="num" val="1"/>
        <cfvo type="num" val="2"/>
        <cfvo type="num" val="3"/>
        <color rgb="FFF8696B"/>
        <color rgb="FFFFEB84"/>
        <color rgb="FF63BE7B"/>
      </colorScale>
    </cfRule>
    <cfRule type="colorScale" priority="776">
      <colorScale>
        <cfvo type="num" val="1"/>
        <cfvo type="num" val="2"/>
        <cfvo type="num" val="3"/>
        <color rgb="FFF8696B"/>
        <color rgb="FFFFEB84"/>
        <color rgb="FF63BE7B"/>
      </colorScale>
    </cfRule>
    <cfRule type="colorScale" priority="777">
      <colorScale>
        <cfvo type="num" val="1"/>
        <cfvo type="num" val="2"/>
        <cfvo type="num" val="3"/>
        <color rgb="FFF8696B"/>
        <color rgb="FFFFEB84"/>
        <color rgb="FF63BE7B"/>
      </colorScale>
    </cfRule>
    <cfRule type="colorScale" priority="779">
      <colorScale>
        <cfvo type="num" val="1"/>
        <cfvo type="num" val="2"/>
        <cfvo type="num" val="3"/>
        <color rgb="FFF8696B"/>
        <color rgb="FFFFEB84"/>
        <color rgb="FF63BE7B"/>
      </colorScale>
    </cfRule>
    <cfRule type="colorScale" priority="783">
      <colorScale>
        <cfvo type="num" val="1"/>
        <cfvo type="num" val="2"/>
        <cfvo type="num" val="3"/>
        <color rgb="FFF8696B"/>
        <color rgb="FFFFEB84"/>
        <color rgb="FF63BE7B"/>
      </colorScale>
    </cfRule>
    <cfRule type="colorScale" priority="1247">
      <colorScale>
        <cfvo type="num" val="1"/>
        <cfvo type="num" val="2"/>
        <cfvo type="num" val="3"/>
        <color rgb="FFF8696B"/>
        <color rgb="FFFFEB84"/>
        <color rgb="FF63BE7B"/>
      </colorScale>
    </cfRule>
  </conditionalFormatting>
  <conditionalFormatting sqref="Q7">
    <cfRule type="colorScale" priority="475">
      <colorScale>
        <cfvo type="min" val="0"/>
        <cfvo type="percentile" val="50"/>
        <cfvo type="max" val="0"/>
        <color rgb="FFF8696B"/>
        <color rgb="FFFFEB84"/>
        <color rgb="FF63BE7B"/>
      </colorScale>
    </cfRule>
    <cfRule type="colorScale" priority="476">
      <colorScale>
        <cfvo type="num" val="1"/>
        <cfvo type="num" val="2"/>
        <cfvo type="num" val="3"/>
        <color rgb="FFF8696B"/>
        <color rgb="FFFFEB84"/>
        <color rgb="FF63BE7B"/>
      </colorScale>
    </cfRule>
    <cfRule type="colorScale" priority="477">
      <colorScale>
        <cfvo type="num" val="1"/>
        <cfvo type="num" val="2"/>
        <cfvo type="num" val="3"/>
        <color rgb="FFF8696B"/>
        <color rgb="FFFFEB84"/>
        <color rgb="FF63BE7B"/>
      </colorScale>
    </cfRule>
    <cfRule type="colorScale" priority="478">
      <colorScale>
        <cfvo type="num" val="1"/>
        <cfvo type="num" val="2"/>
        <cfvo type="num" val="3"/>
        <color rgb="FFF8696B"/>
        <color rgb="FFFFEB84"/>
        <color rgb="FF63BE7B"/>
      </colorScale>
    </cfRule>
    <cfRule type="colorScale" priority="479">
      <colorScale>
        <cfvo type="num" val="1"/>
        <cfvo type="num" val="2"/>
        <cfvo type="num" val="3"/>
        <color rgb="FFF8696B"/>
        <color rgb="FFFFEB84"/>
        <color rgb="FF63BE7B"/>
      </colorScale>
    </cfRule>
    <cfRule type="colorScale" priority="480">
      <colorScale>
        <cfvo type="num" val="1"/>
        <cfvo type="num" val="2"/>
        <cfvo type="num" val="3"/>
        <color rgb="FFF8696B"/>
        <color rgb="FFFFEB84"/>
        <color rgb="FF63BE7B"/>
      </colorScale>
    </cfRule>
    <cfRule type="colorScale" priority="481">
      <colorScale>
        <cfvo type="num" val="1"/>
        <cfvo type="num" val="2"/>
        <cfvo type="num" val="3"/>
        <color rgb="FFF8696B"/>
        <color rgb="FFFFEB84"/>
        <color rgb="FF63BE7B"/>
      </colorScale>
    </cfRule>
  </conditionalFormatting>
  <conditionalFormatting sqref="Q9">
    <cfRule type="colorScale" priority="411">
      <colorScale>
        <cfvo type="min" val="0"/>
        <cfvo type="percentile" val="50"/>
        <cfvo type="max" val="0"/>
        <color rgb="FFF8696B"/>
        <color rgb="FFFFEB84"/>
        <color rgb="FF63BE7B"/>
      </colorScale>
    </cfRule>
    <cfRule type="colorScale" priority="412">
      <colorScale>
        <cfvo type="num" val="1"/>
        <cfvo type="num" val="2"/>
        <cfvo type="num" val="3"/>
        <color rgb="FFF8696B"/>
        <color rgb="FFFFEB84"/>
        <color rgb="FF63BE7B"/>
      </colorScale>
    </cfRule>
    <cfRule type="colorScale" priority="413">
      <colorScale>
        <cfvo type="num" val="1"/>
        <cfvo type="num" val="2"/>
        <cfvo type="num" val="3"/>
        <color rgb="FFF8696B"/>
        <color rgb="FFFFEB84"/>
        <color rgb="FF63BE7B"/>
      </colorScale>
    </cfRule>
  </conditionalFormatting>
  <conditionalFormatting sqref="Q11">
    <cfRule type="colorScale" priority="734">
      <colorScale>
        <cfvo type="num" val="1"/>
        <cfvo type="num" val="2"/>
        <cfvo type="num" val="3"/>
        <color rgb="FFF8696B"/>
        <color rgb="FFFFEB84"/>
        <color rgb="FF63BE7B"/>
      </colorScale>
    </cfRule>
    <cfRule type="colorScale" priority="735">
      <colorScale>
        <cfvo type="num" val="1"/>
        <cfvo type="num" val="2"/>
        <cfvo type="num" val="3"/>
        <color rgb="FFF8696B"/>
        <color rgb="FFFFEB84"/>
        <color rgb="FF63BE7B"/>
      </colorScale>
    </cfRule>
    <cfRule type="colorScale" priority="736">
      <colorScale>
        <cfvo type="num" val="1"/>
        <cfvo type="num" val="2"/>
        <cfvo type="num" val="3"/>
        <color rgb="FFF8696B"/>
        <color rgb="FFFFEB84"/>
        <color rgb="FF63BE7B"/>
      </colorScale>
    </cfRule>
    <cfRule type="colorScale" priority="737">
      <colorScale>
        <cfvo type="num" val="1"/>
        <cfvo type="num" val="2"/>
        <cfvo type="num" val="3"/>
        <color rgb="FFF8696B"/>
        <color rgb="FFFFEB84"/>
        <color rgb="FF63BE7B"/>
      </colorScale>
    </cfRule>
    <cfRule type="colorScale" priority="738">
      <colorScale>
        <cfvo type="num" val="1"/>
        <cfvo type="num" val="2"/>
        <cfvo type="num" val="3"/>
        <color rgb="FFF8696B"/>
        <color rgb="FFFFEB84"/>
        <color rgb="FF63BE7B"/>
      </colorScale>
    </cfRule>
  </conditionalFormatting>
  <conditionalFormatting sqref="Q13">
    <cfRule type="colorScale" priority="1029">
      <colorScale>
        <cfvo type="num" val="1"/>
        <cfvo type="num" val="2"/>
        <cfvo type="num" val="3"/>
        <color rgb="FFF8696B"/>
        <color rgb="FFFFEB84"/>
        <color rgb="FF63BE7B"/>
      </colorScale>
    </cfRule>
    <cfRule type="colorScale" priority="1030">
      <colorScale>
        <cfvo type="num" val="1"/>
        <cfvo type="num" val="2"/>
        <cfvo type="num" val="3"/>
        <color rgb="FFF8696B"/>
        <color rgb="FFFFEB84"/>
        <color rgb="FF63BE7B"/>
      </colorScale>
    </cfRule>
    <cfRule type="colorScale" priority="1042">
      <colorScale>
        <cfvo type="num" val="1"/>
        <cfvo type="num" val="2"/>
        <cfvo type="num" val="3"/>
        <color rgb="FFF8696B"/>
        <color rgb="FFFFEB84"/>
        <color rgb="FF63BE7B"/>
      </colorScale>
    </cfRule>
    <cfRule type="colorScale" priority="1043">
      <colorScale>
        <cfvo type="num" val="1"/>
        <cfvo type="num" val="2"/>
        <cfvo type="num" val="3"/>
        <color rgb="FFF8696B"/>
        <color rgb="FFFFEB84"/>
        <color rgb="FF63BE7B"/>
      </colorScale>
    </cfRule>
    <cfRule type="colorScale" priority="1044">
      <colorScale>
        <cfvo type="num" val="1"/>
        <cfvo type="num" val="2"/>
        <cfvo type="num" val="3"/>
        <color rgb="FFF8696B"/>
        <color rgb="FFFFEB84"/>
        <color rgb="FF63BE7B"/>
      </colorScale>
    </cfRule>
    <cfRule type="colorScale" priority="1049">
      <colorScale>
        <cfvo type="num" val="1"/>
        <cfvo type="num" val="2"/>
        <cfvo type="num" val="3"/>
        <color rgb="FFF8696B"/>
        <color rgb="FFFFEB84"/>
        <color rgb="FF63BE7B"/>
      </colorScale>
    </cfRule>
    <cfRule type="colorScale" priority="1056">
      <colorScale>
        <cfvo type="num" val="1"/>
        <cfvo type="num" val="2"/>
        <cfvo type="num" val="3"/>
        <color rgb="FFF8696B"/>
        <color rgb="FFFFEB84"/>
        <color rgb="FF63BE7B"/>
      </colorScale>
    </cfRule>
    <cfRule type="colorScale" priority="1057">
      <colorScale>
        <cfvo type="num" val="1"/>
        <cfvo type="num" val="2"/>
        <cfvo type="num" val="3"/>
        <color rgb="FFF8696B"/>
        <color rgb="FFFFEB84"/>
        <color rgb="FF63BE7B"/>
      </colorScale>
    </cfRule>
    <cfRule type="colorScale" priority="1058">
      <colorScale>
        <cfvo type="num" val="1"/>
        <cfvo type="num" val="2"/>
        <cfvo type="num" val="3"/>
        <color rgb="FFF8696B"/>
        <color rgb="FFFFEB84"/>
        <color rgb="FF63BE7B"/>
      </colorScale>
    </cfRule>
    <cfRule type="colorScale" priority="1061">
      <colorScale>
        <cfvo type="num" val="1"/>
        <cfvo type="num" val="2"/>
        <cfvo type="num" val="3"/>
        <color rgb="FFF8696B"/>
        <color rgb="FFFFEB84"/>
        <color rgb="FF63BE7B"/>
      </colorScale>
    </cfRule>
  </conditionalFormatting>
  <conditionalFormatting sqref="Q15">
    <cfRule type="colorScale" priority="888">
      <colorScale>
        <cfvo type="num" val="1"/>
        <cfvo type="num" val="2"/>
        <cfvo type="num" val="3"/>
        <color rgb="FFF8696B"/>
        <color rgb="FFFFEB84"/>
        <color rgb="FF63BE7B"/>
      </colorScale>
    </cfRule>
    <cfRule type="colorScale" priority="891">
      <colorScale>
        <cfvo type="num" val="1"/>
        <cfvo type="num" val="2"/>
        <cfvo type="num" val="3"/>
        <color rgb="FFF8696B"/>
        <color rgb="FFFFEB84"/>
        <color rgb="FF63BE7B"/>
      </colorScale>
    </cfRule>
    <cfRule type="colorScale" priority="914">
      <colorScale>
        <cfvo type="num" val="1"/>
        <cfvo type="num" val="2"/>
        <cfvo type="num" val="3"/>
        <color rgb="FFF8696B"/>
        <color rgb="FFFFEB84"/>
        <color rgb="FF63BE7B"/>
      </colorScale>
    </cfRule>
    <cfRule type="colorScale" priority="915">
      <colorScale>
        <cfvo type="num" val="1"/>
        <cfvo type="num" val="2"/>
        <cfvo type="num" val="3"/>
        <color rgb="FFF8696B"/>
        <color rgb="FFFFEB84"/>
        <color rgb="FF63BE7B"/>
      </colorScale>
    </cfRule>
    <cfRule type="colorScale" priority="917">
      <colorScale>
        <cfvo type="num" val="1"/>
        <cfvo type="num" val="2"/>
        <cfvo type="num" val="3"/>
        <color rgb="FFF8696B"/>
        <color rgb="FFFFEB84"/>
        <color rgb="FF63BE7B"/>
      </colorScale>
    </cfRule>
  </conditionalFormatting>
  <conditionalFormatting sqref="Q7:R7">
    <cfRule type="cellIs" dxfId="3231" priority="470" operator="equal">
      <formula>5</formula>
    </cfRule>
    <cfRule type="cellIs" dxfId="3230" priority="471" operator="equal">
      <formula>4</formula>
    </cfRule>
    <cfRule type="cellIs" dxfId="3229" priority="472" operator="equal">
      <formula>1</formula>
    </cfRule>
    <cfRule type="cellIs" dxfId="3228" priority="473" operator="equal">
      <formula>3</formula>
    </cfRule>
    <cfRule type="cellIs" dxfId="3227" priority="474" operator="equal">
      <formula>2</formula>
    </cfRule>
  </conditionalFormatting>
  <conditionalFormatting sqref="Q5:AF5">
    <cfRule type="colorScale" priority="1370">
      <colorScale>
        <cfvo type="num" val="1"/>
        <cfvo type="num" val="2"/>
        <cfvo type="num" val="3"/>
        <color rgb="FFF8696B"/>
        <color rgb="FFFFEB84"/>
        <color rgb="FF63BE7B"/>
      </colorScale>
    </cfRule>
    <cfRule type="colorScale" priority="1385">
      <colorScale>
        <cfvo type="num" val="1"/>
        <cfvo type="num" val="2"/>
        <cfvo type="num" val="3"/>
        <color rgb="FFF8696B"/>
        <color rgb="FFFFEB84"/>
        <color rgb="FF63BE7B"/>
      </colorScale>
    </cfRule>
    <cfRule type="colorScale" priority="1402">
      <colorScale>
        <cfvo type="num" val="1"/>
        <cfvo type="num" val="2"/>
        <cfvo type="num" val="3"/>
        <color rgb="FFF8696B"/>
        <color rgb="FFFFEB84"/>
        <color rgb="FF63BE7B"/>
      </colorScale>
    </cfRule>
    <cfRule type="colorScale" priority="1404">
      <colorScale>
        <cfvo type="num" val="1"/>
        <cfvo type="num" val="2"/>
        <cfvo type="num" val="3"/>
        <color rgb="FFF8696B"/>
        <color rgb="FFFFEB84"/>
        <color rgb="FF63BE7B"/>
      </colorScale>
    </cfRule>
  </conditionalFormatting>
  <conditionalFormatting sqref="R5">
    <cfRule type="colorScale" priority="1336">
      <colorScale>
        <cfvo type="num" val="1"/>
        <cfvo type="num" val="2"/>
        <cfvo type="num" val="3"/>
        <color rgb="FFF8696B"/>
        <color rgb="FFFFEB84"/>
        <color rgb="FF63BE7B"/>
      </colorScale>
    </cfRule>
    <cfRule type="colorScale" priority="1360">
      <colorScale>
        <cfvo type="num" val="1"/>
        <cfvo type="num" val="2"/>
        <cfvo type="num" val="3"/>
        <color rgb="FFF8696B"/>
        <color rgb="FFFFEB84"/>
        <color rgb="FF63BE7B"/>
      </colorScale>
    </cfRule>
    <cfRule type="colorScale" priority="1369">
      <colorScale>
        <cfvo type="num" val="1"/>
        <cfvo type="num" val="2"/>
        <cfvo type="num" val="3"/>
        <color rgb="FFF8696B"/>
        <color rgb="FFFFEB84"/>
        <color rgb="FF63BE7B"/>
      </colorScale>
    </cfRule>
    <cfRule type="colorScale" priority="1373">
      <colorScale>
        <cfvo type="num" val="1"/>
        <cfvo type="num" val="2"/>
        <cfvo type="num" val="3"/>
        <color rgb="FFF8696B"/>
        <color rgb="FFFFEB84"/>
        <color rgb="FF63BE7B"/>
      </colorScale>
    </cfRule>
  </conditionalFormatting>
  <conditionalFormatting sqref="R7">
    <cfRule type="colorScale" priority="487">
      <colorScale>
        <cfvo type="min" val="0"/>
        <cfvo type="percentile" val="50"/>
        <cfvo type="max" val="0"/>
        <color rgb="FFF8696B"/>
        <color rgb="FFFFEB84"/>
        <color rgb="FF63BE7B"/>
      </colorScale>
    </cfRule>
    <cfRule type="colorScale" priority="488">
      <colorScale>
        <cfvo type="num" val="1"/>
        <cfvo type="num" val="2"/>
        <cfvo type="num" val="3"/>
        <color rgb="FFF8696B"/>
        <color rgb="FFFFEB84"/>
        <color rgb="FF63BE7B"/>
      </colorScale>
    </cfRule>
    <cfRule type="colorScale" priority="489">
      <colorScale>
        <cfvo type="num" val="1"/>
        <cfvo type="num" val="2"/>
        <cfvo type="num" val="3"/>
        <color rgb="FFF8696B"/>
        <color rgb="FFFFEB84"/>
        <color rgb="FF63BE7B"/>
      </colorScale>
    </cfRule>
  </conditionalFormatting>
  <conditionalFormatting sqref="R9">
    <cfRule type="colorScale" priority="1152">
      <colorScale>
        <cfvo type="num" val="1"/>
        <cfvo type="num" val="2"/>
        <cfvo type="num" val="3"/>
        <color rgb="FFF8696B"/>
        <color rgb="FFFFEB84"/>
        <color rgb="FF63BE7B"/>
      </colorScale>
    </cfRule>
    <cfRule type="colorScale" priority="1153">
      <colorScale>
        <cfvo type="num" val="1"/>
        <cfvo type="num" val="2"/>
        <cfvo type="num" val="3"/>
        <color rgb="FFF8696B"/>
        <color rgb="FFFFEB84"/>
        <color rgb="FF63BE7B"/>
      </colorScale>
    </cfRule>
  </conditionalFormatting>
  <conditionalFormatting sqref="R11">
    <cfRule type="colorScale" priority="739">
      <colorScale>
        <cfvo type="num" val="1"/>
        <cfvo type="num" val="2"/>
        <cfvo type="num" val="3"/>
        <color rgb="FFF8696B"/>
        <color rgb="FFFFEB84"/>
        <color rgb="FF63BE7B"/>
      </colorScale>
    </cfRule>
    <cfRule type="colorScale" priority="740">
      <colorScale>
        <cfvo type="num" val="1"/>
        <cfvo type="num" val="2"/>
        <cfvo type="num" val="3"/>
        <color rgb="FFF8696B"/>
        <color rgb="FFFFEB84"/>
        <color rgb="FF63BE7B"/>
      </colorScale>
    </cfRule>
  </conditionalFormatting>
  <conditionalFormatting sqref="R13">
    <cfRule type="colorScale" priority="451">
      <colorScale>
        <cfvo type="min" val="0"/>
        <cfvo type="percentile" val="50"/>
        <cfvo type="max" val="0"/>
        <color rgb="FFF8696B"/>
        <color rgb="FFFFEB84"/>
        <color rgb="FF63BE7B"/>
      </colorScale>
    </cfRule>
    <cfRule type="colorScale" priority="452">
      <colorScale>
        <cfvo type="num" val="1"/>
        <cfvo type="num" val="2"/>
        <cfvo type="num" val="3"/>
        <color rgb="FFF8696B"/>
        <color rgb="FFFFEB84"/>
        <color rgb="FF63BE7B"/>
      </colorScale>
    </cfRule>
    <cfRule type="colorScale" priority="453">
      <colorScale>
        <cfvo type="num" val="1"/>
        <cfvo type="num" val="2"/>
        <cfvo type="num" val="3"/>
        <color rgb="FFF8696B"/>
        <color rgb="FFFFEB84"/>
        <color rgb="FF63BE7B"/>
      </colorScale>
    </cfRule>
    <cfRule type="colorScale" priority="454">
      <colorScale>
        <cfvo type="num" val="1"/>
        <cfvo type="num" val="2"/>
        <cfvo type="num" val="3"/>
        <color rgb="FFF8696B"/>
        <color rgb="FFFFEB84"/>
        <color rgb="FF63BE7B"/>
      </colorScale>
    </cfRule>
    <cfRule type="colorScale" priority="455">
      <colorScale>
        <cfvo type="num" val="1"/>
        <cfvo type="num" val="2"/>
        <cfvo type="num" val="3"/>
        <color rgb="FFF8696B"/>
        <color rgb="FFFFEB84"/>
        <color rgb="FF63BE7B"/>
      </colorScale>
    </cfRule>
    <cfRule type="colorScale" priority="456">
      <colorScale>
        <cfvo type="num" val="1"/>
        <cfvo type="num" val="2"/>
        <cfvo type="num" val="3"/>
        <color rgb="FFF8696B"/>
        <color rgb="FFFFEB84"/>
        <color rgb="FF63BE7B"/>
      </colorScale>
    </cfRule>
    <cfRule type="colorScale" priority="457">
      <colorScale>
        <cfvo type="num" val="1"/>
        <cfvo type="num" val="2"/>
        <cfvo type="num" val="3"/>
        <color rgb="FFF8696B"/>
        <color rgb="FFFFEB84"/>
        <color rgb="FF63BE7B"/>
      </colorScale>
    </cfRule>
  </conditionalFormatting>
  <conditionalFormatting sqref="R15">
    <cfRule type="colorScale" priority="889">
      <colorScale>
        <cfvo type="num" val="1"/>
        <cfvo type="num" val="2"/>
        <cfvo type="num" val="3"/>
        <color rgb="FFF8696B"/>
        <color rgb="FFFFEB84"/>
        <color rgb="FF63BE7B"/>
      </colorScale>
    </cfRule>
    <cfRule type="colorScale" priority="890">
      <colorScale>
        <cfvo type="num" val="1"/>
        <cfvo type="num" val="2"/>
        <cfvo type="num" val="3"/>
        <color rgb="FFF8696B"/>
        <color rgb="FFFFEB84"/>
        <color rgb="FF63BE7B"/>
      </colorScale>
    </cfRule>
    <cfRule type="colorScale" priority="892">
      <colorScale>
        <cfvo type="num" val="1"/>
        <cfvo type="num" val="2"/>
        <cfvo type="num" val="3"/>
        <color rgb="FFF8696B"/>
        <color rgb="FFFFEB84"/>
        <color rgb="FF63BE7B"/>
      </colorScale>
    </cfRule>
    <cfRule type="colorScale" priority="942">
      <colorScale>
        <cfvo type="num" val="1"/>
        <cfvo type="num" val="2"/>
        <cfvo type="num" val="3"/>
        <color rgb="FFF8696B"/>
        <color rgb="FFFFEB84"/>
        <color rgb="FF63BE7B"/>
      </colorScale>
    </cfRule>
    <cfRule type="colorScale" priority="957">
      <colorScale>
        <cfvo type="num" val="1"/>
        <cfvo type="num" val="2"/>
        <cfvo type="num" val="3"/>
        <color rgb="FFF8696B"/>
        <color rgb="FFFFEB84"/>
        <color rgb="FF63BE7B"/>
      </colorScale>
    </cfRule>
  </conditionalFormatting>
  <conditionalFormatting sqref="R13:S13">
    <cfRule type="cellIs" dxfId="3226" priority="390" operator="equal">
      <formula>5</formula>
    </cfRule>
    <cfRule type="cellIs" dxfId="3225" priority="391" operator="equal">
      <formula>4</formula>
    </cfRule>
    <cfRule type="cellIs" dxfId="3224" priority="392" operator="equal">
      <formula>1</formula>
    </cfRule>
    <cfRule type="cellIs" dxfId="3223" priority="393" operator="equal">
      <formula>3</formula>
    </cfRule>
    <cfRule type="cellIs" dxfId="3222" priority="394" operator="equal">
      <formula>2</formula>
    </cfRule>
  </conditionalFormatting>
  <conditionalFormatting sqref="R5:V5">
    <cfRule type="colorScale" priority="844">
      <colorScale>
        <cfvo type="num" val="1"/>
        <cfvo type="num" val="2"/>
        <cfvo type="num" val="3"/>
        <color rgb="FFF8696B"/>
        <color rgb="FFFFEB84"/>
        <color rgb="FF63BE7B"/>
      </colorScale>
    </cfRule>
  </conditionalFormatting>
  <conditionalFormatting sqref="S5">
    <cfRule type="colorScale" priority="845">
      <colorScale>
        <cfvo type="num" val="1"/>
        <cfvo type="num" val="2"/>
        <cfvo type="num" val="3"/>
        <color rgb="FFF8696B"/>
        <color rgb="FFFFEB84"/>
        <color rgb="FF63BE7B"/>
      </colorScale>
    </cfRule>
    <cfRule type="colorScale" priority="1333">
      <colorScale>
        <cfvo type="num" val="1"/>
        <cfvo type="num" val="2"/>
        <cfvo type="num" val="3"/>
        <color rgb="FFF8696B"/>
        <color rgb="FFFFEB84"/>
        <color rgb="FF63BE7B"/>
      </colorScale>
    </cfRule>
    <cfRule type="colorScale" priority="1335">
      <colorScale>
        <cfvo type="num" val="1"/>
        <cfvo type="num" val="2"/>
        <cfvo type="num" val="3"/>
        <color rgb="FFF8696B"/>
        <color rgb="FFFFEB84"/>
        <color rgb="FF63BE7B"/>
      </colorScale>
    </cfRule>
    <cfRule type="colorScale" priority="1337">
      <colorScale>
        <cfvo type="num" val="1"/>
        <cfvo type="num" val="2"/>
        <cfvo type="num" val="3"/>
        <color rgb="FFF8696B"/>
        <color rgb="FFFFEB84"/>
        <color rgb="FF63BE7B"/>
      </colorScale>
    </cfRule>
    <cfRule type="colorScale" priority="1361">
      <colorScale>
        <cfvo type="num" val="1"/>
        <cfvo type="num" val="2"/>
        <cfvo type="num" val="3"/>
        <color rgb="FFF8696B"/>
        <color rgb="FFFFEB84"/>
        <color rgb="FF63BE7B"/>
      </colorScale>
    </cfRule>
  </conditionalFormatting>
  <conditionalFormatting sqref="S7">
    <cfRule type="colorScale" priority="1184">
      <colorScale>
        <cfvo type="num" val="1"/>
        <cfvo type="num" val="2"/>
        <cfvo type="num" val="3"/>
        <color rgb="FFF8696B"/>
        <color rgb="FFFFEB84"/>
        <color rgb="FF63BE7B"/>
      </colorScale>
    </cfRule>
    <cfRule type="colorScale" priority="1187">
      <colorScale>
        <cfvo type="num" val="1"/>
        <cfvo type="num" val="2"/>
        <cfvo type="num" val="3"/>
        <color rgb="FFF8696B"/>
        <color rgb="FFFFEB84"/>
        <color rgb="FF63BE7B"/>
      </colorScale>
    </cfRule>
  </conditionalFormatting>
  <conditionalFormatting sqref="S9 G9 Y9 M11 AE9">
    <cfRule type="colorScale" priority="1231">
      <colorScale>
        <cfvo type="num" val="1"/>
        <cfvo type="num" val="2"/>
        <cfvo type="num" val="3"/>
        <color rgb="FFF8696B"/>
        <color rgb="FFFFEB84"/>
        <color rgb="FF63BE7B"/>
      </colorScale>
    </cfRule>
  </conditionalFormatting>
  <conditionalFormatting sqref="S9 G9 Y9 AE9">
    <cfRule type="colorScale" priority="1230">
      <colorScale>
        <cfvo type="num" val="1"/>
        <cfvo type="num" val="2"/>
        <cfvo type="num" val="3"/>
        <color rgb="FFF8696B"/>
        <color rgb="FFFFEB84"/>
        <color rgb="FF63BE7B"/>
      </colorScale>
    </cfRule>
  </conditionalFormatting>
  <conditionalFormatting sqref="S9">
    <cfRule type="colorScale" priority="1140">
      <colorScale>
        <cfvo type="num" val="1"/>
        <cfvo type="num" val="2"/>
        <cfvo type="num" val="3"/>
        <color rgb="FFF8696B"/>
        <color rgb="FFFFEB84"/>
        <color rgb="FF63BE7B"/>
      </colorScale>
    </cfRule>
    <cfRule type="colorScale" priority="1141">
      <colorScale>
        <cfvo type="num" val="1"/>
        <cfvo type="num" val="2"/>
        <cfvo type="num" val="3"/>
        <color rgb="FFF8696B"/>
        <color rgb="FFFFEB84"/>
        <color rgb="FF63BE7B"/>
      </colorScale>
    </cfRule>
    <cfRule type="colorScale" priority="1142">
      <colorScale>
        <cfvo type="num" val="1"/>
        <cfvo type="num" val="2"/>
        <cfvo type="num" val="3"/>
        <color rgb="FFF8696B"/>
        <color rgb="FFFFEB84"/>
        <color rgb="FF63BE7B"/>
      </colorScale>
    </cfRule>
    <cfRule type="colorScale" priority="1143">
      <colorScale>
        <cfvo type="num" val="1"/>
        <cfvo type="num" val="2"/>
        <cfvo type="num" val="3"/>
        <color rgb="FFF8696B"/>
        <color rgb="FFFFEB84"/>
        <color rgb="FF63BE7B"/>
      </colorScale>
    </cfRule>
    <cfRule type="colorScale" priority="1144">
      <colorScale>
        <cfvo type="num" val="1"/>
        <cfvo type="num" val="2"/>
        <cfvo type="num" val="3"/>
        <color rgb="FFF8696B"/>
        <color rgb="FFFFEB84"/>
        <color rgb="FF63BE7B"/>
      </colorScale>
    </cfRule>
    <cfRule type="colorScale" priority="1145">
      <colorScale>
        <cfvo type="num" val="1"/>
        <cfvo type="num" val="2"/>
        <cfvo type="num" val="3"/>
        <color rgb="FFF8696B"/>
        <color rgb="FFFFEB84"/>
        <color rgb="FF63BE7B"/>
      </colorScale>
    </cfRule>
    <cfRule type="colorScale" priority="1146">
      <colorScale>
        <cfvo type="num" val="1"/>
        <cfvo type="num" val="2"/>
        <cfvo type="num" val="3"/>
        <color rgb="FFF8696B"/>
        <color rgb="FFFFEB84"/>
        <color rgb="FF63BE7B"/>
      </colorScale>
    </cfRule>
    <cfRule type="colorScale" priority="1147">
      <colorScale>
        <cfvo type="num" val="1"/>
        <cfvo type="num" val="2"/>
        <cfvo type="num" val="3"/>
        <color rgb="FFF8696B"/>
        <color rgb="FFFFEB84"/>
        <color rgb="FF63BE7B"/>
      </colorScale>
    </cfRule>
    <cfRule type="colorScale" priority="1148">
      <colorScale>
        <cfvo type="num" val="1"/>
        <cfvo type="num" val="2"/>
        <cfvo type="num" val="3"/>
        <color rgb="FFF8696B"/>
        <color rgb="FFFFEB84"/>
        <color rgb="FF63BE7B"/>
      </colorScale>
    </cfRule>
    <cfRule type="colorScale" priority="1149">
      <colorScale>
        <cfvo type="num" val="1"/>
        <cfvo type="num" val="2"/>
        <cfvo type="num" val="3"/>
        <color rgb="FFF8696B"/>
        <color rgb="FFFFEB84"/>
        <color rgb="FF63BE7B"/>
      </colorScale>
    </cfRule>
    <cfRule type="colorScale" priority="1150">
      <colorScale>
        <cfvo type="num" val="1"/>
        <cfvo type="num" val="2"/>
        <cfvo type="num" val="3"/>
        <color rgb="FFF8696B"/>
        <color rgb="FFFFEB84"/>
        <color rgb="FF63BE7B"/>
      </colorScale>
    </cfRule>
    <cfRule type="colorScale" priority="1151">
      <colorScale>
        <cfvo type="num" val="1"/>
        <cfvo type="num" val="2"/>
        <cfvo type="num" val="3"/>
        <color rgb="FFF8696B"/>
        <color rgb="FFFFEB84"/>
        <color rgb="FF63BE7B"/>
      </colorScale>
    </cfRule>
  </conditionalFormatting>
  <conditionalFormatting sqref="S11">
    <cfRule type="cellIs" dxfId="3221" priority="434" operator="equal">
      <formula>5</formula>
    </cfRule>
    <cfRule type="cellIs" dxfId="3220" priority="435" operator="equal">
      <formula>4</formula>
    </cfRule>
    <cfRule type="cellIs" dxfId="3219" priority="436" operator="equal">
      <formula>1</formula>
    </cfRule>
    <cfRule type="cellIs" dxfId="3218" priority="437" operator="equal">
      <formula>3</formula>
    </cfRule>
    <cfRule type="cellIs" dxfId="3217" priority="438" operator="equal">
      <formula>2</formula>
    </cfRule>
    <cfRule type="colorScale" priority="439">
      <colorScale>
        <cfvo type="min" val="0"/>
        <cfvo type="percentile" val="50"/>
        <cfvo type="max" val="0"/>
        <color rgb="FFF8696B"/>
        <color rgb="FFFFEB84"/>
        <color rgb="FF63BE7B"/>
      </colorScale>
    </cfRule>
    <cfRule type="colorScale" priority="440">
      <colorScale>
        <cfvo type="num" val="1"/>
        <cfvo type="num" val="2"/>
        <cfvo type="num" val="3"/>
        <color rgb="FFF8696B"/>
        <color rgb="FFFFEB84"/>
        <color rgb="FF63BE7B"/>
      </colorScale>
    </cfRule>
    <cfRule type="colorScale" priority="441">
      <colorScale>
        <cfvo type="num" val="1"/>
        <cfvo type="num" val="2"/>
        <cfvo type="num" val="3"/>
        <color rgb="FFF8696B"/>
        <color rgb="FFFFEB84"/>
        <color rgb="FF63BE7B"/>
      </colorScale>
    </cfRule>
    <cfRule type="colorScale" priority="442">
      <colorScale>
        <cfvo type="num" val="1"/>
        <cfvo type="num" val="2"/>
        <cfvo type="num" val="3"/>
        <color rgb="FFF8696B"/>
        <color rgb="FFFFEB84"/>
        <color rgb="FF63BE7B"/>
      </colorScale>
    </cfRule>
    <cfRule type="colorScale" priority="443">
      <colorScale>
        <cfvo type="num" val="1"/>
        <cfvo type="num" val="2"/>
        <cfvo type="num" val="3"/>
        <color rgb="FFF8696B"/>
        <color rgb="FFFFEB84"/>
        <color rgb="FF63BE7B"/>
      </colorScale>
    </cfRule>
    <cfRule type="colorScale" priority="444">
      <colorScale>
        <cfvo type="num" val="1"/>
        <cfvo type="num" val="2"/>
        <cfvo type="num" val="3"/>
        <color rgb="FFF8696B"/>
        <color rgb="FFFFEB84"/>
        <color rgb="FF63BE7B"/>
      </colorScale>
    </cfRule>
    <cfRule type="colorScale" priority="445">
      <colorScale>
        <cfvo type="num" val="1"/>
        <cfvo type="num" val="2"/>
        <cfvo type="num" val="3"/>
        <color rgb="FFF8696B"/>
        <color rgb="FFFFEB84"/>
        <color rgb="FF63BE7B"/>
      </colorScale>
    </cfRule>
  </conditionalFormatting>
  <conditionalFormatting sqref="S13">
    <cfRule type="colorScale" priority="395">
      <colorScale>
        <cfvo type="min" val="0"/>
        <cfvo type="percentile" val="50"/>
        <cfvo type="max" val="0"/>
        <color rgb="FFF8696B"/>
        <color rgb="FFFFEB84"/>
        <color rgb="FF63BE7B"/>
      </colorScale>
    </cfRule>
    <cfRule type="colorScale" priority="396">
      <colorScale>
        <cfvo type="num" val="1"/>
        <cfvo type="num" val="2"/>
        <cfvo type="num" val="3"/>
        <color rgb="FFF8696B"/>
        <color rgb="FFFFEB84"/>
        <color rgb="FF63BE7B"/>
      </colorScale>
    </cfRule>
    <cfRule type="colorScale" priority="397">
      <colorScale>
        <cfvo type="num" val="1"/>
        <cfvo type="num" val="2"/>
        <cfvo type="num" val="3"/>
        <color rgb="FFF8696B"/>
        <color rgb="FFFFEB84"/>
        <color rgb="FF63BE7B"/>
      </colorScale>
    </cfRule>
  </conditionalFormatting>
  <conditionalFormatting sqref="S15">
    <cfRule type="colorScale" priority="886">
      <colorScale>
        <cfvo type="num" val="1"/>
        <cfvo type="num" val="2"/>
        <cfvo type="num" val="3"/>
        <color rgb="FFF8696B"/>
        <color rgb="FFFFEB84"/>
        <color rgb="FF63BE7B"/>
      </colorScale>
    </cfRule>
    <cfRule type="colorScale" priority="887">
      <colorScale>
        <cfvo type="num" val="1"/>
        <cfvo type="num" val="2"/>
        <cfvo type="num" val="3"/>
        <color rgb="FFF8696B"/>
        <color rgb="FFFFEB84"/>
        <color rgb="FF63BE7B"/>
      </colorScale>
    </cfRule>
  </conditionalFormatting>
  <conditionalFormatting sqref="T5">
    <cfRule type="colorScale" priority="1243">
      <colorScale>
        <cfvo type="num" val="1"/>
        <cfvo type="num" val="2"/>
        <cfvo type="num" val="3"/>
        <color rgb="FFF8696B"/>
        <color rgb="FFFFEB84"/>
        <color rgb="FF63BE7B"/>
      </colorScale>
    </cfRule>
    <cfRule type="colorScale" priority="1266">
      <colorScale>
        <cfvo type="num" val="1"/>
        <cfvo type="num" val="2"/>
        <cfvo type="num" val="3"/>
        <color rgb="FFF8696B"/>
        <color rgb="FFFFEB84"/>
        <color rgb="FF63BE7B"/>
      </colorScale>
    </cfRule>
    <cfRule type="colorScale" priority="1268">
      <colorScale>
        <cfvo type="num" val="1"/>
        <cfvo type="num" val="2"/>
        <cfvo type="num" val="3"/>
        <color rgb="FFF8696B"/>
        <color rgb="FFFFEB84"/>
        <color rgb="FF63BE7B"/>
      </colorScale>
    </cfRule>
    <cfRule type="colorScale" priority="1319">
      <colorScale>
        <cfvo type="num" val="1"/>
        <cfvo type="num" val="2"/>
        <cfvo type="num" val="3"/>
        <color rgb="FFF8696B"/>
        <color rgb="FFFFEB84"/>
        <color rgb="FF63BE7B"/>
      </colorScale>
    </cfRule>
    <cfRule type="colorScale" priority="1321">
      <colorScale>
        <cfvo type="num" val="1"/>
        <cfvo type="num" val="2"/>
        <cfvo type="num" val="3"/>
        <color rgb="FFF8696B"/>
        <color rgb="FFFFEB84"/>
        <color rgb="FF63BE7B"/>
      </colorScale>
    </cfRule>
    <cfRule type="colorScale" priority="1334">
      <colorScale>
        <cfvo type="num" val="1"/>
        <cfvo type="num" val="2"/>
        <cfvo type="num" val="3"/>
        <color rgb="FFF8696B"/>
        <color rgb="FFFFEB84"/>
        <color rgb="FF63BE7B"/>
      </colorScale>
    </cfRule>
    <cfRule type="colorScale" priority="1412">
      <colorScale>
        <cfvo type="num" val="1"/>
        <cfvo type="num" val="2"/>
        <cfvo type="num" val="3"/>
        <color rgb="FFF8696B"/>
        <color rgb="FFFFEB84"/>
        <color rgb="FF63BE7B"/>
      </colorScale>
    </cfRule>
  </conditionalFormatting>
  <conditionalFormatting sqref="T7">
    <cfRule type="colorScale" priority="1185">
      <colorScale>
        <cfvo type="num" val="1"/>
        <cfvo type="num" val="2"/>
        <cfvo type="num" val="3"/>
        <color rgb="FFF8696B"/>
        <color rgb="FFFFEB84"/>
        <color rgb="FF63BE7B"/>
      </colorScale>
    </cfRule>
    <cfRule type="colorScale" priority="1186">
      <colorScale>
        <cfvo type="num" val="1"/>
        <cfvo type="num" val="2"/>
        <cfvo type="num" val="3"/>
        <color rgb="FFF8696B"/>
        <color rgb="FFFFEB84"/>
        <color rgb="FF63BE7B"/>
      </colorScale>
    </cfRule>
    <cfRule type="colorScale" priority="1188">
      <colorScale>
        <cfvo type="num" val="1"/>
        <cfvo type="num" val="2"/>
        <cfvo type="num" val="3"/>
        <color rgb="FFF8696B"/>
        <color rgb="FFFFEB84"/>
        <color rgb="FF63BE7B"/>
      </colorScale>
    </cfRule>
  </conditionalFormatting>
  <conditionalFormatting sqref="T9 V9">
    <cfRule type="colorScale" priority="1139">
      <colorScale>
        <cfvo type="num" val="1"/>
        <cfvo type="num" val="2"/>
        <cfvo type="num" val="3"/>
        <color rgb="FFF8696B"/>
        <color rgb="FFFFEB84"/>
        <color rgb="FF63BE7B"/>
      </colorScale>
    </cfRule>
  </conditionalFormatting>
  <conditionalFormatting sqref="T9">
    <cfRule type="colorScale" priority="1135">
      <colorScale>
        <cfvo type="num" val="1"/>
        <cfvo type="num" val="2"/>
        <cfvo type="num" val="3"/>
        <color rgb="FFF8696B"/>
        <color rgb="FFFFEB84"/>
        <color rgb="FF63BE7B"/>
      </colorScale>
    </cfRule>
    <cfRule type="colorScale" priority="1136">
      <colorScale>
        <cfvo type="num" val="1"/>
        <cfvo type="num" val="2"/>
        <cfvo type="num" val="3"/>
        <color rgb="FFF8696B"/>
        <color rgb="FFFFEB84"/>
        <color rgb="FF63BE7B"/>
      </colorScale>
    </cfRule>
    <cfRule type="colorScale" priority="1138">
      <colorScale>
        <cfvo type="num" val="1"/>
        <cfvo type="num" val="2"/>
        <cfvo type="num" val="3"/>
        <color rgb="FFF8696B"/>
        <color rgb="FFFFEB84"/>
        <color rgb="FF63BE7B"/>
      </colorScale>
    </cfRule>
  </conditionalFormatting>
  <conditionalFormatting sqref="T11">
    <cfRule type="colorScale" priority="1075">
      <colorScale>
        <cfvo type="num" val="1"/>
        <cfvo type="num" val="2"/>
        <cfvo type="num" val="3"/>
        <color rgb="FFF8696B"/>
        <color rgb="FFFFEB84"/>
        <color rgb="FF63BE7B"/>
      </colorScale>
    </cfRule>
    <cfRule type="colorScale" priority="1076">
      <colorScale>
        <cfvo type="num" val="1"/>
        <cfvo type="num" val="2"/>
        <cfvo type="num" val="3"/>
        <color rgb="FFF8696B"/>
        <color rgb="FFFFEB84"/>
        <color rgb="FF63BE7B"/>
      </colorScale>
    </cfRule>
    <cfRule type="colorScale" priority="1077">
      <colorScale>
        <cfvo type="num" val="1"/>
        <cfvo type="num" val="2"/>
        <cfvo type="num" val="3"/>
        <color rgb="FFF8696B"/>
        <color rgb="FFFFEB84"/>
        <color rgb="FF63BE7B"/>
      </colorScale>
    </cfRule>
    <cfRule type="colorScale" priority="1078">
      <colorScale>
        <cfvo type="num" val="1"/>
        <cfvo type="num" val="2"/>
        <cfvo type="num" val="3"/>
        <color rgb="FFF8696B"/>
        <color rgb="FFFFEB84"/>
        <color rgb="FF63BE7B"/>
      </colorScale>
    </cfRule>
  </conditionalFormatting>
  <conditionalFormatting sqref="T13">
    <cfRule type="colorScale" priority="1026">
      <colorScale>
        <cfvo type="num" val="1"/>
        <cfvo type="num" val="2"/>
        <cfvo type="num" val="3"/>
        <color rgb="FFF8696B"/>
        <color rgb="FFFFEB84"/>
        <color rgb="FF63BE7B"/>
      </colorScale>
    </cfRule>
    <cfRule type="colorScale" priority="1027">
      <colorScale>
        <cfvo type="num" val="1"/>
        <cfvo type="num" val="2"/>
        <cfvo type="num" val="3"/>
        <color rgb="FFF8696B"/>
        <color rgb="FFFFEB84"/>
        <color rgb="FF63BE7B"/>
      </colorScale>
    </cfRule>
    <cfRule type="colorScale" priority="1028">
      <colorScale>
        <cfvo type="num" val="1"/>
        <cfvo type="num" val="2"/>
        <cfvo type="num" val="3"/>
        <color rgb="FFF8696B"/>
        <color rgb="FFFFEB84"/>
        <color rgb="FF63BE7B"/>
      </colorScale>
    </cfRule>
  </conditionalFormatting>
  <conditionalFormatting sqref="T15">
    <cfRule type="colorScale" priority="515">
      <colorScale>
        <cfvo type="min" val="0"/>
        <cfvo type="percentile" val="50"/>
        <cfvo type="max" val="0"/>
        <color rgb="FFF8696B"/>
        <color rgb="FFFFEB84"/>
        <color rgb="FF63BE7B"/>
      </colorScale>
    </cfRule>
    <cfRule type="colorScale" priority="516">
      <colorScale>
        <cfvo type="num" val="1"/>
        <cfvo type="num" val="2"/>
        <cfvo type="num" val="3"/>
        <color rgb="FFF8696B"/>
        <color rgb="FFFFEB84"/>
        <color rgb="FF63BE7B"/>
      </colorScale>
    </cfRule>
    <cfRule type="colorScale" priority="517">
      <colorScale>
        <cfvo type="num" val="1"/>
        <cfvo type="num" val="2"/>
        <cfvo type="num" val="3"/>
        <color rgb="FFF8696B"/>
        <color rgb="FFFFEB84"/>
        <color rgb="FF63BE7B"/>
      </colorScale>
    </cfRule>
    <cfRule type="colorScale" priority="518">
      <colorScale>
        <cfvo type="num" val="1"/>
        <cfvo type="num" val="2"/>
        <cfvo type="num" val="3"/>
        <color rgb="FFF8696B"/>
        <color rgb="FFFFEB84"/>
        <color rgb="FF63BE7B"/>
      </colorScale>
    </cfRule>
    <cfRule type="colorScale" priority="519">
      <colorScale>
        <cfvo type="num" val="1"/>
        <cfvo type="num" val="2"/>
        <cfvo type="num" val="3"/>
        <color rgb="FFF8696B"/>
        <color rgb="FFFFEB84"/>
        <color rgb="FF63BE7B"/>
      </colorScale>
    </cfRule>
    <cfRule type="colorScale" priority="520">
      <colorScale>
        <cfvo type="num" val="1"/>
        <cfvo type="num" val="2"/>
        <cfvo type="num" val="3"/>
        <color rgb="FFF8696B"/>
        <color rgb="FFFFEB84"/>
        <color rgb="FF63BE7B"/>
      </colorScale>
    </cfRule>
    <cfRule type="colorScale" priority="521">
      <colorScale>
        <cfvo type="num" val="1"/>
        <cfvo type="num" val="2"/>
        <cfvo type="num" val="3"/>
        <color rgb="FFF8696B"/>
        <color rgb="FFFFEB84"/>
        <color rgb="FF63BE7B"/>
      </colorScale>
    </cfRule>
  </conditionalFormatting>
  <conditionalFormatting sqref="T5:U5">
    <cfRule type="colorScale" priority="1318">
      <colorScale>
        <cfvo type="num" val="1"/>
        <cfvo type="num" val="2"/>
        <cfvo type="num" val="3"/>
        <color rgb="FFF8696B"/>
        <color rgb="FFFFEB84"/>
        <color rgb="FF63BE7B"/>
      </colorScale>
    </cfRule>
  </conditionalFormatting>
  <conditionalFormatting sqref="T15:U15">
    <cfRule type="cellIs" dxfId="3216" priority="262" operator="equal">
      <formula>5</formula>
    </cfRule>
    <cfRule type="cellIs" dxfId="3215" priority="263" operator="equal">
      <formula>4</formula>
    </cfRule>
    <cfRule type="cellIs" dxfId="3214" priority="264" operator="equal">
      <formula>1</formula>
    </cfRule>
    <cfRule type="cellIs" dxfId="3213" priority="265" operator="equal">
      <formula>3</formula>
    </cfRule>
    <cfRule type="cellIs" dxfId="3212" priority="266" operator="equal">
      <formula>2</formula>
    </cfRule>
  </conditionalFormatting>
  <conditionalFormatting sqref="U5">
    <cfRule type="colorScale" priority="832">
      <colorScale>
        <cfvo type="num" val="1"/>
        <cfvo type="num" val="2"/>
        <cfvo type="num" val="3"/>
        <color rgb="FFF8696B"/>
        <color rgb="FFFFEB84"/>
        <color rgb="FF63BE7B"/>
      </colorScale>
    </cfRule>
    <cfRule type="colorScale" priority="840">
      <colorScale>
        <cfvo type="num" val="1"/>
        <cfvo type="num" val="2"/>
        <cfvo type="num" val="3"/>
        <color rgb="FFF8696B"/>
        <color rgb="FFFFEB84"/>
        <color rgb="FF63BE7B"/>
      </colorScale>
    </cfRule>
    <cfRule type="colorScale" priority="842">
      <colorScale>
        <cfvo type="num" val="1"/>
        <cfvo type="num" val="2"/>
        <cfvo type="num" val="3"/>
        <color rgb="FFF8696B"/>
        <color rgb="FFFFEB84"/>
        <color rgb="FF63BE7B"/>
      </colorScale>
    </cfRule>
    <cfRule type="colorScale" priority="846">
      <colorScale>
        <cfvo type="num" val="1"/>
        <cfvo type="num" val="2"/>
        <cfvo type="num" val="3"/>
        <color rgb="FFF8696B"/>
        <color rgb="FFFFEB84"/>
        <color rgb="FF63BE7B"/>
      </colorScale>
    </cfRule>
    <cfRule type="colorScale" priority="847">
      <colorScale>
        <cfvo type="num" val="1"/>
        <cfvo type="num" val="2"/>
        <cfvo type="num" val="3"/>
        <color rgb="FFF8696B"/>
        <color rgb="FFFFEB84"/>
        <color rgb="FF63BE7B"/>
      </colorScale>
    </cfRule>
    <cfRule type="colorScale" priority="981">
      <colorScale>
        <cfvo type="num" val="1"/>
        <cfvo type="num" val="2"/>
        <cfvo type="num" val="3"/>
        <color rgb="FFF8696B"/>
        <color rgb="FFFFEB84"/>
        <color rgb="FF63BE7B"/>
      </colorScale>
    </cfRule>
    <cfRule type="colorScale" priority="989">
      <colorScale>
        <cfvo type="num" val="1"/>
        <cfvo type="num" val="2"/>
        <cfvo type="num" val="3"/>
        <color rgb="FFF8696B"/>
        <color rgb="FFFFEB84"/>
        <color rgb="FF63BE7B"/>
      </colorScale>
    </cfRule>
    <cfRule type="colorScale" priority="991">
      <colorScale>
        <cfvo type="num" val="1"/>
        <cfvo type="num" val="2"/>
        <cfvo type="num" val="3"/>
        <color rgb="FFF8696B"/>
        <color rgb="FFFFEB84"/>
        <color rgb="FF63BE7B"/>
      </colorScale>
    </cfRule>
    <cfRule type="colorScale" priority="993">
      <colorScale>
        <cfvo type="num" val="1"/>
        <cfvo type="num" val="2"/>
        <cfvo type="num" val="3"/>
        <color rgb="FFF8696B"/>
        <color rgb="FFFFEB84"/>
        <color rgb="FF63BE7B"/>
      </colorScale>
    </cfRule>
    <cfRule type="colorScale" priority="994">
      <colorScale>
        <cfvo type="num" val="1"/>
        <cfvo type="num" val="2"/>
        <cfvo type="num" val="3"/>
        <color rgb="FFF8696B"/>
        <color rgb="FFFFEB84"/>
        <color rgb="FF63BE7B"/>
      </colorScale>
    </cfRule>
    <cfRule type="colorScale" priority="1244">
      <colorScale>
        <cfvo type="num" val="1"/>
        <cfvo type="num" val="2"/>
        <cfvo type="num" val="3"/>
        <color rgb="FFF8696B"/>
        <color rgb="FFFFEB84"/>
        <color rgb="FF63BE7B"/>
      </colorScale>
    </cfRule>
    <cfRule type="colorScale" priority="1267">
      <colorScale>
        <cfvo type="num" val="1"/>
        <cfvo type="num" val="2"/>
        <cfvo type="num" val="3"/>
        <color rgb="FFF8696B"/>
        <color rgb="FFFFEB84"/>
        <color rgb="FF63BE7B"/>
      </colorScale>
    </cfRule>
    <cfRule type="colorScale" priority="1320">
      <colorScale>
        <cfvo type="num" val="1"/>
        <cfvo type="num" val="2"/>
        <cfvo type="num" val="3"/>
        <color rgb="FFF8696B"/>
        <color rgb="FFFFEB84"/>
        <color rgb="FF63BE7B"/>
      </colorScale>
    </cfRule>
    <cfRule type="colorScale" priority="1384">
      <colorScale>
        <cfvo type="num" val="1"/>
        <cfvo type="num" val="2"/>
        <cfvo type="num" val="3"/>
        <color rgb="FFF8696B"/>
        <color rgb="FFFFEB84"/>
        <color rgb="FF63BE7B"/>
      </colorScale>
    </cfRule>
    <cfRule type="colorScale" priority="1400">
      <colorScale>
        <cfvo type="num" val="1"/>
        <cfvo type="num" val="2"/>
        <cfvo type="num" val="3"/>
        <color rgb="FFF8696B"/>
        <color rgb="FFFFEB84"/>
        <color rgb="FF63BE7B"/>
      </colorScale>
    </cfRule>
  </conditionalFormatting>
  <conditionalFormatting sqref="U7">
    <cfRule type="cellIs" dxfId="3211" priority="294" operator="equal">
      <formula>5</formula>
    </cfRule>
    <cfRule type="cellIs" dxfId="3210" priority="295" operator="equal">
      <formula>4</formula>
    </cfRule>
    <cfRule type="cellIs" dxfId="3209" priority="296" operator="equal">
      <formula>1</formula>
    </cfRule>
    <cfRule type="cellIs" dxfId="3208" priority="297" operator="equal">
      <formula>3</formula>
    </cfRule>
    <cfRule type="cellIs" dxfId="3207" priority="298" operator="equal">
      <formula>2</formula>
    </cfRule>
    <cfRule type="colorScale" priority="299">
      <colorScale>
        <cfvo type="min" val="0"/>
        <cfvo type="percentile" val="50"/>
        <cfvo type="max" val="0"/>
        <color rgb="FFF8696B"/>
        <color rgb="FFFFEB84"/>
        <color rgb="FF63BE7B"/>
      </colorScale>
    </cfRule>
    <cfRule type="colorScale" priority="300">
      <colorScale>
        <cfvo type="num" val="1"/>
        <cfvo type="num" val="2"/>
        <cfvo type="num" val="3"/>
        <color rgb="FFF8696B"/>
        <color rgb="FFFFEB84"/>
        <color rgb="FF63BE7B"/>
      </colorScale>
    </cfRule>
    <cfRule type="colorScale" priority="301">
      <colorScale>
        <cfvo type="num" val="1"/>
        <cfvo type="num" val="2"/>
        <cfvo type="num" val="3"/>
        <color rgb="FFF8696B"/>
        <color rgb="FFFFEB84"/>
        <color rgb="FF63BE7B"/>
      </colorScale>
    </cfRule>
    <cfRule type="colorScale" priority="302">
      <colorScale>
        <cfvo type="num" val="1"/>
        <cfvo type="num" val="2"/>
        <cfvo type="num" val="3"/>
        <color rgb="FFF8696B"/>
        <color rgb="FFFFEB84"/>
        <color rgb="FF63BE7B"/>
      </colorScale>
    </cfRule>
    <cfRule type="colorScale" priority="303">
      <colorScale>
        <cfvo type="num" val="1"/>
        <cfvo type="num" val="2"/>
        <cfvo type="num" val="3"/>
        <color rgb="FFF8696B"/>
        <color rgb="FFFFEB84"/>
        <color rgb="FF63BE7B"/>
      </colorScale>
    </cfRule>
    <cfRule type="colorScale" priority="304">
      <colorScale>
        <cfvo type="num" val="1"/>
        <cfvo type="num" val="2"/>
        <cfvo type="num" val="3"/>
        <color rgb="FFF8696B"/>
        <color rgb="FFFFEB84"/>
        <color rgb="FF63BE7B"/>
      </colorScale>
    </cfRule>
    <cfRule type="colorScale" priority="305">
      <colorScale>
        <cfvo type="num" val="1"/>
        <cfvo type="num" val="2"/>
        <cfvo type="num" val="3"/>
        <color rgb="FFF8696B"/>
        <color rgb="FFFFEB84"/>
        <color rgb="FF63BE7B"/>
      </colorScale>
    </cfRule>
  </conditionalFormatting>
  <conditionalFormatting sqref="U9">
    <cfRule type="cellIs" dxfId="3206" priority="53" operator="equal">
      <formula>5</formula>
    </cfRule>
    <cfRule type="cellIs" dxfId="3205" priority="54" operator="equal">
      <formula>4</formula>
    </cfRule>
    <cfRule type="cellIs" dxfId="3204" priority="55" operator="equal">
      <formula>1</formula>
    </cfRule>
    <cfRule type="cellIs" dxfId="3203" priority="56" operator="equal">
      <formula>3</formula>
    </cfRule>
    <cfRule type="cellIs" dxfId="3202" priority="57" operator="equal">
      <formula>2</formula>
    </cfRule>
    <cfRule type="colorScale" priority="58">
      <colorScale>
        <cfvo type="min" val="0"/>
        <cfvo type="percentile" val="50"/>
        <cfvo type="max" val="0"/>
        <color rgb="FFF8696B"/>
        <color rgb="FFFFEB84"/>
        <color rgb="FF63BE7B"/>
      </colorScale>
    </cfRule>
    <cfRule type="colorScale" priority="59">
      <colorScale>
        <cfvo type="num" val="1"/>
        <cfvo type="num" val="2"/>
        <cfvo type="num" val="3"/>
        <color rgb="FFF8696B"/>
        <color rgb="FFFFEB84"/>
        <color rgb="FF63BE7B"/>
      </colorScale>
    </cfRule>
    <cfRule type="colorScale" priority="60">
      <colorScale>
        <cfvo type="num" val="1"/>
        <cfvo type="num" val="2"/>
        <cfvo type="num" val="3"/>
        <color rgb="FFF8696B"/>
        <color rgb="FFFFEB84"/>
        <color rgb="FF63BE7B"/>
      </colorScale>
    </cfRule>
  </conditionalFormatting>
  <conditionalFormatting sqref="U11">
    <cfRule type="colorScale" priority="311">
      <colorScale>
        <cfvo type="min" val="0"/>
        <cfvo type="percentile" val="50"/>
        <cfvo type="max" val="0"/>
        <color rgb="FFF8696B"/>
        <color rgb="FFFFEB84"/>
        <color rgb="FF63BE7B"/>
      </colorScale>
    </cfRule>
    <cfRule type="colorScale" priority="312">
      <colorScale>
        <cfvo type="num" val="1"/>
        <cfvo type="num" val="2"/>
        <cfvo type="num" val="3"/>
        <color rgb="FFF8696B"/>
        <color rgb="FFFFEB84"/>
        <color rgb="FF63BE7B"/>
      </colorScale>
    </cfRule>
    <cfRule type="colorScale" priority="313">
      <colorScale>
        <cfvo type="num" val="1"/>
        <cfvo type="num" val="2"/>
        <cfvo type="num" val="3"/>
        <color rgb="FFF8696B"/>
        <color rgb="FFFFEB84"/>
        <color rgb="FF63BE7B"/>
      </colorScale>
    </cfRule>
  </conditionalFormatting>
  <conditionalFormatting sqref="U13">
    <cfRule type="colorScale" priority="1024">
      <colorScale>
        <cfvo type="num" val="1"/>
        <cfvo type="num" val="2"/>
        <cfvo type="num" val="3"/>
        <color rgb="FFF8696B"/>
        <color rgb="FFFFEB84"/>
        <color rgb="FF63BE7B"/>
      </colorScale>
    </cfRule>
    <cfRule type="colorScale" priority="1025">
      <colorScale>
        <cfvo type="num" val="1"/>
        <cfvo type="num" val="2"/>
        <cfvo type="num" val="3"/>
        <color rgb="FFF8696B"/>
        <color rgb="FFFFEB84"/>
        <color rgb="FF63BE7B"/>
      </colorScale>
    </cfRule>
  </conditionalFormatting>
  <conditionalFormatting sqref="U15">
    <cfRule type="colorScale" priority="267">
      <colorScale>
        <cfvo type="min" val="0"/>
        <cfvo type="percentile" val="50"/>
        <cfvo type="max" val="0"/>
        <color rgb="FFF8696B"/>
        <color rgb="FFFFEB84"/>
        <color rgb="FF63BE7B"/>
      </colorScale>
    </cfRule>
    <cfRule type="colorScale" priority="268">
      <colorScale>
        <cfvo type="num" val="1"/>
        <cfvo type="num" val="2"/>
        <cfvo type="num" val="3"/>
        <color rgb="FFF8696B"/>
        <color rgb="FFFFEB84"/>
        <color rgb="FF63BE7B"/>
      </colorScale>
    </cfRule>
    <cfRule type="colorScale" priority="269">
      <colorScale>
        <cfvo type="num" val="1"/>
        <cfvo type="num" val="2"/>
        <cfvo type="num" val="3"/>
        <color rgb="FFF8696B"/>
        <color rgb="FFFFEB84"/>
        <color rgb="FF63BE7B"/>
      </colorScale>
    </cfRule>
  </conditionalFormatting>
  <conditionalFormatting sqref="U11:Y11">
    <cfRule type="cellIs" dxfId="3201" priority="21" operator="equal">
      <formula>5</formula>
    </cfRule>
    <cfRule type="cellIs" dxfId="3200" priority="22" operator="equal">
      <formula>4</formula>
    </cfRule>
    <cfRule type="cellIs" dxfId="3199" priority="23" operator="equal">
      <formula>1</formula>
    </cfRule>
    <cfRule type="cellIs" dxfId="3198" priority="24" operator="equal">
      <formula>3</formula>
    </cfRule>
    <cfRule type="cellIs" dxfId="3197" priority="25" operator="equal">
      <formula>2</formula>
    </cfRule>
  </conditionalFormatting>
  <conditionalFormatting sqref="V5">
    <cfRule type="colorScale" priority="829">
      <colorScale>
        <cfvo type="num" val="1"/>
        <cfvo type="num" val="2"/>
        <cfvo type="num" val="3"/>
        <color rgb="FFF8696B"/>
        <color rgb="FFFFEB84"/>
        <color rgb="FF63BE7B"/>
      </colorScale>
    </cfRule>
    <cfRule type="colorScale" priority="830">
      <colorScale>
        <cfvo type="num" val="1"/>
        <cfvo type="num" val="2"/>
        <cfvo type="num" val="3"/>
        <color rgb="FFF8696B"/>
        <color rgb="FFFFEB84"/>
        <color rgb="FF63BE7B"/>
      </colorScale>
    </cfRule>
    <cfRule type="colorScale" priority="831">
      <colorScale>
        <cfvo type="num" val="1"/>
        <cfvo type="num" val="2"/>
        <cfvo type="num" val="3"/>
        <color rgb="FFF8696B"/>
        <color rgb="FFFFEB84"/>
        <color rgb="FF63BE7B"/>
      </colorScale>
    </cfRule>
    <cfRule type="colorScale" priority="833">
      <colorScale>
        <cfvo type="num" val="1"/>
        <cfvo type="num" val="2"/>
        <cfvo type="num" val="3"/>
        <color rgb="FFF8696B"/>
        <color rgb="FFFFEB84"/>
        <color rgb="FF63BE7B"/>
      </colorScale>
    </cfRule>
    <cfRule type="colorScale" priority="834">
      <colorScale>
        <cfvo type="num" val="1"/>
        <cfvo type="num" val="2"/>
        <cfvo type="num" val="3"/>
        <color rgb="FFF8696B"/>
        <color rgb="FFFFEB84"/>
        <color rgb="FF63BE7B"/>
      </colorScale>
    </cfRule>
    <cfRule type="colorScale" priority="835">
      <colorScale>
        <cfvo type="num" val="1"/>
        <cfvo type="num" val="2"/>
        <cfvo type="num" val="3"/>
        <color rgb="FFF8696B"/>
        <color rgb="FFFFEB84"/>
        <color rgb="FF63BE7B"/>
      </colorScale>
    </cfRule>
    <cfRule type="colorScale" priority="836">
      <colorScale>
        <cfvo type="num" val="1"/>
        <cfvo type="num" val="2"/>
        <cfvo type="num" val="3"/>
        <color rgb="FFF8696B"/>
        <color rgb="FFFFEB84"/>
        <color rgb="FF63BE7B"/>
      </colorScale>
    </cfRule>
    <cfRule type="colorScale" priority="837">
      <colorScale>
        <cfvo type="num" val="1"/>
        <cfvo type="num" val="2"/>
        <cfvo type="num" val="3"/>
        <color rgb="FFF8696B"/>
        <color rgb="FFFFEB84"/>
        <color rgb="FF63BE7B"/>
      </colorScale>
    </cfRule>
    <cfRule type="colorScale" priority="838">
      <colorScale>
        <cfvo type="num" val="1"/>
        <cfvo type="num" val="2"/>
        <cfvo type="num" val="3"/>
        <color rgb="FFF8696B"/>
        <color rgb="FFFFEB84"/>
        <color rgb="FF63BE7B"/>
      </colorScale>
    </cfRule>
    <cfRule type="colorScale" priority="839">
      <colorScale>
        <cfvo type="num" val="1"/>
        <cfvo type="num" val="2"/>
        <cfvo type="num" val="3"/>
        <color rgb="FFF8696B"/>
        <color rgb="FFFFEB84"/>
        <color rgb="FF63BE7B"/>
      </colorScale>
    </cfRule>
    <cfRule type="colorScale" priority="841">
      <colorScale>
        <cfvo type="num" val="1"/>
        <cfvo type="num" val="2"/>
        <cfvo type="num" val="3"/>
        <color rgb="FFF8696B"/>
        <color rgb="FFFFEB84"/>
        <color rgb="FF63BE7B"/>
      </colorScale>
    </cfRule>
    <cfRule type="colorScale" priority="843">
      <colorScale>
        <cfvo type="num" val="1"/>
        <cfvo type="num" val="2"/>
        <cfvo type="num" val="3"/>
        <color rgb="FFF8696B"/>
        <color rgb="FFFFEB84"/>
        <color rgb="FF63BE7B"/>
      </colorScale>
    </cfRule>
    <cfRule type="colorScale" priority="978">
      <colorScale>
        <cfvo type="num" val="1"/>
        <cfvo type="num" val="2"/>
        <cfvo type="num" val="3"/>
        <color rgb="FFF8696B"/>
        <color rgb="FFFFEB84"/>
        <color rgb="FF63BE7B"/>
      </colorScale>
    </cfRule>
    <cfRule type="colorScale" priority="979">
      <colorScale>
        <cfvo type="num" val="1"/>
        <cfvo type="num" val="2"/>
        <cfvo type="num" val="3"/>
        <color rgb="FFF8696B"/>
        <color rgb="FFFFEB84"/>
        <color rgb="FF63BE7B"/>
      </colorScale>
    </cfRule>
    <cfRule type="colorScale" priority="980">
      <colorScale>
        <cfvo type="num" val="1"/>
        <cfvo type="num" val="2"/>
        <cfvo type="num" val="3"/>
        <color rgb="FFF8696B"/>
        <color rgb="FFFFEB84"/>
        <color rgb="FF63BE7B"/>
      </colorScale>
    </cfRule>
    <cfRule type="colorScale" priority="982">
      <colorScale>
        <cfvo type="num" val="1"/>
        <cfvo type="num" val="2"/>
        <cfvo type="num" val="3"/>
        <color rgb="FFF8696B"/>
        <color rgb="FFFFEB84"/>
        <color rgb="FF63BE7B"/>
      </colorScale>
    </cfRule>
    <cfRule type="colorScale" priority="983">
      <colorScale>
        <cfvo type="num" val="1"/>
        <cfvo type="num" val="2"/>
        <cfvo type="num" val="3"/>
        <color rgb="FFF8696B"/>
        <color rgb="FFFFEB84"/>
        <color rgb="FF63BE7B"/>
      </colorScale>
    </cfRule>
    <cfRule type="colorScale" priority="984">
      <colorScale>
        <cfvo type="num" val="1"/>
        <cfvo type="num" val="2"/>
        <cfvo type="num" val="3"/>
        <color rgb="FFF8696B"/>
        <color rgb="FFFFEB84"/>
        <color rgb="FF63BE7B"/>
      </colorScale>
    </cfRule>
    <cfRule type="colorScale" priority="985">
      <colorScale>
        <cfvo type="num" val="1"/>
        <cfvo type="num" val="2"/>
        <cfvo type="num" val="3"/>
        <color rgb="FFF8696B"/>
        <color rgb="FFFFEB84"/>
        <color rgb="FF63BE7B"/>
      </colorScale>
    </cfRule>
    <cfRule type="colorScale" priority="986">
      <colorScale>
        <cfvo type="num" val="1"/>
        <cfvo type="num" val="2"/>
        <cfvo type="num" val="3"/>
        <color rgb="FFF8696B"/>
        <color rgb="FFFFEB84"/>
        <color rgb="FF63BE7B"/>
      </colorScale>
    </cfRule>
    <cfRule type="colorScale" priority="987">
      <colorScale>
        <cfvo type="num" val="1"/>
        <cfvo type="num" val="2"/>
        <cfvo type="num" val="3"/>
        <color rgb="FFF8696B"/>
        <color rgb="FFFFEB84"/>
        <color rgb="FF63BE7B"/>
      </colorScale>
    </cfRule>
    <cfRule type="colorScale" priority="988">
      <colorScale>
        <cfvo type="num" val="1"/>
        <cfvo type="num" val="2"/>
        <cfvo type="num" val="3"/>
        <color rgb="FFF8696B"/>
        <color rgb="FFFFEB84"/>
        <color rgb="FF63BE7B"/>
      </colorScale>
    </cfRule>
    <cfRule type="colorScale" priority="990">
      <colorScale>
        <cfvo type="num" val="1"/>
        <cfvo type="num" val="2"/>
        <cfvo type="num" val="3"/>
        <color rgb="FFF8696B"/>
        <color rgb="FFFFEB84"/>
        <color rgb="FF63BE7B"/>
      </colorScale>
    </cfRule>
    <cfRule type="colorScale" priority="992">
      <colorScale>
        <cfvo type="num" val="1"/>
        <cfvo type="num" val="2"/>
        <cfvo type="num" val="3"/>
        <color rgb="FFF8696B"/>
        <color rgb="FFFFEB84"/>
        <color rgb="FF63BE7B"/>
      </colorScale>
    </cfRule>
    <cfRule type="colorScale" priority="1372">
      <colorScale>
        <cfvo type="num" val="1"/>
        <cfvo type="num" val="2"/>
        <cfvo type="num" val="3"/>
        <color rgb="FFF8696B"/>
        <color rgb="FFFFEB84"/>
        <color rgb="FF63BE7B"/>
      </colorScale>
    </cfRule>
    <cfRule type="colorScale" priority="1399">
      <colorScale>
        <cfvo type="num" val="1"/>
        <cfvo type="num" val="2"/>
        <cfvo type="num" val="3"/>
        <color rgb="FFF8696B"/>
        <color rgb="FFFFEB84"/>
        <color rgb="FF63BE7B"/>
      </colorScale>
    </cfRule>
    <cfRule type="colorScale" priority="1401">
      <colorScale>
        <cfvo type="num" val="1"/>
        <cfvo type="num" val="2"/>
        <cfvo type="num" val="3"/>
        <color rgb="FFF8696B"/>
        <color rgb="FFFFEB84"/>
        <color rgb="FF63BE7B"/>
      </colorScale>
    </cfRule>
  </conditionalFormatting>
  <conditionalFormatting sqref="V7">
    <cfRule type="colorScale" priority="1181">
      <colorScale>
        <cfvo type="num" val="1"/>
        <cfvo type="num" val="2"/>
        <cfvo type="num" val="3"/>
        <color rgb="FFF8696B"/>
        <color rgb="FFFFEB84"/>
        <color rgb="FF63BE7B"/>
      </colorScale>
    </cfRule>
    <cfRule type="colorScale" priority="1182">
      <colorScale>
        <cfvo type="num" val="1"/>
        <cfvo type="num" val="2"/>
        <cfvo type="num" val="3"/>
        <color rgb="FFF8696B"/>
        <color rgb="FFFFEB84"/>
        <color rgb="FF63BE7B"/>
      </colorScale>
    </cfRule>
    <cfRule type="colorScale" priority="1183">
      <colorScale>
        <cfvo type="num" val="1"/>
        <cfvo type="num" val="2"/>
        <cfvo type="num" val="3"/>
        <color rgb="FFF8696B"/>
        <color rgb="FFFFEB84"/>
        <color rgb="FF63BE7B"/>
      </colorScale>
    </cfRule>
  </conditionalFormatting>
  <conditionalFormatting sqref="V9">
    <cfRule type="colorScale" priority="1137">
      <colorScale>
        <cfvo type="num" val="1"/>
        <cfvo type="num" val="2"/>
        <cfvo type="num" val="3"/>
        <color rgb="FFF8696B"/>
        <color rgb="FFFFEB84"/>
        <color rgb="FF63BE7B"/>
      </colorScale>
    </cfRule>
  </conditionalFormatting>
  <conditionalFormatting sqref="V11">
    <cfRule type="colorScale" priority="98">
      <colorScale>
        <cfvo type="min" val="0"/>
        <cfvo type="percentile" val="50"/>
        <cfvo type="max" val="0"/>
        <color rgb="FFF8696B"/>
        <color rgb="FFFFEB84"/>
        <color rgb="FF63BE7B"/>
      </colorScale>
    </cfRule>
    <cfRule type="colorScale" priority="99">
      <colorScale>
        <cfvo type="num" val="1"/>
        <cfvo type="num" val="2"/>
        <cfvo type="num" val="3"/>
        <color rgb="FFF8696B"/>
        <color rgb="FFFFEB84"/>
        <color rgb="FF63BE7B"/>
      </colorScale>
    </cfRule>
    <cfRule type="colorScale" priority="100">
      <colorScale>
        <cfvo type="num" val="1"/>
        <cfvo type="num" val="2"/>
        <cfvo type="num" val="3"/>
        <color rgb="FFF8696B"/>
        <color rgb="FFFFEB84"/>
        <color rgb="FF63BE7B"/>
      </colorScale>
    </cfRule>
    <cfRule type="colorScale" priority="101">
      <colorScale>
        <cfvo type="num" val="1"/>
        <cfvo type="num" val="2"/>
        <cfvo type="num" val="3"/>
        <color rgb="FFF8696B"/>
        <color rgb="FFFFEB84"/>
        <color rgb="FF63BE7B"/>
      </colorScale>
    </cfRule>
    <cfRule type="colorScale" priority="102">
      <colorScale>
        <cfvo type="num" val="1"/>
        <cfvo type="num" val="2"/>
        <cfvo type="num" val="3"/>
        <color rgb="FFF8696B"/>
        <color rgb="FFFFEB84"/>
        <color rgb="FF63BE7B"/>
      </colorScale>
    </cfRule>
    <cfRule type="colorScale" priority="103">
      <colorScale>
        <cfvo type="num" val="1"/>
        <cfvo type="num" val="2"/>
        <cfvo type="num" val="3"/>
        <color rgb="FFF8696B"/>
        <color rgb="FFFFEB84"/>
        <color rgb="FF63BE7B"/>
      </colorScale>
    </cfRule>
    <cfRule type="colorScale" priority="104">
      <colorScale>
        <cfvo type="num" val="1"/>
        <cfvo type="num" val="2"/>
        <cfvo type="num" val="3"/>
        <color rgb="FFF8696B"/>
        <color rgb="FFFFEB84"/>
        <color rgb="FF63BE7B"/>
      </colorScale>
    </cfRule>
  </conditionalFormatting>
  <conditionalFormatting sqref="V13">
    <cfRule type="colorScale" priority="206">
      <colorScale>
        <cfvo type="min" val="0"/>
        <cfvo type="percentile" val="50"/>
        <cfvo type="max" val="0"/>
        <color rgb="FFF8696B"/>
        <color rgb="FFFFEB84"/>
        <color rgb="FF63BE7B"/>
      </colorScale>
    </cfRule>
    <cfRule type="colorScale" priority="207">
      <colorScale>
        <cfvo type="num" val="1"/>
        <cfvo type="num" val="2"/>
        <cfvo type="num" val="3"/>
        <color rgb="FFF8696B"/>
        <color rgb="FFFFEB84"/>
        <color rgb="FF63BE7B"/>
      </colorScale>
    </cfRule>
    <cfRule type="colorScale" priority="208">
      <colorScale>
        <cfvo type="num" val="1"/>
        <cfvo type="num" val="2"/>
        <cfvo type="num" val="3"/>
        <color rgb="FFF8696B"/>
        <color rgb="FFFFEB84"/>
        <color rgb="FF63BE7B"/>
      </colorScale>
    </cfRule>
    <cfRule type="colorScale" priority="209">
      <colorScale>
        <cfvo type="num" val="1"/>
        <cfvo type="num" val="2"/>
        <cfvo type="num" val="3"/>
        <color rgb="FFF8696B"/>
        <color rgb="FFFFEB84"/>
        <color rgb="FF63BE7B"/>
      </colorScale>
    </cfRule>
    <cfRule type="colorScale" priority="210">
      <colorScale>
        <cfvo type="num" val="1"/>
        <cfvo type="num" val="2"/>
        <cfvo type="num" val="3"/>
        <color rgb="FFF8696B"/>
        <color rgb="FFFFEB84"/>
        <color rgb="FF63BE7B"/>
      </colorScale>
    </cfRule>
    <cfRule type="colorScale" priority="211">
      <colorScale>
        <cfvo type="num" val="1"/>
        <cfvo type="num" val="2"/>
        <cfvo type="num" val="3"/>
        <color rgb="FFF8696B"/>
        <color rgb="FFFFEB84"/>
        <color rgb="FF63BE7B"/>
      </colorScale>
    </cfRule>
    <cfRule type="colorScale" priority="212">
      <colorScale>
        <cfvo type="num" val="1"/>
        <cfvo type="num" val="2"/>
        <cfvo type="num" val="3"/>
        <color rgb="FFF8696B"/>
        <color rgb="FFFFEB84"/>
        <color rgb="FF63BE7B"/>
      </colorScale>
    </cfRule>
  </conditionalFormatting>
  <conditionalFormatting sqref="V15">
    <cfRule type="colorScale" priority="883">
      <colorScale>
        <cfvo type="num" val="1"/>
        <cfvo type="num" val="2"/>
        <cfvo type="num" val="3"/>
        <color rgb="FFF8696B"/>
        <color rgb="FFFFEB84"/>
        <color rgb="FF63BE7B"/>
      </colorScale>
    </cfRule>
    <cfRule type="colorScale" priority="884">
      <colorScale>
        <cfvo type="num" val="1"/>
        <cfvo type="num" val="2"/>
        <cfvo type="num" val="3"/>
        <color rgb="FFF8696B"/>
        <color rgb="FFFFEB84"/>
        <color rgb="FF63BE7B"/>
      </colorScale>
    </cfRule>
    <cfRule type="colorScale" priority="885">
      <colorScale>
        <cfvo type="num" val="1"/>
        <cfvo type="num" val="2"/>
        <cfvo type="num" val="3"/>
        <color rgb="FFF8696B"/>
        <color rgb="FFFFEB84"/>
        <color rgb="FF63BE7B"/>
      </colorScale>
    </cfRule>
  </conditionalFormatting>
  <conditionalFormatting sqref="V13:X13">
    <cfRule type="cellIs" dxfId="3196" priority="41" operator="equal">
      <formula>5</formula>
    </cfRule>
    <cfRule type="cellIs" dxfId="3195" priority="42" operator="equal">
      <formula>4</formula>
    </cfRule>
    <cfRule type="cellIs" dxfId="3194" priority="43" operator="equal">
      <formula>1</formula>
    </cfRule>
    <cfRule type="cellIs" dxfId="3193" priority="44" operator="equal">
      <formula>3</formula>
    </cfRule>
    <cfRule type="cellIs" dxfId="3192" priority="45" operator="equal">
      <formula>2</formula>
    </cfRule>
  </conditionalFormatting>
  <conditionalFormatting sqref="W5">
    <cfRule type="colorScale" priority="760">
      <colorScale>
        <cfvo type="num" val="1"/>
        <cfvo type="num" val="2"/>
        <cfvo type="num" val="3"/>
        <color rgb="FFF8696B"/>
        <color rgb="FFFFEB84"/>
        <color rgb="FF63BE7B"/>
      </colorScale>
    </cfRule>
    <cfRule type="colorScale" priority="761">
      <colorScale>
        <cfvo type="num" val="1"/>
        <cfvo type="num" val="2"/>
        <cfvo type="num" val="3"/>
        <color rgb="FFF8696B"/>
        <color rgb="FFFFEB84"/>
        <color rgb="FF63BE7B"/>
      </colorScale>
    </cfRule>
    <cfRule type="colorScale" priority="762">
      <colorScale>
        <cfvo type="num" val="1"/>
        <cfvo type="num" val="2"/>
        <cfvo type="num" val="3"/>
        <color rgb="FFF8696B"/>
        <color rgb="FFFFEB84"/>
        <color rgb="FF63BE7B"/>
      </colorScale>
    </cfRule>
    <cfRule type="colorScale" priority="765">
      <colorScale>
        <cfvo type="num" val="1"/>
        <cfvo type="num" val="2"/>
        <cfvo type="num" val="3"/>
        <color rgb="FFF8696B"/>
        <color rgb="FFFFEB84"/>
        <color rgb="FF63BE7B"/>
      </colorScale>
    </cfRule>
    <cfRule type="colorScale" priority="768">
      <colorScale>
        <cfvo type="num" val="1"/>
        <cfvo type="num" val="2"/>
        <cfvo type="num" val="3"/>
        <color rgb="FFF8696B"/>
        <color rgb="FFFFEB84"/>
        <color rgb="FF63BE7B"/>
      </colorScale>
    </cfRule>
    <cfRule type="colorScale" priority="769">
      <colorScale>
        <cfvo type="num" val="1"/>
        <cfvo type="num" val="2"/>
        <cfvo type="num" val="3"/>
        <color rgb="FFF8696B"/>
        <color rgb="FFFFEB84"/>
        <color rgb="FF63BE7B"/>
      </colorScale>
    </cfRule>
  </conditionalFormatting>
  <conditionalFormatting sqref="W7">
    <cfRule type="colorScale" priority="1179">
      <colorScale>
        <cfvo type="num" val="1"/>
        <cfvo type="num" val="2"/>
        <cfvo type="num" val="3"/>
        <color rgb="FFF8696B"/>
        <color rgb="FFFFEB84"/>
        <color rgb="FF63BE7B"/>
      </colorScale>
    </cfRule>
    <cfRule type="colorScale" priority="1180">
      <colorScale>
        <cfvo type="num" val="1"/>
        <cfvo type="num" val="2"/>
        <cfvo type="num" val="3"/>
        <color rgb="FFF8696B"/>
        <color rgb="FFFFEB84"/>
        <color rgb="FF63BE7B"/>
      </colorScale>
    </cfRule>
  </conditionalFormatting>
  <conditionalFormatting sqref="W9">
    <cfRule type="colorScale" priority="38">
      <colorScale>
        <cfvo type="min" val="0"/>
        <cfvo type="percentile" val="50"/>
        <cfvo type="max" val="0"/>
        <color rgb="FFF8696B"/>
        <color rgb="FFFFEB84"/>
        <color rgb="FF63BE7B"/>
      </colorScale>
    </cfRule>
    <cfRule type="colorScale" priority="39">
      <colorScale>
        <cfvo type="num" val="1"/>
        <cfvo type="num" val="2"/>
        <cfvo type="num" val="3"/>
        <color rgb="FFF8696B"/>
        <color rgb="FFFFEB84"/>
        <color rgb="FF63BE7B"/>
      </colorScale>
    </cfRule>
    <cfRule type="colorScale" priority="40">
      <colorScale>
        <cfvo type="num" val="1"/>
        <cfvo type="num" val="2"/>
        <cfvo type="num" val="3"/>
        <color rgb="FFF8696B"/>
        <color rgb="FFFFEB84"/>
        <color rgb="FF63BE7B"/>
      </colorScale>
    </cfRule>
  </conditionalFormatting>
  <conditionalFormatting sqref="W11">
    <cfRule type="colorScale" priority="110">
      <colorScale>
        <cfvo type="min" val="0"/>
        <cfvo type="percentile" val="50"/>
        <cfvo type="max" val="0"/>
        <color rgb="FFF8696B"/>
        <color rgb="FFFFEB84"/>
        <color rgb="FF63BE7B"/>
      </colorScale>
    </cfRule>
    <cfRule type="colorScale" priority="111">
      <colorScale>
        <cfvo type="num" val="1"/>
        <cfvo type="num" val="2"/>
        <cfvo type="num" val="3"/>
        <color rgb="FFF8696B"/>
        <color rgb="FFFFEB84"/>
        <color rgb="FF63BE7B"/>
      </colorScale>
    </cfRule>
    <cfRule type="colorScale" priority="112">
      <colorScale>
        <cfvo type="num" val="1"/>
        <cfvo type="num" val="2"/>
        <cfvo type="num" val="3"/>
        <color rgb="FFF8696B"/>
        <color rgb="FFFFEB84"/>
        <color rgb="FF63BE7B"/>
      </colorScale>
    </cfRule>
  </conditionalFormatting>
  <conditionalFormatting sqref="W13">
    <cfRule type="colorScale" priority="46">
      <colorScale>
        <cfvo type="min" val="0"/>
        <cfvo type="percentile" val="50"/>
        <cfvo type="max" val="0"/>
        <color rgb="FFF8696B"/>
        <color rgb="FFFFEB84"/>
        <color rgb="FF63BE7B"/>
      </colorScale>
    </cfRule>
    <cfRule type="colorScale" priority="47">
      <colorScale>
        <cfvo type="num" val="1"/>
        <cfvo type="num" val="2"/>
        <cfvo type="num" val="3"/>
        <color rgb="FFF8696B"/>
        <color rgb="FFFFEB84"/>
        <color rgb="FF63BE7B"/>
      </colorScale>
    </cfRule>
    <cfRule type="colorScale" priority="48">
      <colorScale>
        <cfvo type="num" val="1"/>
        <cfvo type="num" val="2"/>
        <cfvo type="num" val="3"/>
        <color rgb="FFF8696B"/>
        <color rgb="FFFFEB84"/>
        <color rgb="FF63BE7B"/>
      </colorScale>
    </cfRule>
    <cfRule type="colorScale" priority="49">
      <colorScale>
        <cfvo type="num" val="1"/>
        <cfvo type="num" val="2"/>
        <cfvo type="num" val="3"/>
        <color rgb="FFF8696B"/>
        <color rgb="FFFFEB84"/>
        <color rgb="FF63BE7B"/>
      </colorScale>
    </cfRule>
    <cfRule type="colorScale" priority="50">
      <colorScale>
        <cfvo type="num" val="1"/>
        <cfvo type="num" val="2"/>
        <cfvo type="num" val="3"/>
        <color rgb="FFF8696B"/>
        <color rgb="FFFFEB84"/>
        <color rgb="FF63BE7B"/>
      </colorScale>
    </cfRule>
    <cfRule type="colorScale" priority="51">
      <colorScale>
        <cfvo type="num" val="1"/>
        <cfvo type="num" val="2"/>
        <cfvo type="num" val="3"/>
        <color rgb="FFF8696B"/>
        <color rgb="FFFFEB84"/>
        <color rgb="FF63BE7B"/>
      </colorScale>
    </cfRule>
    <cfRule type="colorScale" priority="52">
      <colorScale>
        <cfvo type="num" val="1"/>
        <cfvo type="num" val="2"/>
        <cfvo type="num" val="3"/>
        <color rgb="FFF8696B"/>
        <color rgb="FFFFEB84"/>
        <color rgb="FF63BE7B"/>
      </colorScale>
    </cfRule>
  </conditionalFormatting>
  <conditionalFormatting sqref="W15">
    <cfRule type="colorScale" priority="878">
      <colorScale>
        <cfvo type="num" val="1"/>
        <cfvo type="num" val="2"/>
        <cfvo type="num" val="3"/>
        <color rgb="FFF8696B"/>
        <color rgb="FFFFEB84"/>
        <color rgb="FF63BE7B"/>
      </colorScale>
    </cfRule>
    <cfRule type="colorScale" priority="881">
      <colorScale>
        <cfvo type="num" val="1"/>
        <cfvo type="num" val="2"/>
        <cfvo type="num" val="3"/>
        <color rgb="FFF8696B"/>
        <color rgb="FFFFEB84"/>
        <color rgb="FF63BE7B"/>
      </colorScale>
    </cfRule>
  </conditionalFormatting>
  <conditionalFormatting sqref="W5:X5">
    <cfRule type="colorScale" priority="767">
      <colorScale>
        <cfvo type="num" val="1"/>
        <cfvo type="num" val="2"/>
        <cfvo type="num" val="3"/>
        <color rgb="FFF8696B"/>
        <color rgb="FFFFEB84"/>
        <color rgb="FF63BE7B"/>
      </colorScale>
    </cfRule>
  </conditionalFormatting>
  <conditionalFormatting sqref="W9:X9">
    <cfRule type="cellIs" dxfId="3191" priority="33" operator="equal">
      <formula>5</formula>
    </cfRule>
    <cfRule type="cellIs" dxfId="3190" priority="34" operator="equal">
      <formula>4</formula>
    </cfRule>
    <cfRule type="cellIs" dxfId="3189" priority="35" operator="equal">
      <formula>1</formula>
    </cfRule>
    <cfRule type="cellIs" dxfId="3188" priority="36" operator="equal">
      <formula>3</formula>
    </cfRule>
    <cfRule type="cellIs" dxfId="3187" priority="37" operator="equal">
      <formula>2</formula>
    </cfRule>
  </conditionalFormatting>
  <conditionalFormatting sqref="X5">
    <cfRule type="colorScale" priority="758">
      <colorScale>
        <cfvo type="num" val="1"/>
        <cfvo type="num" val="2"/>
        <cfvo type="num" val="3"/>
        <color rgb="FFF8696B"/>
        <color rgb="FFFFEB84"/>
        <color rgb="FF63BE7B"/>
      </colorScale>
    </cfRule>
    <cfRule type="colorScale" priority="759">
      <colorScale>
        <cfvo type="num" val="1"/>
        <cfvo type="num" val="2"/>
        <cfvo type="num" val="3"/>
        <color rgb="FFF8696B"/>
        <color rgb="FFFFEB84"/>
        <color rgb="FF63BE7B"/>
      </colorScale>
    </cfRule>
    <cfRule type="colorScale" priority="763">
      <colorScale>
        <cfvo type="num" val="1"/>
        <cfvo type="num" val="2"/>
        <cfvo type="num" val="3"/>
        <color rgb="FFF8696B"/>
        <color rgb="FFFFEB84"/>
        <color rgb="FF63BE7B"/>
      </colorScale>
    </cfRule>
    <cfRule type="colorScale" priority="764">
      <colorScale>
        <cfvo type="num" val="1"/>
        <cfvo type="num" val="2"/>
        <cfvo type="num" val="3"/>
        <color rgb="FFF8696B"/>
        <color rgb="FFFFEB84"/>
        <color rgb="FF63BE7B"/>
      </colorScale>
    </cfRule>
    <cfRule type="colorScale" priority="766">
      <colorScale>
        <cfvo type="num" val="1"/>
        <cfvo type="num" val="2"/>
        <cfvo type="num" val="3"/>
        <color rgb="FFF8696B"/>
        <color rgb="FFFFEB84"/>
        <color rgb="FF63BE7B"/>
      </colorScale>
    </cfRule>
    <cfRule type="colorScale" priority="770">
      <colorScale>
        <cfvo type="num" val="1"/>
        <cfvo type="num" val="2"/>
        <cfvo type="num" val="3"/>
        <color rgb="FFF8696B"/>
        <color rgb="FFFFEB84"/>
        <color rgb="FF63BE7B"/>
      </colorScale>
    </cfRule>
    <cfRule type="colorScale" priority="1240">
      <colorScale>
        <cfvo type="num" val="1"/>
        <cfvo type="num" val="2"/>
        <cfvo type="num" val="3"/>
        <color rgb="FFF8696B"/>
        <color rgb="FFFFEB84"/>
        <color rgb="FF63BE7B"/>
      </colorScale>
    </cfRule>
    <cfRule type="colorScale" priority="1331">
      <colorScale>
        <cfvo type="num" val="1"/>
        <cfvo type="num" val="2"/>
        <cfvo type="num" val="3"/>
        <color rgb="FFF8696B"/>
        <color rgb="FFFFEB84"/>
        <color rgb="FF63BE7B"/>
      </colorScale>
    </cfRule>
    <cfRule type="colorScale" priority="1368">
      <colorScale>
        <cfvo type="num" val="1"/>
        <cfvo type="num" val="2"/>
        <cfvo type="num" val="3"/>
        <color rgb="FFF8696B"/>
        <color rgb="FFFFEB84"/>
        <color rgb="FF63BE7B"/>
      </colorScale>
    </cfRule>
    <cfRule type="colorScale" priority="1411">
      <colorScale>
        <cfvo type="num" val="1"/>
        <cfvo type="num" val="2"/>
        <cfvo type="num" val="3"/>
        <color rgb="FFF8696B"/>
        <color rgb="FFFFEB84"/>
        <color rgb="FF63BE7B"/>
      </colorScale>
    </cfRule>
  </conditionalFormatting>
  <conditionalFormatting sqref="X7">
    <cfRule type="cellIs" dxfId="3186" priority="226" operator="equal">
      <formula>5</formula>
    </cfRule>
    <cfRule type="cellIs" dxfId="3185" priority="227" operator="equal">
      <formula>4</formula>
    </cfRule>
    <cfRule type="cellIs" dxfId="3184" priority="228" operator="equal">
      <formula>1</formula>
    </cfRule>
    <cfRule type="cellIs" dxfId="3183" priority="229" operator="equal">
      <formula>3</formula>
    </cfRule>
    <cfRule type="cellIs" dxfId="3182" priority="230" operator="equal">
      <formula>2</formula>
    </cfRule>
    <cfRule type="colorScale" priority="231">
      <colorScale>
        <cfvo type="min" val="0"/>
        <cfvo type="percentile" val="50"/>
        <cfvo type="max" val="0"/>
        <color rgb="FFF8696B"/>
        <color rgb="FFFFEB84"/>
        <color rgb="FF63BE7B"/>
      </colorScale>
    </cfRule>
    <cfRule type="colorScale" priority="232">
      <colorScale>
        <cfvo type="num" val="1"/>
        <cfvo type="num" val="2"/>
        <cfvo type="num" val="3"/>
        <color rgb="FFF8696B"/>
        <color rgb="FFFFEB84"/>
        <color rgb="FF63BE7B"/>
      </colorScale>
    </cfRule>
    <cfRule type="colorScale" priority="233">
      <colorScale>
        <cfvo type="num" val="1"/>
        <cfvo type="num" val="2"/>
        <cfvo type="num" val="3"/>
        <color rgb="FFF8696B"/>
        <color rgb="FFFFEB84"/>
        <color rgb="FF63BE7B"/>
      </colorScale>
    </cfRule>
  </conditionalFormatting>
  <conditionalFormatting sqref="X9">
    <cfRule type="colorScale" priority="66">
      <colorScale>
        <cfvo type="min" val="0"/>
        <cfvo type="percentile" val="50"/>
        <cfvo type="max" val="0"/>
        <color rgb="FFF8696B"/>
        <color rgb="FFFFEB84"/>
        <color rgb="FF63BE7B"/>
      </colorScale>
    </cfRule>
    <cfRule type="colorScale" priority="67">
      <colorScale>
        <cfvo type="num" val="1"/>
        <cfvo type="num" val="2"/>
        <cfvo type="num" val="3"/>
        <color rgb="FFF8696B"/>
        <color rgb="FFFFEB84"/>
        <color rgb="FF63BE7B"/>
      </colorScale>
    </cfRule>
    <cfRule type="colorScale" priority="68">
      <colorScale>
        <cfvo type="num" val="1"/>
        <cfvo type="num" val="2"/>
        <cfvo type="num" val="3"/>
        <color rgb="FFF8696B"/>
        <color rgb="FFFFEB84"/>
        <color rgb="FF63BE7B"/>
      </colorScale>
    </cfRule>
    <cfRule type="colorScale" priority="69">
      <colorScale>
        <cfvo type="num" val="1"/>
        <cfvo type="num" val="2"/>
        <cfvo type="num" val="3"/>
        <color rgb="FFF8696B"/>
        <color rgb="FFFFEB84"/>
        <color rgb="FF63BE7B"/>
      </colorScale>
    </cfRule>
    <cfRule type="colorScale" priority="70">
      <colorScale>
        <cfvo type="num" val="1"/>
        <cfvo type="num" val="2"/>
        <cfvo type="num" val="3"/>
        <color rgb="FFF8696B"/>
        <color rgb="FFFFEB84"/>
        <color rgb="FF63BE7B"/>
      </colorScale>
    </cfRule>
    <cfRule type="colorScale" priority="71">
      <colorScale>
        <cfvo type="num" val="1"/>
        <cfvo type="num" val="2"/>
        <cfvo type="num" val="3"/>
        <color rgb="FFF8696B"/>
        <color rgb="FFFFEB84"/>
        <color rgb="FF63BE7B"/>
      </colorScale>
    </cfRule>
    <cfRule type="colorScale" priority="72">
      <colorScale>
        <cfvo type="num" val="1"/>
        <cfvo type="num" val="2"/>
        <cfvo type="num" val="3"/>
        <color rgb="FFF8696B"/>
        <color rgb="FFFFEB84"/>
        <color rgb="FF63BE7B"/>
      </colorScale>
    </cfRule>
  </conditionalFormatting>
  <conditionalFormatting sqref="X11">
    <cfRule type="colorScale" priority="26">
      <colorScale>
        <cfvo type="min" val="0"/>
        <cfvo type="percentile" val="50"/>
        <cfvo type="max" val="0"/>
        <color rgb="FFF8696B"/>
        <color rgb="FFFFEB84"/>
        <color rgb="FF63BE7B"/>
      </colorScale>
    </cfRule>
    <cfRule type="colorScale" priority="27">
      <colorScale>
        <cfvo type="num" val="1"/>
        <cfvo type="num" val="2"/>
        <cfvo type="num" val="3"/>
        <color rgb="FFF8696B"/>
        <color rgb="FFFFEB84"/>
        <color rgb="FF63BE7B"/>
      </colorScale>
    </cfRule>
    <cfRule type="colorScale" priority="28">
      <colorScale>
        <cfvo type="num" val="1"/>
        <cfvo type="num" val="2"/>
        <cfvo type="num" val="3"/>
        <color rgb="FFF8696B"/>
        <color rgb="FFFFEB84"/>
        <color rgb="FF63BE7B"/>
      </colorScale>
    </cfRule>
    <cfRule type="colorScale" priority="29">
      <colorScale>
        <cfvo type="num" val="1"/>
        <cfvo type="num" val="2"/>
        <cfvo type="num" val="3"/>
        <color rgb="FFF8696B"/>
        <color rgb="FFFFEB84"/>
        <color rgb="FF63BE7B"/>
      </colorScale>
    </cfRule>
    <cfRule type="colorScale" priority="30">
      <colorScale>
        <cfvo type="num" val="1"/>
        <cfvo type="num" val="2"/>
        <cfvo type="num" val="3"/>
        <color rgb="FFF8696B"/>
        <color rgb="FFFFEB84"/>
        <color rgb="FF63BE7B"/>
      </colorScale>
    </cfRule>
    <cfRule type="colorScale" priority="31">
      <colorScale>
        <cfvo type="num" val="1"/>
        <cfvo type="num" val="2"/>
        <cfvo type="num" val="3"/>
        <color rgb="FFF8696B"/>
        <color rgb="FFFFEB84"/>
        <color rgb="FF63BE7B"/>
      </colorScale>
    </cfRule>
    <cfRule type="colorScale" priority="32">
      <colorScale>
        <cfvo type="num" val="1"/>
        <cfvo type="num" val="2"/>
        <cfvo type="num" val="3"/>
        <color rgb="FFF8696B"/>
        <color rgb="FFFFEB84"/>
        <color rgb="FF63BE7B"/>
      </colorScale>
    </cfRule>
  </conditionalFormatting>
  <conditionalFormatting sqref="X13">
    <cfRule type="colorScale" priority="219">
      <colorScale>
        <cfvo type="min" val="0"/>
        <cfvo type="percentile" val="50"/>
        <cfvo type="max" val="0"/>
        <color rgb="FFF8696B"/>
        <color rgb="FFFFEB84"/>
        <color rgb="FF63BE7B"/>
      </colorScale>
    </cfRule>
    <cfRule type="colorScale" priority="220">
      <colorScale>
        <cfvo type="num" val="1"/>
        <cfvo type="num" val="2"/>
        <cfvo type="num" val="3"/>
        <color rgb="FFF8696B"/>
        <color rgb="FFFFEB84"/>
        <color rgb="FF63BE7B"/>
      </colorScale>
    </cfRule>
    <cfRule type="colorScale" priority="221">
      <colorScale>
        <cfvo type="num" val="1"/>
        <cfvo type="num" val="2"/>
        <cfvo type="num" val="3"/>
        <color rgb="FFF8696B"/>
        <color rgb="FFFFEB84"/>
        <color rgb="FF63BE7B"/>
      </colorScale>
    </cfRule>
    <cfRule type="colorScale" priority="222">
      <colorScale>
        <cfvo type="num" val="1"/>
        <cfvo type="num" val="2"/>
        <cfvo type="num" val="3"/>
        <color rgb="FFF8696B"/>
        <color rgb="FFFFEB84"/>
        <color rgb="FF63BE7B"/>
      </colorScale>
    </cfRule>
    <cfRule type="colorScale" priority="223">
      <colorScale>
        <cfvo type="num" val="1"/>
        <cfvo type="num" val="2"/>
        <cfvo type="num" val="3"/>
        <color rgb="FFF8696B"/>
        <color rgb="FFFFEB84"/>
        <color rgb="FF63BE7B"/>
      </colorScale>
    </cfRule>
    <cfRule type="colorScale" priority="224">
      <colorScale>
        <cfvo type="num" val="1"/>
        <cfvo type="num" val="2"/>
        <cfvo type="num" val="3"/>
        <color rgb="FFF8696B"/>
        <color rgb="FFFFEB84"/>
        <color rgb="FF63BE7B"/>
      </colorScale>
    </cfRule>
    <cfRule type="colorScale" priority="225">
      <colorScale>
        <cfvo type="num" val="1"/>
        <cfvo type="num" val="2"/>
        <cfvo type="num" val="3"/>
        <color rgb="FFF8696B"/>
        <color rgb="FFFFEB84"/>
        <color rgb="FF63BE7B"/>
      </colorScale>
    </cfRule>
  </conditionalFormatting>
  <conditionalFormatting sqref="X15">
    <cfRule type="colorScale" priority="879">
      <colorScale>
        <cfvo type="num" val="1"/>
        <cfvo type="num" val="2"/>
        <cfvo type="num" val="3"/>
        <color rgb="FFF8696B"/>
        <color rgb="FFFFEB84"/>
        <color rgb="FF63BE7B"/>
      </colorScale>
    </cfRule>
    <cfRule type="colorScale" priority="880">
      <colorScale>
        <cfvo type="num" val="1"/>
        <cfvo type="num" val="2"/>
        <cfvo type="num" val="3"/>
        <color rgb="FFF8696B"/>
        <color rgb="FFFFEB84"/>
        <color rgb="FF63BE7B"/>
      </colorScale>
    </cfRule>
    <cfRule type="colorScale" priority="882">
      <colorScale>
        <cfvo type="num" val="1"/>
        <cfvo type="num" val="2"/>
        <cfvo type="num" val="3"/>
        <color rgb="FFF8696B"/>
        <color rgb="FFFFEB84"/>
        <color rgb="FF63BE7B"/>
      </colorScale>
    </cfRule>
  </conditionalFormatting>
  <conditionalFormatting sqref="Y5">
    <cfRule type="colorScale" priority="1241">
      <colorScale>
        <cfvo type="num" val="1"/>
        <cfvo type="num" val="2"/>
        <cfvo type="num" val="3"/>
        <color rgb="FFF8696B"/>
        <color rgb="FFFFEB84"/>
        <color rgb="FF63BE7B"/>
      </colorScale>
    </cfRule>
    <cfRule type="colorScale" priority="1263">
      <colorScale>
        <cfvo type="num" val="1"/>
        <cfvo type="num" val="2"/>
        <cfvo type="num" val="3"/>
        <color rgb="FFF8696B"/>
        <color rgb="FFFFEB84"/>
        <color rgb="FF63BE7B"/>
      </colorScale>
    </cfRule>
    <cfRule type="colorScale" priority="1265">
      <colorScale>
        <cfvo type="num" val="1"/>
        <cfvo type="num" val="2"/>
        <cfvo type="num" val="3"/>
        <color rgb="FFF8696B"/>
        <color rgb="FFFFEB84"/>
        <color rgb="FF63BE7B"/>
      </colorScale>
    </cfRule>
    <cfRule type="colorScale" priority="1315">
      <colorScale>
        <cfvo type="num" val="1"/>
        <cfvo type="num" val="2"/>
        <cfvo type="num" val="3"/>
        <color rgb="FFF8696B"/>
        <color rgb="FFFFEB84"/>
        <color rgb="FF63BE7B"/>
      </colorScale>
    </cfRule>
    <cfRule type="colorScale" priority="1317">
      <colorScale>
        <cfvo type="num" val="1"/>
        <cfvo type="num" val="2"/>
        <cfvo type="num" val="3"/>
        <color rgb="FFF8696B"/>
        <color rgb="FFFFEB84"/>
        <color rgb="FF63BE7B"/>
      </colorScale>
    </cfRule>
    <cfRule type="colorScale" priority="1328">
      <colorScale>
        <cfvo type="num" val="1"/>
        <cfvo type="num" val="2"/>
        <cfvo type="num" val="3"/>
        <color rgb="FFF8696B"/>
        <color rgb="FFFFEB84"/>
        <color rgb="FF63BE7B"/>
      </colorScale>
    </cfRule>
    <cfRule type="colorScale" priority="1330">
      <colorScale>
        <cfvo type="num" val="1"/>
        <cfvo type="num" val="2"/>
        <cfvo type="num" val="3"/>
        <color rgb="FFF8696B"/>
        <color rgb="FFFFEB84"/>
        <color rgb="FF63BE7B"/>
      </colorScale>
    </cfRule>
    <cfRule type="colorScale" priority="1332">
      <colorScale>
        <cfvo type="num" val="1"/>
        <cfvo type="num" val="2"/>
        <cfvo type="num" val="3"/>
        <color rgb="FFF8696B"/>
        <color rgb="FFFFEB84"/>
        <color rgb="FF63BE7B"/>
      </colorScale>
    </cfRule>
    <cfRule type="colorScale" priority="1358">
      <colorScale>
        <cfvo type="num" val="1"/>
        <cfvo type="num" val="2"/>
        <cfvo type="num" val="3"/>
        <color rgb="FFF8696B"/>
        <color rgb="FFFFEB84"/>
        <color rgb="FF63BE7B"/>
      </colorScale>
    </cfRule>
  </conditionalFormatting>
  <conditionalFormatting sqref="Y7">
    <cfRule type="colorScale" priority="1177">
      <colorScale>
        <cfvo type="num" val="1"/>
        <cfvo type="num" val="2"/>
        <cfvo type="num" val="3"/>
        <color rgb="FFF8696B"/>
        <color rgb="FFFFEB84"/>
        <color rgb="FF63BE7B"/>
      </colorScale>
    </cfRule>
    <cfRule type="colorScale" priority="1178">
      <colorScale>
        <cfvo type="num" val="1"/>
        <cfvo type="num" val="2"/>
        <cfvo type="num" val="3"/>
        <color rgb="FFF8696B"/>
        <color rgb="FFFFEB84"/>
        <color rgb="FF63BE7B"/>
      </colorScale>
    </cfRule>
    <cfRule type="colorScale" priority="1209">
      <colorScale>
        <cfvo type="num" val="1"/>
        <cfvo type="num" val="2"/>
        <cfvo type="num" val="3"/>
        <color rgb="FFF8696B"/>
        <color rgb="FFFFEB84"/>
        <color rgb="FF63BE7B"/>
      </colorScale>
    </cfRule>
    <cfRule type="colorScale" priority="1210">
      <colorScale>
        <cfvo type="num" val="1"/>
        <cfvo type="num" val="2"/>
        <cfvo type="num" val="3"/>
        <color rgb="FFF8696B"/>
        <color rgb="FFFFEB84"/>
        <color rgb="FF63BE7B"/>
      </colorScale>
    </cfRule>
    <cfRule type="colorScale" priority="1211">
      <colorScale>
        <cfvo type="num" val="1"/>
        <cfvo type="num" val="2"/>
        <cfvo type="num" val="3"/>
        <color rgb="FFF8696B"/>
        <color rgb="FFFFEB84"/>
        <color rgb="FF63BE7B"/>
      </colorScale>
    </cfRule>
    <cfRule type="colorScale" priority="1238">
      <colorScale>
        <cfvo type="num" val="1"/>
        <cfvo type="num" val="2"/>
        <cfvo type="num" val="3"/>
        <color rgb="FFF8696B"/>
        <color rgb="FFFFEB84"/>
        <color rgb="FF63BE7B"/>
      </colorScale>
    </cfRule>
    <cfRule type="colorScale" priority="1239">
      <colorScale>
        <cfvo type="num" val="1"/>
        <cfvo type="num" val="2"/>
        <cfvo type="num" val="3"/>
        <color rgb="FFF8696B"/>
        <color rgb="FFFFEB84"/>
        <color rgb="FF63BE7B"/>
      </colorScale>
    </cfRule>
    <cfRule type="colorScale" priority="1242">
      <colorScale>
        <cfvo type="num" val="1"/>
        <cfvo type="num" val="2"/>
        <cfvo type="num" val="3"/>
        <color rgb="FFF8696B"/>
        <color rgb="FFFFEB84"/>
        <color rgb="FF63BE7B"/>
      </colorScale>
    </cfRule>
  </conditionalFormatting>
  <conditionalFormatting sqref="Y9">
    <cfRule type="colorScale" priority="1123">
      <colorScale>
        <cfvo type="num" val="1"/>
        <cfvo type="num" val="2"/>
        <cfvo type="num" val="3"/>
        <color rgb="FFF8696B"/>
        <color rgb="FFFFEB84"/>
        <color rgb="FF63BE7B"/>
      </colorScale>
    </cfRule>
    <cfRule type="colorScale" priority="1124">
      <colorScale>
        <cfvo type="num" val="1"/>
        <cfvo type="num" val="2"/>
        <cfvo type="num" val="3"/>
        <color rgb="FFF8696B"/>
        <color rgb="FFFFEB84"/>
        <color rgb="FF63BE7B"/>
      </colorScale>
    </cfRule>
    <cfRule type="colorScale" priority="1125">
      <colorScale>
        <cfvo type="num" val="1"/>
        <cfvo type="num" val="2"/>
        <cfvo type="num" val="3"/>
        <color rgb="FFF8696B"/>
        <color rgb="FFFFEB84"/>
        <color rgb="FF63BE7B"/>
      </colorScale>
    </cfRule>
    <cfRule type="colorScale" priority="1126">
      <colorScale>
        <cfvo type="num" val="1"/>
        <cfvo type="num" val="2"/>
        <cfvo type="num" val="3"/>
        <color rgb="FFF8696B"/>
        <color rgb="FFFFEB84"/>
        <color rgb="FF63BE7B"/>
      </colorScale>
    </cfRule>
    <cfRule type="colorScale" priority="1127">
      <colorScale>
        <cfvo type="num" val="1"/>
        <cfvo type="num" val="2"/>
        <cfvo type="num" val="3"/>
        <color rgb="FFF8696B"/>
        <color rgb="FFFFEB84"/>
        <color rgb="FF63BE7B"/>
      </colorScale>
    </cfRule>
    <cfRule type="colorScale" priority="1128">
      <colorScale>
        <cfvo type="num" val="1"/>
        <cfvo type="num" val="2"/>
        <cfvo type="num" val="3"/>
        <color rgb="FFF8696B"/>
        <color rgb="FFFFEB84"/>
        <color rgb="FF63BE7B"/>
      </colorScale>
    </cfRule>
    <cfRule type="colorScale" priority="1129">
      <colorScale>
        <cfvo type="num" val="1"/>
        <cfvo type="num" val="2"/>
        <cfvo type="num" val="3"/>
        <color rgb="FFF8696B"/>
        <color rgb="FFFFEB84"/>
        <color rgb="FF63BE7B"/>
      </colorScale>
    </cfRule>
    <cfRule type="colorScale" priority="1130">
      <colorScale>
        <cfvo type="num" val="1"/>
        <cfvo type="num" val="2"/>
        <cfvo type="num" val="3"/>
        <color rgb="FFF8696B"/>
        <color rgb="FFFFEB84"/>
        <color rgb="FF63BE7B"/>
      </colorScale>
    </cfRule>
    <cfRule type="colorScale" priority="1131">
      <colorScale>
        <cfvo type="num" val="1"/>
        <cfvo type="num" val="2"/>
        <cfvo type="num" val="3"/>
        <color rgb="FFF8696B"/>
        <color rgb="FFFFEB84"/>
        <color rgb="FF63BE7B"/>
      </colorScale>
    </cfRule>
    <cfRule type="colorScale" priority="1132">
      <colorScale>
        <cfvo type="num" val="1"/>
        <cfvo type="num" val="2"/>
        <cfvo type="num" val="3"/>
        <color rgb="FFF8696B"/>
        <color rgb="FFFFEB84"/>
        <color rgb="FF63BE7B"/>
      </colorScale>
    </cfRule>
    <cfRule type="colorScale" priority="1133">
      <colorScale>
        <cfvo type="num" val="1"/>
        <cfvo type="num" val="2"/>
        <cfvo type="num" val="3"/>
        <color rgb="FFF8696B"/>
        <color rgb="FFFFEB84"/>
        <color rgb="FF63BE7B"/>
      </colorScale>
    </cfRule>
    <cfRule type="colorScale" priority="1134">
      <colorScale>
        <cfvo type="num" val="1"/>
        <cfvo type="num" val="2"/>
        <cfvo type="num" val="3"/>
        <color rgb="FFF8696B"/>
        <color rgb="FFFFEB84"/>
        <color rgb="FF63BE7B"/>
      </colorScale>
    </cfRule>
  </conditionalFormatting>
  <conditionalFormatting sqref="Y11">
    <cfRule type="colorScale" priority="138">
      <colorScale>
        <cfvo type="min" val="0"/>
        <cfvo type="percentile" val="50"/>
        <cfvo type="max" val="0"/>
        <color rgb="FFF8696B"/>
        <color rgb="FFFFEB84"/>
        <color rgb="FF63BE7B"/>
      </colorScale>
    </cfRule>
    <cfRule type="colorScale" priority="139">
      <colorScale>
        <cfvo type="num" val="1"/>
        <cfvo type="num" val="2"/>
        <cfvo type="num" val="3"/>
        <color rgb="FFF8696B"/>
        <color rgb="FFFFEB84"/>
        <color rgb="FF63BE7B"/>
      </colorScale>
    </cfRule>
    <cfRule type="colorScale" priority="140">
      <colorScale>
        <cfvo type="num" val="1"/>
        <cfvo type="num" val="2"/>
        <cfvo type="num" val="3"/>
        <color rgb="FFF8696B"/>
        <color rgb="FFFFEB84"/>
        <color rgb="FF63BE7B"/>
      </colorScale>
    </cfRule>
  </conditionalFormatting>
  <conditionalFormatting sqref="Y13">
    <cfRule type="colorScale" priority="1022">
      <colorScale>
        <cfvo type="num" val="1"/>
        <cfvo type="num" val="2"/>
        <cfvo type="num" val="3"/>
        <color rgb="FFF8696B"/>
        <color rgb="FFFFEB84"/>
        <color rgb="FF63BE7B"/>
      </colorScale>
    </cfRule>
    <cfRule type="colorScale" priority="1023">
      <colorScale>
        <cfvo type="num" val="1"/>
        <cfvo type="num" val="2"/>
        <cfvo type="num" val="3"/>
        <color rgb="FFF8696B"/>
        <color rgb="FFFFEB84"/>
        <color rgb="FF63BE7B"/>
      </colorScale>
    </cfRule>
    <cfRule type="colorScale" priority="1036">
      <colorScale>
        <cfvo type="num" val="1"/>
        <cfvo type="num" val="2"/>
        <cfvo type="num" val="3"/>
        <color rgb="FFF8696B"/>
        <color rgb="FFFFEB84"/>
        <color rgb="FF63BE7B"/>
      </colorScale>
    </cfRule>
    <cfRule type="colorScale" priority="1037">
      <colorScale>
        <cfvo type="num" val="1"/>
        <cfvo type="num" val="2"/>
        <cfvo type="num" val="3"/>
        <color rgb="FFF8696B"/>
        <color rgb="FFFFEB84"/>
        <color rgb="FF63BE7B"/>
      </colorScale>
    </cfRule>
    <cfRule type="colorScale" priority="1038">
      <colorScale>
        <cfvo type="num" val="1"/>
        <cfvo type="num" val="2"/>
        <cfvo type="num" val="3"/>
        <color rgb="FFF8696B"/>
        <color rgb="FFFFEB84"/>
        <color rgb="FF63BE7B"/>
      </colorScale>
    </cfRule>
    <cfRule type="colorScale" priority="1039">
      <colorScale>
        <cfvo type="num" val="1"/>
        <cfvo type="num" val="2"/>
        <cfvo type="num" val="3"/>
        <color rgb="FFF8696B"/>
        <color rgb="FFFFEB84"/>
        <color rgb="FF63BE7B"/>
      </colorScale>
    </cfRule>
    <cfRule type="colorScale" priority="1040">
      <colorScale>
        <cfvo type="num" val="1"/>
        <cfvo type="num" val="2"/>
        <cfvo type="num" val="3"/>
        <color rgb="FFF8696B"/>
        <color rgb="FFFFEB84"/>
        <color rgb="FF63BE7B"/>
      </colorScale>
    </cfRule>
    <cfRule type="colorScale" priority="1041">
      <colorScale>
        <cfvo type="num" val="1"/>
        <cfvo type="num" val="2"/>
        <cfvo type="num" val="3"/>
        <color rgb="FFF8696B"/>
        <color rgb="FFFFEB84"/>
        <color rgb="FF63BE7B"/>
      </colorScale>
    </cfRule>
  </conditionalFormatting>
  <conditionalFormatting sqref="Y15">
    <cfRule type="colorScale" priority="14">
      <colorScale>
        <cfvo type="min" val="0"/>
        <cfvo type="percentile" val="50"/>
        <cfvo type="max" val="0"/>
        <color rgb="FFF8696B"/>
        <color rgb="FFFFEB84"/>
        <color rgb="FF63BE7B"/>
      </colorScale>
    </cfRule>
    <cfRule type="colorScale" priority="15">
      <colorScale>
        <cfvo type="num" val="1"/>
        <cfvo type="num" val="2"/>
        <cfvo type="num" val="3"/>
        <color rgb="FFF8696B"/>
        <color rgb="FFFFEB84"/>
        <color rgb="FF63BE7B"/>
      </colorScale>
    </cfRule>
    <cfRule type="colorScale" priority="16">
      <colorScale>
        <cfvo type="num" val="1"/>
        <cfvo type="num" val="2"/>
        <cfvo type="num" val="3"/>
        <color rgb="FFF8696B"/>
        <color rgb="FFFFEB84"/>
        <color rgb="FF63BE7B"/>
      </colorScale>
    </cfRule>
    <cfRule type="colorScale" priority="17">
      <colorScale>
        <cfvo type="num" val="1"/>
        <cfvo type="num" val="2"/>
        <cfvo type="num" val="3"/>
        <color rgb="FFF8696B"/>
        <color rgb="FFFFEB84"/>
        <color rgb="FF63BE7B"/>
      </colorScale>
    </cfRule>
    <cfRule type="colorScale" priority="18">
      <colorScale>
        <cfvo type="num" val="1"/>
        <cfvo type="num" val="2"/>
        <cfvo type="num" val="3"/>
        <color rgb="FFF8696B"/>
        <color rgb="FFFFEB84"/>
        <color rgb="FF63BE7B"/>
      </colorScale>
    </cfRule>
    <cfRule type="colorScale" priority="19">
      <colorScale>
        <cfvo type="num" val="1"/>
        <cfvo type="num" val="2"/>
        <cfvo type="num" val="3"/>
        <color rgb="FFF8696B"/>
        <color rgb="FFFFEB84"/>
        <color rgb="FF63BE7B"/>
      </colorScale>
    </cfRule>
    <cfRule type="colorScale" priority="20">
      <colorScale>
        <cfvo type="num" val="1"/>
        <cfvo type="num" val="2"/>
        <cfvo type="num" val="3"/>
        <color rgb="FFF8696B"/>
        <color rgb="FFFFEB84"/>
        <color rgb="FF63BE7B"/>
      </colorScale>
    </cfRule>
  </conditionalFormatting>
  <conditionalFormatting sqref="Y5:Z5">
    <cfRule type="colorScale" priority="1314">
      <colorScale>
        <cfvo type="num" val="1"/>
        <cfvo type="num" val="2"/>
        <cfvo type="num" val="3"/>
        <color rgb="FFF8696B"/>
        <color rgb="FFFFEB84"/>
        <color rgb="FF63BE7B"/>
      </colorScale>
    </cfRule>
  </conditionalFormatting>
  <conditionalFormatting sqref="Y15:AB15">
    <cfRule type="cellIs" dxfId="3181" priority="9" operator="equal">
      <formula>5</formula>
    </cfRule>
    <cfRule type="cellIs" dxfId="3180" priority="10" operator="equal">
      <formula>4</formula>
    </cfRule>
    <cfRule type="cellIs" dxfId="3179" priority="11" operator="equal">
      <formula>1</formula>
    </cfRule>
    <cfRule type="cellIs" dxfId="3178" priority="12" operator="equal">
      <formula>3</formula>
    </cfRule>
    <cfRule type="cellIs" dxfId="3177" priority="13" operator="equal">
      <formula>2</formula>
    </cfRule>
  </conditionalFormatting>
  <conditionalFormatting sqref="Y5:AC5">
    <cfRule type="colorScale" priority="825">
      <colorScale>
        <cfvo type="num" val="1"/>
        <cfvo type="num" val="2"/>
        <cfvo type="num" val="3"/>
        <color rgb="FFF8696B"/>
        <color rgb="FFFFEB84"/>
        <color rgb="FF63BE7B"/>
      </colorScale>
    </cfRule>
  </conditionalFormatting>
  <conditionalFormatting sqref="Z5">
    <cfRule type="colorScale" priority="826">
      <colorScale>
        <cfvo type="num" val="1"/>
        <cfvo type="num" val="2"/>
        <cfvo type="num" val="3"/>
        <color rgb="FFF8696B"/>
        <color rgb="FFFFEB84"/>
        <color rgb="FF63BE7B"/>
      </colorScale>
    </cfRule>
    <cfRule type="colorScale" priority="1264">
      <colorScale>
        <cfvo type="num" val="1"/>
        <cfvo type="num" val="2"/>
        <cfvo type="num" val="3"/>
        <color rgb="FFF8696B"/>
        <color rgb="FFFFEB84"/>
        <color rgb="FF63BE7B"/>
      </colorScale>
    </cfRule>
    <cfRule type="colorScale" priority="1316">
      <colorScale>
        <cfvo type="num" val="1"/>
        <cfvo type="num" val="2"/>
        <cfvo type="num" val="3"/>
        <color rgb="FFF8696B"/>
        <color rgb="FFFFEB84"/>
        <color rgb="FF63BE7B"/>
      </colorScale>
    </cfRule>
    <cfRule type="colorScale" priority="1329">
      <colorScale>
        <cfvo type="num" val="1"/>
        <cfvo type="num" val="2"/>
        <cfvo type="num" val="3"/>
        <color rgb="FFF8696B"/>
        <color rgb="FFFFEB84"/>
        <color rgb="FF63BE7B"/>
      </colorScale>
    </cfRule>
    <cfRule type="colorScale" priority="1359">
      <colorScale>
        <cfvo type="num" val="1"/>
        <cfvo type="num" val="2"/>
        <cfvo type="num" val="3"/>
        <color rgb="FFF8696B"/>
        <color rgb="FFFFEB84"/>
        <color rgb="FF63BE7B"/>
      </colorScale>
    </cfRule>
    <cfRule type="colorScale" priority="1383">
      <colorScale>
        <cfvo type="num" val="1"/>
        <cfvo type="num" val="2"/>
        <cfvo type="num" val="3"/>
        <color rgb="FFF8696B"/>
        <color rgb="FFFFEB84"/>
        <color rgb="FF63BE7B"/>
      </colorScale>
    </cfRule>
    <cfRule type="colorScale" priority="1397">
      <colorScale>
        <cfvo type="num" val="1"/>
        <cfvo type="num" val="2"/>
        <cfvo type="num" val="3"/>
        <color rgb="FFF8696B"/>
        <color rgb="FFFFEB84"/>
        <color rgb="FF63BE7B"/>
      </colorScale>
    </cfRule>
  </conditionalFormatting>
  <conditionalFormatting sqref="Z7">
    <cfRule type="cellIs" dxfId="3176" priority="270" operator="equal">
      <formula>5</formula>
    </cfRule>
    <cfRule type="cellIs" dxfId="3175" priority="271" operator="equal">
      <formula>4</formula>
    </cfRule>
    <cfRule type="cellIs" dxfId="3174" priority="272" operator="equal">
      <formula>1</formula>
    </cfRule>
    <cfRule type="cellIs" dxfId="3173" priority="273" operator="equal">
      <formula>3</formula>
    </cfRule>
    <cfRule type="cellIs" dxfId="3172" priority="274" operator="equal">
      <formula>2</formula>
    </cfRule>
    <cfRule type="colorScale" priority="275">
      <colorScale>
        <cfvo type="min" val="0"/>
        <cfvo type="percentile" val="50"/>
        <cfvo type="max" val="0"/>
        <color rgb="FFF8696B"/>
        <color rgb="FFFFEB84"/>
        <color rgb="FF63BE7B"/>
      </colorScale>
    </cfRule>
    <cfRule type="colorScale" priority="276">
      <colorScale>
        <cfvo type="num" val="1"/>
        <cfvo type="num" val="2"/>
        <cfvo type="num" val="3"/>
        <color rgb="FFF8696B"/>
        <color rgb="FFFFEB84"/>
        <color rgb="FF63BE7B"/>
      </colorScale>
    </cfRule>
    <cfRule type="colorScale" priority="277">
      <colorScale>
        <cfvo type="num" val="1"/>
        <cfvo type="num" val="2"/>
        <cfvo type="num" val="3"/>
        <color rgb="FFF8696B"/>
        <color rgb="FFFFEB84"/>
        <color rgb="FF63BE7B"/>
      </colorScale>
    </cfRule>
  </conditionalFormatting>
  <conditionalFormatting sqref="Z9">
    <cfRule type="colorScale" priority="1119">
      <colorScale>
        <cfvo type="num" val="1"/>
        <cfvo type="num" val="2"/>
        <cfvo type="num" val="3"/>
        <color rgb="FFF8696B"/>
        <color rgb="FFFFEB84"/>
        <color rgb="FF63BE7B"/>
      </colorScale>
    </cfRule>
    <cfRule type="colorScale" priority="1120">
      <colorScale>
        <cfvo type="num" val="1"/>
        <cfvo type="num" val="2"/>
        <cfvo type="num" val="3"/>
        <color rgb="FFF8696B"/>
        <color rgb="FFFFEB84"/>
        <color rgb="FF63BE7B"/>
      </colorScale>
    </cfRule>
    <cfRule type="colorScale" priority="1121">
      <colorScale>
        <cfvo type="num" val="1"/>
        <cfvo type="num" val="2"/>
        <cfvo type="num" val="3"/>
        <color rgb="FFF8696B"/>
        <color rgb="FFFFEB84"/>
        <color rgb="FF63BE7B"/>
      </colorScale>
    </cfRule>
    <cfRule type="colorScale" priority="1122">
      <colorScale>
        <cfvo type="num" val="1"/>
        <cfvo type="num" val="2"/>
        <cfvo type="num" val="3"/>
        <color rgb="FFF8696B"/>
        <color rgb="FFFFEB84"/>
        <color rgb="FF63BE7B"/>
      </colorScale>
    </cfRule>
  </conditionalFormatting>
  <conditionalFormatting sqref="Z11">
    <cfRule type="colorScale" priority="1069">
      <colorScale>
        <cfvo type="num" val="1"/>
        <cfvo type="num" val="2"/>
        <cfvo type="num" val="3"/>
        <color rgb="FFF8696B"/>
        <color rgb="FFFFEB84"/>
        <color rgb="FF63BE7B"/>
      </colorScale>
    </cfRule>
    <cfRule type="colorScale" priority="1070">
      <colorScale>
        <cfvo type="num" val="1"/>
        <cfvo type="num" val="2"/>
        <cfvo type="num" val="3"/>
        <color rgb="FFF8696B"/>
        <color rgb="FFFFEB84"/>
        <color rgb="FF63BE7B"/>
      </colorScale>
    </cfRule>
  </conditionalFormatting>
  <conditionalFormatting sqref="Z13">
    <cfRule type="colorScale" priority="129">
      <colorScale>
        <cfvo type="num" val="1"/>
        <cfvo type="num" val="2"/>
        <cfvo type="num" val="3"/>
        <color rgb="FFF8696B"/>
        <color rgb="FFFFEB84"/>
        <color rgb="FF63BE7B"/>
      </colorScale>
    </cfRule>
    <cfRule type="colorScale" priority="130">
      <colorScale>
        <cfvo type="num" val="1"/>
        <cfvo type="num" val="2"/>
        <cfvo type="num" val="3"/>
        <color rgb="FFF8696B"/>
        <color rgb="FFFFEB84"/>
        <color rgb="FF63BE7B"/>
      </colorScale>
    </cfRule>
    <cfRule type="colorScale" priority="131">
      <colorScale>
        <cfvo type="num" val="1"/>
        <cfvo type="num" val="2"/>
        <cfvo type="num" val="3"/>
        <color rgb="FFF8696B"/>
        <color rgb="FFFFEB84"/>
        <color rgb="FF63BE7B"/>
      </colorScale>
    </cfRule>
    <cfRule type="colorScale" priority="132">
      <colorScale>
        <cfvo type="num" val="1"/>
        <cfvo type="num" val="2"/>
        <cfvo type="num" val="3"/>
        <color rgb="FFF8696B"/>
        <color rgb="FFFFEB84"/>
        <color rgb="FF63BE7B"/>
      </colorScale>
    </cfRule>
  </conditionalFormatting>
  <conditionalFormatting sqref="Z15">
    <cfRule type="colorScale" priority="251">
      <colorScale>
        <cfvo type="min" val="0"/>
        <cfvo type="percentile" val="50"/>
        <cfvo type="max" val="0"/>
        <color rgb="FFF8696B"/>
        <color rgb="FFFFEB84"/>
        <color rgb="FF63BE7B"/>
      </colorScale>
    </cfRule>
    <cfRule type="colorScale" priority="252">
      <colorScale>
        <cfvo type="num" val="1"/>
        <cfvo type="num" val="2"/>
        <cfvo type="num" val="3"/>
        <color rgb="FFF8696B"/>
        <color rgb="FFFFEB84"/>
        <color rgb="FF63BE7B"/>
      </colorScale>
    </cfRule>
    <cfRule type="colorScale" priority="253">
      <colorScale>
        <cfvo type="num" val="1"/>
        <cfvo type="num" val="2"/>
        <cfvo type="num" val="3"/>
        <color rgb="FFF8696B"/>
        <color rgb="FFFFEB84"/>
        <color rgb="FF63BE7B"/>
      </colorScale>
    </cfRule>
  </conditionalFormatting>
  <conditionalFormatting sqref="Z11:AA11">
    <cfRule type="colorScale" priority="1073">
      <colorScale>
        <cfvo type="num" val="1"/>
        <cfvo type="num" val="2"/>
        <cfvo type="num" val="3"/>
        <color rgb="FFF8696B"/>
        <color rgb="FFFFEB84"/>
        <color rgb="FF63BE7B"/>
      </colorScale>
    </cfRule>
  </conditionalFormatting>
  <conditionalFormatting sqref="Z11:AB11 AD11">
    <cfRule type="colorScale" priority="1074">
      <colorScale>
        <cfvo type="num" val="1"/>
        <cfvo type="num" val="2"/>
        <cfvo type="num" val="3"/>
        <color rgb="FFF8696B"/>
        <color rgb="FFFFEB84"/>
        <color rgb="FF63BE7B"/>
      </colorScale>
    </cfRule>
  </conditionalFormatting>
  <conditionalFormatting sqref="AA5">
    <cfRule type="colorScale" priority="1381">
      <colorScale>
        <cfvo type="num" val="1"/>
        <cfvo type="num" val="2"/>
        <cfvo type="num" val="3"/>
        <color rgb="FFF8696B"/>
        <color rgb="FFFFEB84"/>
        <color rgb="FF63BE7B"/>
      </colorScale>
    </cfRule>
    <cfRule type="colorScale" priority="1382">
      <colorScale>
        <cfvo type="num" val="1"/>
        <cfvo type="num" val="2"/>
        <cfvo type="num" val="3"/>
        <color rgb="FFF8696B"/>
        <color rgb="FFFFEB84"/>
        <color rgb="FF63BE7B"/>
      </colorScale>
    </cfRule>
    <cfRule type="colorScale" priority="1396">
      <colorScale>
        <cfvo type="num" val="1"/>
        <cfvo type="num" val="2"/>
        <cfvo type="num" val="3"/>
        <color rgb="FFF8696B"/>
        <color rgb="FFFFEB84"/>
        <color rgb="FF63BE7B"/>
      </colorScale>
    </cfRule>
    <cfRule type="colorScale" priority="1398">
      <colorScale>
        <cfvo type="num" val="1"/>
        <cfvo type="num" val="2"/>
        <cfvo type="num" val="3"/>
        <color rgb="FFF8696B"/>
        <color rgb="FFFFEB84"/>
        <color rgb="FF63BE7B"/>
      </colorScale>
    </cfRule>
    <cfRule type="colorScale" priority="1418">
      <colorScale>
        <cfvo type="num" val="1"/>
        <cfvo type="num" val="2"/>
        <cfvo type="num" val="3"/>
        <color rgb="FFF8696B"/>
        <color rgb="FFFFEB84"/>
        <color rgb="FF63BE7B"/>
      </colorScale>
    </cfRule>
  </conditionalFormatting>
  <conditionalFormatting sqref="AA7">
    <cfRule type="colorScale" priority="1172">
      <colorScale>
        <cfvo type="num" val="1"/>
        <cfvo type="num" val="2"/>
        <cfvo type="num" val="3"/>
        <color rgb="FFF8696B"/>
        <color rgb="FFFFEB84"/>
        <color rgb="FF63BE7B"/>
      </colorScale>
    </cfRule>
    <cfRule type="colorScale" priority="1175">
      <colorScale>
        <cfvo type="num" val="1"/>
        <cfvo type="num" val="2"/>
        <cfvo type="num" val="3"/>
        <color rgb="FFF8696B"/>
        <color rgb="FFFFEB84"/>
        <color rgb="FF63BE7B"/>
      </colorScale>
    </cfRule>
    <cfRule type="colorScale" priority="1261">
      <colorScale>
        <cfvo type="num" val="1"/>
        <cfvo type="num" val="2"/>
        <cfvo type="num" val="3"/>
        <color rgb="FFF8696B"/>
        <color rgb="FFFFEB84"/>
        <color rgb="FF63BE7B"/>
      </colorScale>
    </cfRule>
    <cfRule type="colorScale" priority="1262">
      <colorScale>
        <cfvo type="num" val="1"/>
        <cfvo type="num" val="2"/>
        <cfvo type="num" val="3"/>
        <color rgb="FFF8696B"/>
        <color rgb="FFFFEB84"/>
        <color rgb="FF63BE7B"/>
      </colorScale>
    </cfRule>
    <cfRule type="colorScale" priority="1281">
      <colorScale>
        <cfvo type="num" val="1"/>
        <cfvo type="num" val="2"/>
        <cfvo type="num" val="3"/>
        <color rgb="FFF8696B"/>
        <color rgb="FFFFEB84"/>
        <color rgb="FF63BE7B"/>
      </colorScale>
    </cfRule>
    <cfRule type="colorScale" priority="1283">
      <colorScale>
        <cfvo type="num" val="1"/>
        <cfvo type="num" val="2"/>
        <cfvo type="num" val="3"/>
        <color rgb="FFF8696B"/>
        <color rgb="FFFFEB84"/>
        <color rgb="FF63BE7B"/>
      </colorScale>
    </cfRule>
    <cfRule type="colorScale" priority="1284">
      <colorScale>
        <cfvo type="num" val="1"/>
        <cfvo type="num" val="2"/>
        <cfvo type="num" val="3"/>
        <color rgb="FFF8696B"/>
        <color rgb="FFFFEB84"/>
        <color rgb="FF63BE7B"/>
      </colorScale>
    </cfRule>
    <cfRule type="colorScale" priority="1286">
      <colorScale>
        <cfvo type="num" val="1"/>
        <cfvo type="num" val="2"/>
        <cfvo type="num" val="3"/>
        <color rgb="FFF8696B"/>
        <color rgb="FFFFEB84"/>
        <color rgb="FF63BE7B"/>
      </colorScale>
    </cfRule>
    <cfRule type="colorScale" priority="1287">
      <colorScale>
        <cfvo type="num" val="1"/>
        <cfvo type="num" val="2"/>
        <cfvo type="num" val="3"/>
        <color rgb="FFF8696B"/>
        <color rgb="FFFFEB84"/>
        <color rgb="FF63BE7B"/>
      </colorScale>
    </cfRule>
  </conditionalFormatting>
  <conditionalFormatting sqref="AA9">
    <cfRule type="colorScale" priority="6">
      <colorScale>
        <cfvo type="min" val="0"/>
        <cfvo type="percentile" val="50"/>
        <cfvo type="max" val="0"/>
        <color rgb="FFF8696B"/>
        <color rgb="FFFFEB84"/>
        <color rgb="FF63BE7B"/>
      </colorScale>
    </cfRule>
    <cfRule type="colorScale" priority="7">
      <colorScale>
        <cfvo type="num" val="1"/>
        <cfvo type="num" val="2"/>
        <cfvo type="num" val="3"/>
        <color rgb="FFF8696B"/>
        <color rgb="FFFFEB84"/>
        <color rgb="FF63BE7B"/>
      </colorScale>
    </cfRule>
    <cfRule type="colorScale" priority="8">
      <colorScale>
        <cfvo type="num" val="1"/>
        <cfvo type="num" val="2"/>
        <cfvo type="num" val="3"/>
        <color rgb="FFF8696B"/>
        <color rgb="FFFFEB84"/>
        <color rgb="FF63BE7B"/>
      </colorScale>
    </cfRule>
  </conditionalFormatting>
  <conditionalFormatting sqref="AA13">
    <cfRule type="colorScale" priority="291">
      <colorScale>
        <cfvo type="min" val="0"/>
        <cfvo type="percentile" val="50"/>
        <cfvo type="max" val="0"/>
        <color rgb="FFF8696B"/>
        <color rgb="FFFFEB84"/>
        <color rgb="FF63BE7B"/>
      </colorScale>
    </cfRule>
    <cfRule type="colorScale" priority="292">
      <colorScale>
        <cfvo type="num" val="1"/>
        <cfvo type="num" val="2"/>
        <cfvo type="num" val="3"/>
        <color rgb="FFF8696B"/>
        <color rgb="FFFFEB84"/>
        <color rgb="FF63BE7B"/>
      </colorScale>
    </cfRule>
    <cfRule type="colorScale" priority="293">
      <colorScale>
        <cfvo type="num" val="1"/>
        <cfvo type="num" val="2"/>
        <cfvo type="num" val="3"/>
        <color rgb="FFF8696B"/>
        <color rgb="FFFFEB84"/>
        <color rgb="FF63BE7B"/>
      </colorScale>
    </cfRule>
  </conditionalFormatting>
  <conditionalFormatting sqref="AA15">
    <cfRule type="colorScale" priority="503">
      <colorScale>
        <cfvo type="min" val="0"/>
        <cfvo type="percentile" val="50"/>
        <cfvo type="max" val="0"/>
        <color rgb="FFF8696B"/>
        <color rgb="FFFFEB84"/>
        <color rgb="FF63BE7B"/>
      </colorScale>
    </cfRule>
    <cfRule type="colorScale" priority="504">
      <colorScale>
        <cfvo type="num" val="1"/>
        <cfvo type="num" val="2"/>
        <cfvo type="num" val="3"/>
        <color rgb="FFF8696B"/>
        <color rgb="FFFFEB84"/>
        <color rgb="FF63BE7B"/>
      </colorScale>
    </cfRule>
    <cfRule type="colorScale" priority="505">
      <colorScale>
        <cfvo type="num" val="1"/>
        <cfvo type="num" val="2"/>
        <cfvo type="num" val="3"/>
        <color rgb="FFF8696B"/>
        <color rgb="FFFFEB84"/>
        <color rgb="FF63BE7B"/>
      </colorScale>
    </cfRule>
    <cfRule type="colorScale" priority="506">
      <colorScale>
        <cfvo type="num" val="1"/>
        <cfvo type="num" val="2"/>
        <cfvo type="num" val="3"/>
        <color rgb="FFF8696B"/>
        <color rgb="FFFFEB84"/>
        <color rgb="FF63BE7B"/>
      </colorScale>
    </cfRule>
    <cfRule type="colorScale" priority="507">
      <colorScale>
        <cfvo type="num" val="1"/>
        <cfvo type="num" val="2"/>
        <cfvo type="num" val="3"/>
        <color rgb="FFF8696B"/>
        <color rgb="FFFFEB84"/>
        <color rgb="FF63BE7B"/>
      </colorScale>
    </cfRule>
    <cfRule type="colorScale" priority="508">
      <colorScale>
        <cfvo type="num" val="1"/>
        <cfvo type="num" val="2"/>
        <cfvo type="num" val="3"/>
        <color rgb="FFF8696B"/>
        <color rgb="FFFFEB84"/>
        <color rgb="FF63BE7B"/>
      </colorScale>
    </cfRule>
    <cfRule type="colorScale" priority="509">
      <colorScale>
        <cfvo type="num" val="1"/>
        <cfvo type="num" val="2"/>
        <cfvo type="num" val="3"/>
        <color rgb="FFF8696B"/>
        <color rgb="FFFFEB84"/>
        <color rgb="FF63BE7B"/>
      </colorScale>
    </cfRule>
  </conditionalFormatting>
  <conditionalFormatting sqref="AA7:AB7">
    <cfRule type="colorScale" priority="1234">
      <colorScale>
        <cfvo type="num" val="1"/>
        <cfvo type="num" val="2"/>
        <cfvo type="num" val="3"/>
        <color rgb="FFF8696B"/>
        <color rgb="FFFFEB84"/>
        <color rgb="FF63BE7B"/>
      </colorScale>
    </cfRule>
  </conditionalFormatting>
  <conditionalFormatting sqref="AA9:AB9">
    <cfRule type="cellIs" dxfId="3171" priority="1" operator="equal">
      <formula>5</formula>
    </cfRule>
    <cfRule type="cellIs" dxfId="3170" priority="2" operator="equal">
      <formula>4</formula>
    </cfRule>
    <cfRule type="cellIs" dxfId="3169" priority="3" operator="equal">
      <formula>1</formula>
    </cfRule>
    <cfRule type="cellIs" dxfId="3168" priority="4" operator="equal">
      <formula>3</formula>
    </cfRule>
    <cfRule type="cellIs" dxfId="3167" priority="5" operator="equal">
      <formula>2</formula>
    </cfRule>
  </conditionalFormatting>
  <conditionalFormatting sqref="AA13:AC13">
    <cfRule type="cellIs" dxfId="3166" priority="234" operator="equal">
      <formula>5</formula>
    </cfRule>
    <cfRule type="cellIs" dxfId="3165" priority="235" operator="equal">
      <formula>4</formula>
    </cfRule>
    <cfRule type="cellIs" dxfId="3164" priority="236" operator="equal">
      <formula>1</formula>
    </cfRule>
    <cfRule type="cellIs" dxfId="3163" priority="237" operator="equal">
      <formula>3</formula>
    </cfRule>
    <cfRule type="cellIs" dxfId="3162" priority="238" operator="equal">
      <formula>2</formula>
    </cfRule>
  </conditionalFormatting>
  <conditionalFormatting sqref="AB5">
    <cfRule type="colorScale" priority="813">
      <colorScale>
        <cfvo type="num" val="1"/>
        <cfvo type="num" val="2"/>
        <cfvo type="num" val="3"/>
        <color rgb="FFF8696B"/>
        <color rgb="FFFFEB84"/>
        <color rgb="FF63BE7B"/>
      </colorScale>
    </cfRule>
    <cfRule type="colorScale" priority="821">
      <colorScale>
        <cfvo type="num" val="1"/>
        <cfvo type="num" val="2"/>
        <cfvo type="num" val="3"/>
        <color rgb="FFF8696B"/>
        <color rgb="FFFFEB84"/>
        <color rgb="FF63BE7B"/>
      </colorScale>
    </cfRule>
    <cfRule type="colorScale" priority="823">
      <colorScale>
        <cfvo type="num" val="1"/>
        <cfvo type="num" val="2"/>
        <cfvo type="num" val="3"/>
        <color rgb="FFF8696B"/>
        <color rgb="FFFFEB84"/>
        <color rgb="FF63BE7B"/>
      </colorScale>
    </cfRule>
    <cfRule type="colorScale" priority="827">
      <colorScale>
        <cfvo type="num" val="1"/>
        <cfvo type="num" val="2"/>
        <cfvo type="num" val="3"/>
        <color rgb="FFF8696B"/>
        <color rgb="FFFFEB84"/>
        <color rgb="FF63BE7B"/>
      </colorScale>
    </cfRule>
    <cfRule type="colorScale" priority="828">
      <colorScale>
        <cfvo type="num" val="1"/>
        <cfvo type="num" val="2"/>
        <cfvo type="num" val="3"/>
        <color rgb="FFF8696B"/>
        <color rgb="FFFFEB84"/>
        <color rgb="FF63BE7B"/>
      </colorScale>
    </cfRule>
    <cfRule type="colorScale" priority="964">
      <colorScale>
        <cfvo type="num" val="1"/>
        <cfvo type="num" val="2"/>
        <cfvo type="num" val="3"/>
        <color rgb="FFF8696B"/>
        <color rgb="FFFFEB84"/>
        <color rgb="FF63BE7B"/>
      </colorScale>
    </cfRule>
    <cfRule type="colorScale" priority="972">
      <colorScale>
        <cfvo type="num" val="1"/>
        <cfvo type="num" val="2"/>
        <cfvo type="num" val="3"/>
        <color rgb="FFF8696B"/>
        <color rgb="FFFFEB84"/>
        <color rgb="FF63BE7B"/>
      </colorScale>
    </cfRule>
    <cfRule type="colorScale" priority="974">
      <colorScale>
        <cfvo type="num" val="1"/>
        <cfvo type="num" val="2"/>
        <cfvo type="num" val="3"/>
        <color rgb="FFF8696B"/>
        <color rgb="FFFFEB84"/>
        <color rgb="FF63BE7B"/>
      </colorScale>
    </cfRule>
    <cfRule type="colorScale" priority="976">
      <colorScale>
        <cfvo type="num" val="1"/>
        <cfvo type="num" val="2"/>
        <cfvo type="num" val="3"/>
        <color rgb="FFF8696B"/>
        <color rgb="FFFFEB84"/>
        <color rgb="FF63BE7B"/>
      </colorScale>
    </cfRule>
    <cfRule type="colorScale" priority="977">
      <colorScale>
        <cfvo type="num" val="1"/>
        <cfvo type="num" val="2"/>
        <cfvo type="num" val="3"/>
        <color rgb="FFF8696B"/>
        <color rgb="FFFFEB84"/>
        <color rgb="FF63BE7B"/>
      </colorScale>
    </cfRule>
    <cfRule type="colorScale" priority="1235">
      <colorScale>
        <cfvo type="num" val="1"/>
        <cfvo type="num" val="2"/>
        <cfvo type="num" val="3"/>
        <color rgb="FFF8696B"/>
        <color rgb="FFFFEB84"/>
        <color rgb="FF63BE7B"/>
      </colorScale>
    </cfRule>
    <cfRule type="colorScale" priority="1371">
      <colorScale>
        <cfvo type="num" val="1"/>
        <cfvo type="num" val="2"/>
        <cfvo type="num" val="3"/>
        <color rgb="FFF8696B"/>
        <color rgb="FFFFEB84"/>
        <color rgb="FF63BE7B"/>
      </colorScale>
    </cfRule>
  </conditionalFormatting>
  <conditionalFormatting sqref="AB7">
    <cfRule type="colorScale" priority="1173">
      <colorScale>
        <cfvo type="num" val="1"/>
        <cfvo type="num" val="2"/>
        <cfvo type="num" val="3"/>
        <color rgb="FFF8696B"/>
        <color rgb="FFFFEB84"/>
        <color rgb="FF63BE7B"/>
      </colorScale>
    </cfRule>
    <cfRule type="colorScale" priority="1174">
      <colorScale>
        <cfvo type="num" val="1"/>
        <cfvo type="num" val="2"/>
        <cfvo type="num" val="3"/>
        <color rgb="FFF8696B"/>
        <color rgb="FFFFEB84"/>
        <color rgb="FF63BE7B"/>
      </colorScale>
    </cfRule>
    <cfRule type="colorScale" priority="1176">
      <colorScale>
        <cfvo type="num" val="1"/>
        <cfvo type="num" val="2"/>
        <cfvo type="num" val="3"/>
        <color rgb="FFF8696B"/>
        <color rgb="FFFFEB84"/>
        <color rgb="FF63BE7B"/>
      </colorScale>
    </cfRule>
    <cfRule type="colorScale" priority="1282">
      <colorScale>
        <cfvo type="num" val="1"/>
        <cfvo type="num" val="2"/>
        <cfvo type="num" val="3"/>
        <color rgb="FFF8696B"/>
        <color rgb="FFFFEB84"/>
        <color rgb="FF63BE7B"/>
      </colorScale>
    </cfRule>
    <cfRule type="colorScale" priority="1285">
      <colorScale>
        <cfvo type="num" val="1"/>
        <cfvo type="num" val="2"/>
        <cfvo type="num" val="3"/>
        <color rgb="FFF8696B"/>
        <color rgb="FFFFEB84"/>
        <color rgb="FF63BE7B"/>
      </colorScale>
    </cfRule>
    <cfRule type="colorScale" priority="1327">
      <colorScale>
        <cfvo type="num" val="1"/>
        <cfvo type="num" val="2"/>
        <cfvo type="num" val="3"/>
        <color rgb="FFF8696B"/>
        <color rgb="FFFFEB84"/>
        <color rgb="FF63BE7B"/>
      </colorScale>
    </cfRule>
  </conditionalFormatting>
  <conditionalFormatting sqref="AB9">
    <cfRule type="colorScale" priority="367">
      <colorScale>
        <cfvo type="min" val="0"/>
        <cfvo type="percentile" val="50"/>
        <cfvo type="max" val="0"/>
        <color rgb="FFF8696B"/>
        <color rgb="FFFFEB84"/>
        <color rgb="FF63BE7B"/>
      </colorScale>
    </cfRule>
    <cfRule type="colorScale" priority="368">
      <colorScale>
        <cfvo type="num" val="1"/>
        <cfvo type="num" val="2"/>
        <cfvo type="num" val="3"/>
        <color rgb="FFF8696B"/>
        <color rgb="FFFFEB84"/>
        <color rgb="FF63BE7B"/>
      </colorScale>
    </cfRule>
    <cfRule type="colorScale" priority="369">
      <colorScale>
        <cfvo type="num" val="1"/>
        <cfvo type="num" val="2"/>
        <cfvo type="num" val="3"/>
        <color rgb="FFF8696B"/>
        <color rgb="FFFFEB84"/>
        <color rgb="FF63BE7B"/>
      </colorScale>
    </cfRule>
    <cfRule type="colorScale" priority="370">
      <colorScale>
        <cfvo type="num" val="1"/>
        <cfvo type="num" val="2"/>
        <cfvo type="num" val="3"/>
        <color rgb="FFF8696B"/>
        <color rgb="FFFFEB84"/>
        <color rgb="FF63BE7B"/>
      </colorScale>
    </cfRule>
    <cfRule type="colorScale" priority="371">
      <colorScale>
        <cfvo type="num" val="1"/>
        <cfvo type="num" val="2"/>
        <cfvo type="num" val="3"/>
        <color rgb="FFF8696B"/>
        <color rgb="FFFFEB84"/>
        <color rgb="FF63BE7B"/>
      </colorScale>
    </cfRule>
    <cfRule type="colorScale" priority="372">
      <colorScale>
        <cfvo type="num" val="1"/>
        <cfvo type="num" val="2"/>
        <cfvo type="num" val="3"/>
        <color rgb="FFF8696B"/>
        <color rgb="FFFFEB84"/>
        <color rgb="FF63BE7B"/>
      </colorScale>
    </cfRule>
    <cfRule type="colorScale" priority="373">
      <colorScale>
        <cfvo type="num" val="1"/>
        <cfvo type="num" val="2"/>
        <cfvo type="num" val="3"/>
        <color rgb="FFF8696B"/>
        <color rgb="FFFFEB84"/>
        <color rgb="FF63BE7B"/>
      </colorScale>
    </cfRule>
  </conditionalFormatting>
  <conditionalFormatting sqref="AB11">
    <cfRule type="colorScale" priority="1071">
      <colorScale>
        <cfvo type="num" val="1"/>
        <cfvo type="num" val="2"/>
        <cfvo type="num" val="3"/>
        <color rgb="FFF8696B"/>
        <color rgb="FFFFEB84"/>
        <color rgb="FF63BE7B"/>
      </colorScale>
    </cfRule>
  </conditionalFormatting>
  <conditionalFormatting sqref="AB13">
    <cfRule type="colorScale" priority="239">
      <colorScale>
        <cfvo type="min" val="0"/>
        <cfvo type="percentile" val="50"/>
        <cfvo type="max" val="0"/>
        <color rgb="FFF8696B"/>
        <color rgb="FFFFEB84"/>
        <color rgb="FF63BE7B"/>
      </colorScale>
    </cfRule>
    <cfRule type="colorScale" priority="240">
      <colorScale>
        <cfvo type="num" val="1"/>
        <cfvo type="num" val="2"/>
        <cfvo type="num" val="3"/>
        <color rgb="FFF8696B"/>
        <color rgb="FFFFEB84"/>
        <color rgb="FF63BE7B"/>
      </colorScale>
    </cfRule>
    <cfRule type="colorScale" priority="241">
      <colorScale>
        <cfvo type="num" val="1"/>
        <cfvo type="num" val="2"/>
        <cfvo type="num" val="3"/>
        <color rgb="FFF8696B"/>
        <color rgb="FFFFEB84"/>
        <color rgb="FF63BE7B"/>
      </colorScale>
    </cfRule>
    <cfRule type="colorScale" priority="242">
      <colorScale>
        <cfvo type="num" val="1"/>
        <cfvo type="num" val="2"/>
        <cfvo type="num" val="3"/>
        <color rgb="FFF8696B"/>
        <color rgb="FFFFEB84"/>
        <color rgb="FF63BE7B"/>
      </colorScale>
    </cfRule>
    <cfRule type="colorScale" priority="243">
      <colorScale>
        <cfvo type="num" val="1"/>
        <cfvo type="num" val="2"/>
        <cfvo type="num" val="3"/>
        <color rgb="FFF8696B"/>
        <color rgb="FFFFEB84"/>
        <color rgb="FF63BE7B"/>
      </colorScale>
    </cfRule>
    <cfRule type="colorScale" priority="244">
      <colorScale>
        <cfvo type="num" val="1"/>
        <cfvo type="num" val="2"/>
        <cfvo type="num" val="3"/>
        <color rgb="FFF8696B"/>
        <color rgb="FFFFEB84"/>
        <color rgb="FF63BE7B"/>
      </colorScale>
    </cfRule>
    <cfRule type="colorScale" priority="245">
      <colorScale>
        <cfvo type="num" val="1"/>
        <cfvo type="num" val="2"/>
        <cfvo type="num" val="3"/>
        <color rgb="FFF8696B"/>
        <color rgb="FFFFEB84"/>
        <color rgb="FF63BE7B"/>
      </colorScale>
    </cfRule>
  </conditionalFormatting>
  <conditionalFormatting sqref="AB15">
    <cfRule type="colorScale" priority="387">
      <colorScale>
        <cfvo type="min" val="0"/>
        <cfvo type="percentile" val="50"/>
        <cfvo type="max" val="0"/>
        <color rgb="FFF8696B"/>
        <color rgb="FFFFEB84"/>
        <color rgb="FF63BE7B"/>
      </colorScale>
    </cfRule>
    <cfRule type="colorScale" priority="388">
      <colorScale>
        <cfvo type="num" val="1"/>
        <cfvo type="num" val="2"/>
        <cfvo type="num" val="3"/>
        <color rgb="FFF8696B"/>
        <color rgb="FFFFEB84"/>
        <color rgb="FF63BE7B"/>
      </colorScale>
    </cfRule>
    <cfRule type="colorScale" priority="389">
      <colorScale>
        <cfvo type="num" val="1"/>
        <cfvo type="num" val="2"/>
        <cfvo type="num" val="3"/>
        <color rgb="FFF8696B"/>
        <color rgb="FFFFEB84"/>
        <color rgb="FF63BE7B"/>
      </colorScale>
    </cfRule>
  </conditionalFormatting>
  <conditionalFormatting sqref="AC5">
    <cfRule type="colorScale" priority="810">
      <colorScale>
        <cfvo type="num" val="1"/>
        <cfvo type="num" val="2"/>
        <cfvo type="num" val="3"/>
        <color rgb="FFF8696B"/>
        <color rgb="FFFFEB84"/>
        <color rgb="FF63BE7B"/>
      </colorScale>
    </cfRule>
    <cfRule type="colorScale" priority="811">
      <colorScale>
        <cfvo type="num" val="1"/>
        <cfvo type="num" val="2"/>
        <cfvo type="num" val="3"/>
        <color rgb="FFF8696B"/>
        <color rgb="FFFFEB84"/>
        <color rgb="FF63BE7B"/>
      </colorScale>
    </cfRule>
    <cfRule type="colorScale" priority="812">
      <colorScale>
        <cfvo type="num" val="1"/>
        <cfvo type="num" val="2"/>
        <cfvo type="num" val="3"/>
        <color rgb="FFF8696B"/>
        <color rgb="FFFFEB84"/>
        <color rgb="FF63BE7B"/>
      </colorScale>
    </cfRule>
    <cfRule type="colorScale" priority="814">
      <colorScale>
        <cfvo type="num" val="1"/>
        <cfvo type="num" val="2"/>
        <cfvo type="num" val="3"/>
        <color rgb="FFF8696B"/>
        <color rgb="FFFFEB84"/>
        <color rgb="FF63BE7B"/>
      </colorScale>
    </cfRule>
    <cfRule type="colorScale" priority="815">
      <colorScale>
        <cfvo type="num" val="1"/>
        <cfvo type="num" val="2"/>
        <cfvo type="num" val="3"/>
        <color rgb="FFF8696B"/>
        <color rgb="FFFFEB84"/>
        <color rgb="FF63BE7B"/>
      </colorScale>
    </cfRule>
    <cfRule type="colorScale" priority="816">
      <colorScale>
        <cfvo type="num" val="1"/>
        <cfvo type="num" val="2"/>
        <cfvo type="num" val="3"/>
        <color rgb="FFF8696B"/>
        <color rgb="FFFFEB84"/>
        <color rgb="FF63BE7B"/>
      </colorScale>
    </cfRule>
    <cfRule type="colorScale" priority="817">
      <colorScale>
        <cfvo type="num" val="1"/>
        <cfvo type="num" val="2"/>
        <cfvo type="num" val="3"/>
        <color rgb="FFF8696B"/>
        <color rgb="FFFFEB84"/>
        <color rgb="FF63BE7B"/>
      </colorScale>
    </cfRule>
    <cfRule type="colorScale" priority="818">
      <colorScale>
        <cfvo type="num" val="1"/>
        <cfvo type="num" val="2"/>
        <cfvo type="num" val="3"/>
        <color rgb="FFF8696B"/>
        <color rgb="FFFFEB84"/>
        <color rgb="FF63BE7B"/>
      </colorScale>
    </cfRule>
    <cfRule type="colorScale" priority="819">
      <colorScale>
        <cfvo type="num" val="1"/>
        <cfvo type="num" val="2"/>
        <cfvo type="num" val="3"/>
        <color rgb="FFF8696B"/>
        <color rgb="FFFFEB84"/>
        <color rgb="FF63BE7B"/>
      </colorScale>
    </cfRule>
    <cfRule type="colorScale" priority="820">
      <colorScale>
        <cfvo type="num" val="1"/>
        <cfvo type="num" val="2"/>
        <cfvo type="num" val="3"/>
        <color rgb="FFF8696B"/>
        <color rgb="FFFFEB84"/>
        <color rgb="FF63BE7B"/>
      </colorScale>
    </cfRule>
    <cfRule type="colorScale" priority="822">
      <colorScale>
        <cfvo type="num" val="1"/>
        <cfvo type="num" val="2"/>
        <cfvo type="num" val="3"/>
        <color rgb="FFF8696B"/>
        <color rgb="FFFFEB84"/>
        <color rgb="FF63BE7B"/>
      </colorScale>
    </cfRule>
    <cfRule type="colorScale" priority="824">
      <colorScale>
        <cfvo type="num" val="1"/>
        <cfvo type="num" val="2"/>
        <cfvo type="num" val="3"/>
        <color rgb="FFF8696B"/>
        <color rgb="FFFFEB84"/>
        <color rgb="FF63BE7B"/>
      </colorScale>
    </cfRule>
    <cfRule type="colorScale" priority="961">
      <colorScale>
        <cfvo type="num" val="1"/>
        <cfvo type="num" val="2"/>
        <cfvo type="num" val="3"/>
        <color rgb="FFF8696B"/>
        <color rgb="FFFFEB84"/>
        <color rgb="FF63BE7B"/>
      </colorScale>
    </cfRule>
    <cfRule type="colorScale" priority="962">
      <colorScale>
        <cfvo type="num" val="1"/>
        <cfvo type="num" val="2"/>
        <cfvo type="num" val="3"/>
        <color rgb="FFF8696B"/>
        <color rgb="FFFFEB84"/>
        <color rgb="FF63BE7B"/>
      </colorScale>
    </cfRule>
    <cfRule type="colorScale" priority="963">
      <colorScale>
        <cfvo type="num" val="1"/>
        <cfvo type="num" val="2"/>
        <cfvo type="num" val="3"/>
        <color rgb="FFF8696B"/>
        <color rgb="FFFFEB84"/>
        <color rgb="FF63BE7B"/>
      </colorScale>
    </cfRule>
    <cfRule type="colorScale" priority="965">
      <colorScale>
        <cfvo type="num" val="1"/>
        <cfvo type="num" val="2"/>
        <cfvo type="num" val="3"/>
        <color rgb="FFF8696B"/>
        <color rgb="FFFFEB84"/>
        <color rgb="FF63BE7B"/>
      </colorScale>
    </cfRule>
    <cfRule type="colorScale" priority="966">
      <colorScale>
        <cfvo type="num" val="1"/>
        <cfvo type="num" val="2"/>
        <cfvo type="num" val="3"/>
        <color rgb="FFF8696B"/>
        <color rgb="FFFFEB84"/>
        <color rgb="FF63BE7B"/>
      </colorScale>
    </cfRule>
    <cfRule type="colorScale" priority="967">
      <colorScale>
        <cfvo type="num" val="1"/>
        <cfvo type="num" val="2"/>
        <cfvo type="num" val="3"/>
        <color rgb="FFF8696B"/>
        <color rgb="FFFFEB84"/>
        <color rgb="FF63BE7B"/>
      </colorScale>
    </cfRule>
    <cfRule type="colorScale" priority="968">
      <colorScale>
        <cfvo type="num" val="1"/>
        <cfvo type="num" val="2"/>
        <cfvo type="num" val="3"/>
        <color rgb="FFF8696B"/>
        <color rgb="FFFFEB84"/>
        <color rgb="FF63BE7B"/>
      </colorScale>
    </cfRule>
    <cfRule type="colorScale" priority="969">
      <colorScale>
        <cfvo type="num" val="1"/>
        <cfvo type="num" val="2"/>
        <cfvo type="num" val="3"/>
        <color rgb="FFF8696B"/>
        <color rgb="FFFFEB84"/>
        <color rgb="FF63BE7B"/>
      </colorScale>
    </cfRule>
    <cfRule type="colorScale" priority="970">
      <colorScale>
        <cfvo type="num" val="1"/>
        <cfvo type="num" val="2"/>
        <cfvo type="num" val="3"/>
        <color rgb="FFF8696B"/>
        <color rgb="FFFFEB84"/>
        <color rgb="FF63BE7B"/>
      </colorScale>
    </cfRule>
    <cfRule type="colorScale" priority="971">
      <colorScale>
        <cfvo type="num" val="1"/>
        <cfvo type="num" val="2"/>
        <cfvo type="num" val="3"/>
        <color rgb="FFF8696B"/>
        <color rgb="FFFFEB84"/>
        <color rgb="FF63BE7B"/>
      </colorScale>
    </cfRule>
    <cfRule type="colorScale" priority="973">
      <colorScale>
        <cfvo type="num" val="1"/>
        <cfvo type="num" val="2"/>
        <cfvo type="num" val="3"/>
        <color rgb="FFF8696B"/>
        <color rgb="FFFFEB84"/>
        <color rgb="FF63BE7B"/>
      </colorScale>
    </cfRule>
    <cfRule type="colorScale" priority="975">
      <colorScale>
        <cfvo type="num" val="1"/>
        <cfvo type="num" val="2"/>
        <cfvo type="num" val="3"/>
        <color rgb="FFF8696B"/>
        <color rgb="FFFFEB84"/>
        <color rgb="FF63BE7B"/>
      </colorScale>
    </cfRule>
    <cfRule type="colorScale" priority="1236">
      <colorScale>
        <cfvo type="num" val="1"/>
        <cfvo type="num" val="2"/>
        <cfvo type="num" val="3"/>
        <color rgb="FFF8696B"/>
        <color rgb="FFFFEB84"/>
        <color rgb="FF63BE7B"/>
      </colorScale>
    </cfRule>
    <cfRule type="colorScale" priority="1356">
      <colorScale>
        <cfvo type="num" val="1"/>
        <cfvo type="num" val="2"/>
        <cfvo type="num" val="3"/>
        <color rgb="FFF8696B"/>
        <color rgb="FFFFEB84"/>
        <color rgb="FF63BE7B"/>
      </colorScale>
    </cfRule>
    <cfRule type="colorScale" priority="1410">
      <colorScale>
        <cfvo type="num" val="1"/>
        <cfvo type="num" val="2"/>
        <cfvo type="num" val="3"/>
        <color rgb="FFF8696B"/>
        <color rgb="FFFFEB84"/>
        <color rgb="FF63BE7B"/>
      </colorScale>
    </cfRule>
  </conditionalFormatting>
  <conditionalFormatting sqref="AC7">
    <cfRule type="colorScale" priority="1167">
      <colorScale>
        <cfvo type="num" val="1"/>
        <cfvo type="num" val="2"/>
        <cfvo type="num" val="3"/>
        <color rgb="FFF8696B"/>
        <color rgb="FFFFEB84"/>
        <color rgb="FF63BE7B"/>
      </colorScale>
    </cfRule>
    <cfRule type="colorScale" priority="1170">
      <colorScale>
        <cfvo type="num" val="1"/>
        <cfvo type="num" val="2"/>
        <cfvo type="num" val="3"/>
        <color rgb="FFF8696B"/>
        <color rgb="FFFFEB84"/>
        <color rgb="FF63BE7B"/>
      </colorScale>
    </cfRule>
    <cfRule type="colorScale" priority="1232">
      <colorScale>
        <cfvo type="num" val="1"/>
        <cfvo type="num" val="2"/>
        <cfvo type="num" val="3"/>
        <color rgb="FFF8696B"/>
        <color rgb="FFFFEB84"/>
        <color rgb="FF63BE7B"/>
      </colorScale>
    </cfRule>
    <cfRule type="colorScale" priority="1233">
      <colorScale>
        <cfvo type="num" val="1"/>
        <cfvo type="num" val="2"/>
        <cfvo type="num" val="3"/>
        <color rgb="FFF8696B"/>
        <color rgb="FFFFEB84"/>
        <color rgb="FF63BE7B"/>
      </colorScale>
    </cfRule>
    <cfRule type="colorScale" priority="1237">
      <colorScale>
        <cfvo type="num" val="1"/>
        <cfvo type="num" val="2"/>
        <cfvo type="num" val="3"/>
        <color rgb="FFF8696B"/>
        <color rgb="FFFFEB84"/>
        <color rgb="FF63BE7B"/>
      </colorScale>
    </cfRule>
    <cfRule type="colorScale" priority="1311">
      <colorScale>
        <cfvo type="num" val="1"/>
        <cfvo type="num" val="2"/>
        <cfvo type="num" val="3"/>
        <color rgb="FFF8696B"/>
        <color rgb="FFFFEB84"/>
        <color rgb="FF63BE7B"/>
      </colorScale>
    </cfRule>
    <cfRule type="colorScale" priority="1313">
      <colorScale>
        <cfvo type="num" val="1"/>
        <cfvo type="num" val="2"/>
        <cfvo type="num" val="3"/>
        <color rgb="FFF8696B"/>
        <color rgb="FFFFEB84"/>
        <color rgb="FF63BE7B"/>
      </colorScale>
    </cfRule>
  </conditionalFormatting>
  <conditionalFormatting sqref="AC9">
    <cfRule type="colorScale" priority="1102">
      <colorScale>
        <cfvo type="num" val="1"/>
        <cfvo type="num" val="2"/>
        <cfvo type="num" val="3"/>
        <color rgb="FFF8696B"/>
        <color rgb="FFFFEB84"/>
        <color rgb="FF63BE7B"/>
      </colorScale>
    </cfRule>
    <cfRule type="colorScale" priority="1103">
      <colorScale>
        <cfvo type="num" val="1"/>
        <cfvo type="num" val="2"/>
        <cfvo type="num" val="3"/>
        <color rgb="FFF8696B"/>
        <color rgb="FFFFEB84"/>
        <color rgb="FF63BE7B"/>
      </colorScale>
    </cfRule>
    <cfRule type="colorScale" priority="1104">
      <colorScale>
        <cfvo type="num" val="1"/>
        <cfvo type="num" val="2"/>
        <cfvo type="num" val="3"/>
        <color rgb="FFF8696B"/>
        <color rgb="FFFFEB84"/>
        <color rgb="FF63BE7B"/>
      </colorScale>
    </cfRule>
    <cfRule type="colorScale" priority="1105">
      <colorScale>
        <cfvo type="num" val="1"/>
        <cfvo type="num" val="2"/>
        <cfvo type="num" val="3"/>
        <color rgb="FFF8696B"/>
        <color rgb="FFFFEB84"/>
        <color rgb="FF63BE7B"/>
      </colorScale>
    </cfRule>
    <cfRule type="colorScale" priority="1106">
      <colorScale>
        <cfvo type="num" val="1"/>
        <cfvo type="num" val="2"/>
        <cfvo type="num" val="3"/>
        <color rgb="FFF8696B"/>
        <color rgb="FFFFEB84"/>
        <color rgb="FF63BE7B"/>
      </colorScale>
    </cfRule>
  </conditionalFormatting>
  <conditionalFormatting sqref="AC11">
    <cfRule type="cellIs" dxfId="3161" priority="338" operator="equal">
      <formula>5</formula>
    </cfRule>
    <cfRule type="cellIs" dxfId="3160" priority="339" operator="equal">
      <formula>4</formula>
    </cfRule>
    <cfRule type="cellIs" dxfId="3159" priority="340" operator="equal">
      <formula>1</formula>
    </cfRule>
    <cfRule type="cellIs" dxfId="3158" priority="341" operator="equal">
      <formula>3</formula>
    </cfRule>
    <cfRule type="cellIs" dxfId="3157" priority="342" operator="equal">
      <formula>2</formula>
    </cfRule>
    <cfRule type="colorScale" priority="343">
      <colorScale>
        <cfvo type="min" val="0"/>
        <cfvo type="percentile" val="50"/>
        <cfvo type="max" val="0"/>
        <color rgb="FFF8696B"/>
        <color rgb="FFFFEB84"/>
        <color rgb="FF63BE7B"/>
      </colorScale>
    </cfRule>
    <cfRule type="colorScale" priority="344">
      <colorScale>
        <cfvo type="num" val="1"/>
        <cfvo type="num" val="2"/>
        <cfvo type="num" val="3"/>
        <color rgb="FFF8696B"/>
        <color rgb="FFFFEB84"/>
        <color rgb="FF63BE7B"/>
      </colorScale>
    </cfRule>
    <cfRule type="colorScale" priority="345">
      <colorScale>
        <cfvo type="num" val="1"/>
        <cfvo type="num" val="2"/>
        <cfvo type="num" val="3"/>
        <color rgb="FFF8696B"/>
        <color rgb="FFFFEB84"/>
        <color rgb="FF63BE7B"/>
      </colorScale>
    </cfRule>
    <cfRule type="colorScale" priority="346">
      <colorScale>
        <cfvo type="num" val="1"/>
        <cfvo type="num" val="2"/>
        <cfvo type="num" val="3"/>
        <color rgb="FFF8696B"/>
        <color rgb="FFFFEB84"/>
        <color rgb="FF63BE7B"/>
      </colorScale>
    </cfRule>
    <cfRule type="colorScale" priority="347">
      <colorScale>
        <cfvo type="num" val="1"/>
        <cfvo type="num" val="2"/>
        <cfvo type="num" val="3"/>
        <color rgb="FFF8696B"/>
        <color rgb="FFFFEB84"/>
        <color rgb="FF63BE7B"/>
      </colorScale>
    </cfRule>
    <cfRule type="colorScale" priority="348">
      <colorScale>
        <cfvo type="num" val="1"/>
        <cfvo type="num" val="2"/>
        <cfvo type="num" val="3"/>
        <color rgb="FFF8696B"/>
        <color rgb="FFFFEB84"/>
        <color rgb="FF63BE7B"/>
      </colorScale>
    </cfRule>
    <cfRule type="colorScale" priority="349">
      <colorScale>
        <cfvo type="num" val="1"/>
        <cfvo type="num" val="2"/>
        <cfvo type="num" val="3"/>
        <color rgb="FFF8696B"/>
        <color rgb="FFFFEB84"/>
        <color rgb="FF63BE7B"/>
      </colorScale>
    </cfRule>
  </conditionalFormatting>
  <conditionalFormatting sqref="AC13">
    <cfRule type="colorScale" priority="283">
      <colorScale>
        <cfvo type="min" val="0"/>
        <cfvo type="percentile" val="50"/>
        <cfvo type="max" val="0"/>
        <color rgb="FFF8696B"/>
        <color rgb="FFFFEB84"/>
        <color rgb="FF63BE7B"/>
      </colorScale>
    </cfRule>
    <cfRule type="colorScale" priority="284">
      <colorScale>
        <cfvo type="num" val="1"/>
        <cfvo type="num" val="2"/>
        <cfvo type="num" val="3"/>
        <color rgb="FFF8696B"/>
        <color rgb="FFFFEB84"/>
        <color rgb="FF63BE7B"/>
      </colorScale>
    </cfRule>
    <cfRule type="colorScale" priority="285">
      <colorScale>
        <cfvo type="num" val="1"/>
        <cfvo type="num" val="2"/>
        <cfvo type="num" val="3"/>
        <color rgb="FFF8696B"/>
        <color rgb="FFFFEB84"/>
        <color rgb="FF63BE7B"/>
      </colorScale>
    </cfRule>
  </conditionalFormatting>
  <conditionalFormatting sqref="AC15">
    <cfRule type="colorScale" priority="876">
      <colorScale>
        <cfvo type="num" val="1"/>
        <cfvo type="num" val="2"/>
        <cfvo type="num" val="3"/>
        <color rgb="FFF8696B"/>
        <color rgb="FFFFEB84"/>
        <color rgb="FF63BE7B"/>
      </colorScale>
    </cfRule>
    <cfRule type="colorScale" priority="877">
      <colorScale>
        <cfvo type="num" val="1"/>
        <cfvo type="num" val="2"/>
        <cfvo type="num" val="3"/>
        <color rgb="FFF8696B"/>
        <color rgb="FFFFEB84"/>
        <color rgb="FF63BE7B"/>
      </colorScale>
    </cfRule>
    <cfRule type="colorScale" priority="911">
      <colorScale>
        <cfvo type="num" val="1"/>
        <cfvo type="num" val="2"/>
        <cfvo type="num" val="3"/>
        <color rgb="FFF8696B"/>
        <color rgb="FFFFEB84"/>
        <color rgb="FF63BE7B"/>
      </colorScale>
    </cfRule>
    <cfRule type="colorScale" priority="912">
      <colorScale>
        <cfvo type="num" val="1"/>
        <cfvo type="num" val="2"/>
        <cfvo type="num" val="3"/>
        <color rgb="FFF8696B"/>
        <color rgb="FFFFEB84"/>
        <color rgb="FF63BE7B"/>
      </colorScale>
    </cfRule>
    <cfRule type="colorScale" priority="913">
      <colorScale>
        <cfvo type="num" val="1"/>
        <cfvo type="num" val="2"/>
        <cfvo type="num" val="3"/>
        <color rgb="FFF8696B"/>
        <color rgb="FFFFEB84"/>
        <color rgb="FF63BE7B"/>
      </colorScale>
    </cfRule>
    <cfRule type="colorScale" priority="935">
      <colorScale>
        <cfvo type="num" val="1"/>
        <cfvo type="num" val="2"/>
        <cfvo type="num" val="3"/>
        <color rgb="FFF8696B"/>
        <color rgb="FFFFEB84"/>
        <color rgb="FF63BE7B"/>
      </colorScale>
    </cfRule>
    <cfRule type="colorScale" priority="936">
      <colorScale>
        <cfvo type="num" val="1"/>
        <cfvo type="num" val="2"/>
        <cfvo type="num" val="3"/>
        <color rgb="FFF8696B"/>
        <color rgb="FFFFEB84"/>
        <color rgb="FF63BE7B"/>
      </colorScale>
    </cfRule>
    <cfRule type="colorScale" priority="937">
      <colorScale>
        <cfvo type="num" val="1"/>
        <cfvo type="num" val="2"/>
        <cfvo type="num" val="3"/>
        <color rgb="FFF8696B"/>
        <color rgb="FFFFEB84"/>
        <color rgb="FF63BE7B"/>
      </colorScale>
    </cfRule>
  </conditionalFormatting>
  <conditionalFormatting sqref="AC7:AD7">
    <cfRule type="colorScale" priority="1310">
      <colorScale>
        <cfvo type="num" val="1"/>
        <cfvo type="num" val="2"/>
        <cfvo type="num" val="3"/>
        <color rgb="FFF8696B"/>
        <color rgb="FFFFEB84"/>
        <color rgb="FF63BE7B"/>
      </colorScale>
    </cfRule>
  </conditionalFormatting>
  <conditionalFormatting sqref="AD5">
    <cfRule type="colorScale" priority="743">
      <colorScale>
        <cfvo type="num" val="1"/>
        <cfvo type="num" val="2"/>
        <cfvo type="num" val="3"/>
        <color rgb="FFF8696B"/>
        <color rgb="FFFFEB84"/>
        <color rgb="FF63BE7B"/>
      </colorScale>
    </cfRule>
    <cfRule type="colorScale" priority="744">
      <colorScale>
        <cfvo type="num" val="1"/>
        <cfvo type="num" val="2"/>
        <cfvo type="num" val="3"/>
        <color rgb="FFF8696B"/>
        <color rgb="FFFFEB84"/>
        <color rgb="FF63BE7B"/>
      </colorScale>
    </cfRule>
    <cfRule type="colorScale" priority="745">
      <colorScale>
        <cfvo type="num" val="1"/>
        <cfvo type="num" val="2"/>
        <cfvo type="num" val="3"/>
        <color rgb="FFF8696B"/>
        <color rgb="FFFFEB84"/>
        <color rgb="FF63BE7B"/>
      </colorScale>
    </cfRule>
    <cfRule type="colorScale" priority="748">
      <colorScale>
        <cfvo type="num" val="1"/>
        <cfvo type="num" val="2"/>
        <cfvo type="num" val="3"/>
        <color rgb="FFF8696B"/>
        <color rgb="FFFFEB84"/>
        <color rgb="FF63BE7B"/>
      </colorScale>
    </cfRule>
    <cfRule type="colorScale" priority="751">
      <colorScale>
        <cfvo type="num" val="1"/>
        <cfvo type="num" val="2"/>
        <cfvo type="num" val="3"/>
        <color rgb="FFF8696B"/>
        <color rgb="FFFFEB84"/>
        <color rgb="FF63BE7B"/>
      </colorScale>
    </cfRule>
    <cfRule type="colorScale" priority="752">
      <colorScale>
        <cfvo type="num" val="1"/>
        <cfvo type="num" val="2"/>
        <cfvo type="num" val="3"/>
        <color rgb="FFF8696B"/>
        <color rgb="FFFFEB84"/>
        <color rgb="FF63BE7B"/>
      </colorScale>
    </cfRule>
    <cfRule type="colorScale" priority="1258">
      <colorScale>
        <cfvo type="num" val="1"/>
        <cfvo type="num" val="2"/>
        <cfvo type="num" val="3"/>
        <color rgb="FFF8696B"/>
        <color rgb="FFFFEB84"/>
        <color rgb="FF63BE7B"/>
      </colorScale>
    </cfRule>
    <cfRule type="colorScale" priority="1260">
      <colorScale>
        <cfvo type="num" val="1"/>
        <cfvo type="num" val="2"/>
        <cfvo type="num" val="3"/>
        <color rgb="FFF8696B"/>
        <color rgb="FFFFEB84"/>
        <color rgb="FF63BE7B"/>
      </colorScale>
    </cfRule>
    <cfRule type="colorScale" priority="1307">
      <colorScale>
        <cfvo type="num" val="1"/>
        <cfvo type="num" val="2"/>
        <cfvo type="num" val="3"/>
        <color rgb="FFF8696B"/>
        <color rgb="FFFFEB84"/>
        <color rgb="FF63BE7B"/>
      </colorScale>
    </cfRule>
    <cfRule type="colorScale" priority="1309">
      <colorScale>
        <cfvo type="num" val="1"/>
        <cfvo type="num" val="2"/>
        <cfvo type="num" val="3"/>
        <color rgb="FFF8696B"/>
        <color rgb="FFFFEB84"/>
        <color rgb="FF63BE7B"/>
      </colorScale>
    </cfRule>
    <cfRule type="colorScale" priority="1357">
      <colorScale>
        <cfvo type="num" val="1"/>
        <cfvo type="num" val="2"/>
        <cfvo type="num" val="3"/>
        <color rgb="FFF8696B"/>
        <color rgb="FFFFEB84"/>
        <color rgb="FF63BE7B"/>
      </colorScale>
    </cfRule>
    <cfRule type="colorScale" priority="1392">
      <colorScale>
        <cfvo type="num" val="1"/>
        <cfvo type="num" val="2"/>
        <cfvo type="num" val="3"/>
        <color rgb="FFF8696B"/>
        <color rgb="FFFFEB84"/>
        <color rgb="FF63BE7B"/>
      </colorScale>
    </cfRule>
    <cfRule type="colorScale" priority="1394">
      <colorScale>
        <cfvo type="num" val="1"/>
        <cfvo type="num" val="2"/>
        <cfvo type="num" val="3"/>
        <color rgb="FFF8696B"/>
        <color rgb="FFFFEB84"/>
        <color rgb="FF63BE7B"/>
      </colorScale>
    </cfRule>
  </conditionalFormatting>
  <conditionalFormatting sqref="AD7">
    <cfRule type="colorScale" priority="1168">
      <colorScale>
        <cfvo type="num" val="1"/>
        <cfvo type="num" val="2"/>
        <cfvo type="num" val="3"/>
        <color rgb="FFF8696B"/>
        <color rgb="FFFFEB84"/>
        <color rgb="FF63BE7B"/>
      </colorScale>
    </cfRule>
    <cfRule type="colorScale" priority="1169">
      <colorScale>
        <cfvo type="num" val="1"/>
        <cfvo type="num" val="2"/>
        <cfvo type="num" val="3"/>
        <color rgb="FFF8696B"/>
        <color rgb="FFFFEB84"/>
        <color rgb="FF63BE7B"/>
      </colorScale>
    </cfRule>
    <cfRule type="colorScale" priority="1171">
      <colorScale>
        <cfvo type="num" val="1"/>
        <cfvo type="num" val="2"/>
        <cfvo type="num" val="3"/>
        <color rgb="FFF8696B"/>
        <color rgb="FFFFEB84"/>
        <color rgb="FF63BE7B"/>
      </colorScale>
    </cfRule>
    <cfRule type="colorScale" priority="1312">
      <colorScale>
        <cfvo type="num" val="1"/>
        <cfvo type="num" val="2"/>
        <cfvo type="num" val="3"/>
        <color rgb="FFF8696B"/>
        <color rgb="FFFFEB84"/>
        <color rgb="FF63BE7B"/>
      </colorScale>
    </cfRule>
    <cfRule type="colorScale" priority="1326">
      <colorScale>
        <cfvo type="num" val="1"/>
        <cfvo type="num" val="2"/>
        <cfvo type="num" val="3"/>
        <color rgb="FFF8696B"/>
        <color rgb="FFFFEB84"/>
        <color rgb="FF63BE7B"/>
      </colorScale>
    </cfRule>
    <cfRule type="colorScale" priority="1355">
      <colorScale>
        <cfvo type="num" val="1"/>
        <cfvo type="num" val="2"/>
        <cfvo type="num" val="3"/>
        <color rgb="FFF8696B"/>
        <color rgb="FFFFEB84"/>
        <color rgb="FF63BE7B"/>
      </colorScale>
    </cfRule>
    <cfRule type="colorScale" priority="1380">
      <colorScale>
        <cfvo type="num" val="1"/>
        <cfvo type="num" val="2"/>
        <cfvo type="num" val="3"/>
        <color rgb="FFF8696B"/>
        <color rgb="FFFFEB84"/>
        <color rgb="FF63BE7B"/>
      </colorScale>
    </cfRule>
    <cfRule type="colorScale" priority="1395">
      <colorScale>
        <cfvo type="num" val="1"/>
        <cfvo type="num" val="2"/>
        <cfvo type="num" val="3"/>
        <color rgb="FFF8696B"/>
        <color rgb="FFFFEB84"/>
        <color rgb="FF63BE7B"/>
      </colorScale>
    </cfRule>
    <cfRule type="colorScale" priority="1409">
      <colorScale>
        <cfvo type="num" val="1"/>
        <cfvo type="num" val="2"/>
        <cfvo type="num" val="3"/>
        <color rgb="FFF8696B"/>
        <color rgb="FFFFEB84"/>
        <color rgb="FF63BE7B"/>
      </colorScale>
    </cfRule>
  </conditionalFormatting>
  <conditionalFormatting sqref="AD9">
    <cfRule type="cellIs" dxfId="3156" priority="350" operator="equal">
      <formula>5</formula>
    </cfRule>
    <cfRule type="cellIs" dxfId="3155" priority="351" operator="equal">
      <formula>4</formula>
    </cfRule>
    <cfRule type="cellIs" dxfId="3154" priority="352" operator="equal">
      <formula>1</formula>
    </cfRule>
    <cfRule type="cellIs" dxfId="3153" priority="353" operator="equal">
      <formula>3</formula>
    </cfRule>
    <cfRule type="cellIs" dxfId="3152" priority="354" operator="equal">
      <formula>2</formula>
    </cfRule>
    <cfRule type="colorScale" priority="355">
      <colorScale>
        <cfvo type="min" val="0"/>
        <cfvo type="percentile" val="50"/>
        <cfvo type="max" val="0"/>
        <color rgb="FFF8696B"/>
        <color rgb="FFFFEB84"/>
        <color rgb="FF63BE7B"/>
      </colorScale>
    </cfRule>
    <cfRule type="colorScale" priority="356">
      <colorScale>
        <cfvo type="num" val="1"/>
        <cfvo type="num" val="2"/>
        <cfvo type="num" val="3"/>
        <color rgb="FFF8696B"/>
        <color rgb="FFFFEB84"/>
        <color rgb="FF63BE7B"/>
      </colorScale>
    </cfRule>
    <cfRule type="colorScale" priority="357">
      <colorScale>
        <cfvo type="num" val="1"/>
        <cfvo type="num" val="2"/>
        <cfvo type="num" val="3"/>
        <color rgb="FFF8696B"/>
        <color rgb="FFFFEB84"/>
        <color rgb="FF63BE7B"/>
      </colorScale>
    </cfRule>
    <cfRule type="colorScale" priority="358">
      <colorScale>
        <cfvo type="num" val="1"/>
        <cfvo type="num" val="2"/>
        <cfvo type="num" val="3"/>
        <color rgb="FFF8696B"/>
        <color rgb="FFFFEB84"/>
        <color rgb="FF63BE7B"/>
      </colorScale>
    </cfRule>
    <cfRule type="colorScale" priority="359">
      <colorScale>
        <cfvo type="num" val="1"/>
        <cfvo type="num" val="2"/>
        <cfvo type="num" val="3"/>
        <color rgb="FFF8696B"/>
        <color rgb="FFFFEB84"/>
        <color rgb="FF63BE7B"/>
      </colorScale>
    </cfRule>
    <cfRule type="colorScale" priority="360">
      <colorScale>
        <cfvo type="num" val="1"/>
        <cfvo type="num" val="2"/>
        <cfvo type="num" val="3"/>
        <color rgb="FFF8696B"/>
        <color rgb="FFFFEB84"/>
        <color rgb="FF63BE7B"/>
      </colorScale>
    </cfRule>
    <cfRule type="colorScale" priority="361">
      <colorScale>
        <cfvo type="num" val="1"/>
        <cfvo type="num" val="2"/>
        <cfvo type="num" val="3"/>
        <color rgb="FFF8696B"/>
        <color rgb="FFFFEB84"/>
        <color rgb="FF63BE7B"/>
      </colorScale>
    </cfRule>
  </conditionalFormatting>
  <conditionalFormatting sqref="AD11">
    <cfRule type="colorScale" priority="1072">
      <colorScale>
        <cfvo type="num" val="1"/>
        <cfvo type="num" val="2"/>
        <cfvo type="num" val="3"/>
        <color rgb="FFF8696B"/>
        <color rgb="FFFFEB84"/>
        <color rgb="FF63BE7B"/>
      </colorScale>
    </cfRule>
  </conditionalFormatting>
  <conditionalFormatting sqref="AD13">
    <cfRule type="colorScale" priority="1019">
      <colorScale>
        <cfvo type="num" val="1"/>
        <cfvo type="num" val="2"/>
        <cfvo type="num" val="3"/>
        <color rgb="FFF8696B"/>
        <color rgb="FFFFEB84"/>
        <color rgb="FF63BE7B"/>
      </colorScale>
    </cfRule>
    <cfRule type="colorScale" priority="1020">
      <colorScale>
        <cfvo type="num" val="1"/>
        <cfvo type="num" val="2"/>
        <cfvo type="num" val="3"/>
        <color rgb="FFF8696B"/>
        <color rgb="FFFFEB84"/>
        <color rgb="FF63BE7B"/>
      </colorScale>
    </cfRule>
    <cfRule type="colorScale" priority="1021">
      <colorScale>
        <cfvo type="num" val="1"/>
        <cfvo type="num" val="2"/>
        <cfvo type="num" val="3"/>
        <color rgb="FFF8696B"/>
        <color rgb="FFFFEB84"/>
        <color rgb="FF63BE7B"/>
      </colorScale>
    </cfRule>
    <cfRule type="colorScale" priority="1052">
      <colorScale>
        <cfvo type="num" val="1"/>
        <cfvo type="num" val="2"/>
        <cfvo type="num" val="3"/>
        <color rgb="FFF8696B"/>
        <color rgb="FFFFEB84"/>
        <color rgb="FF63BE7B"/>
      </colorScale>
    </cfRule>
    <cfRule type="colorScale" priority="1053">
      <colorScale>
        <cfvo type="num" val="1"/>
        <cfvo type="num" val="2"/>
        <cfvo type="num" val="3"/>
        <color rgb="FFF8696B"/>
        <color rgb="FFFFEB84"/>
        <color rgb="FF63BE7B"/>
      </colorScale>
    </cfRule>
    <cfRule type="colorScale" priority="1055">
      <colorScale>
        <cfvo type="num" val="1"/>
        <cfvo type="num" val="2"/>
        <cfvo type="num" val="3"/>
        <color rgb="FFF8696B"/>
        <color rgb="FFFFEB84"/>
        <color rgb="FF63BE7B"/>
      </colorScale>
    </cfRule>
    <cfRule type="colorScale" priority="1059">
      <colorScale>
        <cfvo type="num" val="1"/>
        <cfvo type="num" val="2"/>
        <cfvo type="num" val="3"/>
        <color rgb="FFF8696B"/>
        <color rgb="FFFFEB84"/>
        <color rgb="FF63BE7B"/>
      </colorScale>
    </cfRule>
    <cfRule type="colorScale" priority="1063">
      <colorScale>
        <cfvo type="num" val="1"/>
        <cfvo type="num" val="2"/>
        <cfvo type="num" val="3"/>
        <color rgb="FFF8696B"/>
        <color rgb="FFFFEB84"/>
        <color rgb="FF63BE7B"/>
      </colorScale>
    </cfRule>
    <cfRule type="colorScale" priority="1065">
      <colorScale>
        <cfvo type="num" val="1"/>
        <cfvo type="num" val="2"/>
        <cfvo type="num" val="3"/>
        <color rgb="FFF8696B"/>
        <color rgb="FFFFEB84"/>
        <color rgb="FF63BE7B"/>
      </colorScale>
    </cfRule>
    <cfRule type="colorScale" priority="1066">
      <colorScale>
        <cfvo type="num" val="1"/>
        <cfvo type="num" val="2"/>
        <cfvo type="num" val="3"/>
        <color rgb="FFF8696B"/>
        <color rgb="FFFFEB84"/>
        <color rgb="FF63BE7B"/>
      </colorScale>
    </cfRule>
  </conditionalFormatting>
  <conditionalFormatting sqref="AD15">
    <cfRule type="cellIs" dxfId="3151" priority="374" operator="equal">
      <formula>5</formula>
    </cfRule>
    <cfRule type="cellIs" dxfId="3150" priority="375" operator="equal">
      <formula>4</formula>
    </cfRule>
    <cfRule type="cellIs" dxfId="3149" priority="376" operator="equal">
      <formula>1</formula>
    </cfRule>
    <cfRule type="cellIs" dxfId="3148" priority="377" operator="equal">
      <formula>3</formula>
    </cfRule>
    <cfRule type="cellIs" dxfId="3147" priority="378" operator="equal">
      <formula>2</formula>
    </cfRule>
    <cfRule type="colorScale" priority="379">
      <colorScale>
        <cfvo type="min" val="0"/>
        <cfvo type="percentile" val="50"/>
        <cfvo type="max" val="0"/>
        <color rgb="FFF8696B"/>
        <color rgb="FFFFEB84"/>
        <color rgb="FF63BE7B"/>
      </colorScale>
    </cfRule>
    <cfRule type="colorScale" priority="380">
      <colorScale>
        <cfvo type="num" val="1"/>
        <cfvo type="num" val="2"/>
        <cfvo type="num" val="3"/>
        <color rgb="FFF8696B"/>
        <color rgb="FFFFEB84"/>
        <color rgb="FF63BE7B"/>
      </colorScale>
    </cfRule>
    <cfRule type="colorScale" priority="381">
      <colorScale>
        <cfvo type="num" val="1"/>
        <cfvo type="num" val="2"/>
        <cfvo type="num" val="3"/>
        <color rgb="FFF8696B"/>
        <color rgb="FFFFEB84"/>
        <color rgb="FF63BE7B"/>
      </colorScale>
    </cfRule>
  </conditionalFormatting>
  <conditionalFormatting sqref="AD5:AE5">
    <cfRule type="colorScale" priority="750">
      <colorScale>
        <cfvo type="num" val="1"/>
        <cfvo type="num" val="2"/>
        <cfvo type="num" val="3"/>
        <color rgb="FFF8696B"/>
        <color rgb="FFFFEB84"/>
        <color rgb="FF63BE7B"/>
      </colorScale>
    </cfRule>
    <cfRule type="colorScale" priority="1306">
      <colorScale>
        <cfvo type="num" val="1"/>
        <cfvo type="num" val="2"/>
        <cfvo type="num" val="3"/>
        <color rgb="FFF8696B"/>
        <color rgb="FFFFEB84"/>
        <color rgb="FF63BE7B"/>
      </colorScale>
    </cfRule>
  </conditionalFormatting>
  <conditionalFormatting sqref="AE5">
    <cfRule type="colorScale" priority="741">
      <colorScale>
        <cfvo type="num" val="1"/>
        <cfvo type="num" val="2"/>
        <cfvo type="num" val="3"/>
        <color rgb="FFF8696B"/>
        <color rgb="FFFFEB84"/>
        <color rgb="FF63BE7B"/>
      </colorScale>
    </cfRule>
    <cfRule type="colorScale" priority="742">
      <colorScale>
        <cfvo type="num" val="1"/>
        <cfvo type="num" val="2"/>
        <cfvo type="num" val="3"/>
        <color rgb="FFF8696B"/>
        <color rgb="FFFFEB84"/>
        <color rgb="FF63BE7B"/>
      </colorScale>
    </cfRule>
    <cfRule type="colorScale" priority="746">
      <colorScale>
        <cfvo type="num" val="1"/>
        <cfvo type="num" val="2"/>
        <cfvo type="num" val="3"/>
        <color rgb="FFF8696B"/>
        <color rgb="FFFFEB84"/>
        <color rgb="FF63BE7B"/>
      </colorScale>
    </cfRule>
    <cfRule type="colorScale" priority="747">
      <colorScale>
        <cfvo type="num" val="1"/>
        <cfvo type="num" val="2"/>
        <cfvo type="num" val="3"/>
        <color rgb="FFF8696B"/>
        <color rgb="FFFFEB84"/>
        <color rgb="FF63BE7B"/>
      </colorScale>
    </cfRule>
    <cfRule type="colorScale" priority="749">
      <colorScale>
        <cfvo type="num" val="1"/>
        <cfvo type="num" val="2"/>
        <cfvo type="num" val="3"/>
        <color rgb="FFF8696B"/>
        <color rgb="FFFFEB84"/>
        <color rgb="FF63BE7B"/>
      </colorScale>
    </cfRule>
    <cfRule type="colorScale" priority="753">
      <colorScale>
        <cfvo type="num" val="1"/>
        <cfvo type="num" val="2"/>
        <cfvo type="num" val="3"/>
        <color rgb="FFF8696B"/>
        <color rgb="FFFFEB84"/>
        <color rgb="FF63BE7B"/>
      </colorScale>
    </cfRule>
    <cfRule type="colorScale" priority="754">
      <colorScale>
        <cfvo type="num" val="1"/>
        <cfvo type="num" val="2"/>
        <cfvo type="num" val="3"/>
        <color rgb="FFF8696B"/>
        <color rgb="FFFFEB84"/>
        <color rgb="FF63BE7B"/>
      </colorScale>
    </cfRule>
    <cfRule type="colorScale" priority="755">
      <colorScale>
        <cfvo type="num" val="1"/>
        <cfvo type="num" val="2"/>
        <cfvo type="num" val="3"/>
        <color rgb="FFF8696B"/>
        <color rgb="FFFFEB84"/>
        <color rgb="FF63BE7B"/>
      </colorScale>
    </cfRule>
    <cfRule type="colorScale" priority="756">
      <colorScale>
        <cfvo type="num" val="1"/>
        <cfvo type="num" val="2"/>
        <cfvo type="num" val="3"/>
        <color rgb="FFF8696B"/>
        <color rgb="FFFFEB84"/>
        <color rgb="FF63BE7B"/>
      </colorScale>
    </cfRule>
    <cfRule type="colorScale" priority="757">
      <colorScale>
        <cfvo type="num" val="1"/>
        <cfvo type="num" val="2"/>
        <cfvo type="num" val="3"/>
        <color rgb="FFF8696B"/>
        <color rgb="FFFFEB84"/>
        <color rgb="FF63BE7B"/>
      </colorScale>
    </cfRule>
    <cfRule type="colorScale" priority="1212">
      <colorScale>
        <cfvo type="num" val="1"/>
        <cfvo type="num" val="2"/>
        <cfvo type="num" val="3"/>
        <color rgb="FFF8696B"/>
        <color rgb="FFFFEB84"/>
        <color rgb="FF63BE7B"/>
      </colorScale>
    </cfRule>
    <cfRule type="colorScale" priority="1213">
      <colorScale>
        <cfvo type="num" val="1"/>
        <cfvo type="num" val="2"/>
        <cfvo type="num" val="3"/>
        <color rgb="FFF8696B"/>
        <color rgb="FFFFEB84"/>
        <color rgb="FF63BE7B"/>
      </colorScale>
    </cfRule>
    <cfRule type="colorScale" priority="1214">
      <colorScale>
        <cfvo type="num" val="1"/>
        <cfvo type="num" val="2"/>
        <cfvo type="num" val="3"/>
        <color rgb="FFF8696B"/>
        <color rgb="FFFFEB84"/>
        <color rgb="FF63BE7B"/>
      </colorScale>
    </cfRule>
    <cfRule type="colorScale" priority="1215">
      <colorScale>
        <cfvo type="num" val="1"/>
        <cfvo type="num" val="2"/>
        <cfvo type="num" val="3"/>
        <color rgb="FFF8696B"/>
        <color rgb="FFFFEB84"/>
        <color rgb="FF63BE7B"/>
      </colorScale>
    </cfRule>
    <cfRule type="colorScale" priority="1216">
      <colorScale>
        <cfvo type="num" val="1"/>
        <cfvo type="num" val="2"/>
        <cfvo type="num" val="3"/>
        <color rgb="FFF8696B"/>
        <color rgb="FFFFEB84"/>
        <color rgb="FF63BE7B"/>
      </colorScale>
    </cfRule>
    <cfRule type="colorScale" priority="1217">
      <colorScale>
        <cfvo type="num" val="1"/>
        <cfvo type="num" val="2"/>
        <cfvo type="num" val="3"/>
        <color rgb="FFF8696B"/>
        <color rgb="FFFFEB84"/>
        <color rgb="FF63BE7B"/>
      </colorScale>
    </cfRule>
    <cfRule type="colorScale" priority="1259">
      <colorScale>
        <cfvo type="num" val="1"/>
        <cfvo type="num" val="2"/>
        <cfvo type="num" val="3"/>
        <color rgb="FFF8696B"/>
        <color rgb="FFFFEB84"/>
        <color rgb="FF63BE7B"/>
      </colorScale>
    </cfRule>
    <cfRule type="colorScale" priority="1308">
      <colorScale>
        <cfvo type="num" val="1"/>
        <cfvo type="num" val="2"/>
        <cfvo type="num" val="3"/>
        <color rgb="FFF8696B"/>
        <color rgb="FFFFEB84"/>
        <color rgb="FF63BE7B"/>
      </colorScale>
    </cfRule>
    <cfRule type="colorScale" priority="1379">
      <colorScale>
        <cfvo type="num" val="1"/>
        <cfvo type="num" val="2"/>
        <cfvo type="num" val="3"/>
        <color rgb="FFF8696B"/>
        <color rgb="FFFFEB84"/>
        <color rgb="FF63BE7B"/>
      </colorScale>
    </cfRule>
    <cfRule type="colorScale" priority="1391">
      <colorScale>
        <cfvo type="num" val="1"/>
        <cfvo type="num" val="2"/>
        <cfvo type="num" val="3"/>
        <color rgb="FFF8696B"/>
        <color rgb="FFFFEB84"/>
        <color rgb="FF63BE7B"/>
      </colorScale>
    </cfRule>
    <cfRule type="colorScale" priority="1393">
      <colorScale>
        <cfvo type="num" val="1"/>
        <cfvo type="num" val="2"/>
        <cfvo type="num" val="3"/>
        <color rgb="FFF8696B"/>
        <color rgb="FFFFEB84"/>
        <color rgb="FF63BE7B"/>
      </colorScale>
    </cfRule>
  </conditionalFormatting>
  <conditionalFormatting sqref="AE7">
    <cfRule type="cellIs" dxfId="3146" priority="73" operator="equal">
      <formula>5</formula>
    </cfRule>
    <cfRule type="cellIs" dxfId="3145" priority="74" operator="equal">
      <formula>4</formula>
    </cfRule>
    <cfRule type="cellIs" dxfId="3144" priority="75" operator="equal">
      <formula>1</formula>
    </cfRule>
    <cfRule type="cellIs" dxfId="3143" priority="76" operator="equal">
      <formula>3</formula>
    </cfRule>
    <cfRule type="cellIs" dxfId="3142" priority="77" operator="equal">
      <formula>2</formula>
    </cfRule>
    <cfRule type="colorScale" priority="78">
      <colorScale>
        <cfvo type="min" val="0"/>
        <cfvo type="percentile" val="50"/>
        <cfvo type="max" val="0"/>
        <color rgb="FFF8696B"/>
        <color rgb="FFFFEB84"/>
        <color rgb="FF63BE7B"/>
      </colorScale>
    </cfRule>
    <cfRule type="colorScale" priority="79">
      <colorScale>
        <cfvo type="num" val="1"/>
        <cfvo type="num" val="2"/>
        <cfvo type="num" val="3"/>
        <color rgb="FFF8696B"/>
        <color rgb="FFFFEB84"/>
        <color rgb="FF63BE7B"/>
      </colorScale>
    </cfRule>
    <cfRule type="colorScale" priority="80">
      <colorScale>
        <cfvo type="num" val="1"/>
        <cfvo type="num" val="2"/>
        <cfvo type="num" val="3"/>
        <color rgb="FFF8696B"/>
        <color rgb="FFFFEB84"/>
        <color rgb="FF63BE7B"/>
      </colorScale>
    </cfRule>
  </conditionalFormatting>
  <conditionalFormatting sqref="AE9">
    <cfRule type="colorScale" priority="1107">
      <colorScale>
        <cfvo type="num" val="1"/>
        <cfvo type="num" val="2"/>
        <cfvo type="num" val="3"/>
        <color rgb="FFF8696B"/>
        <color rgb="FFFFEB84"/>
        <color rgb="FF63BE7B"/>
      </colorScale>
    </cfRule>
    <cfRule type="colorScale" priority="1108">
      <colorScale>
        <cfvo type="num" val="1"/>
        <cfvo type="num" val="2"/>
        <cfvo type="num" val="3"/>
        <color rgb="FFF8696B"/>
        <color rgb="FFFFEB84"/>
        <color rgb="FF63BE7B"/>
      </colorScale>
    </cfRule>
    <cfRule type="colorScale" priority="1109">
      <colorScale>
        <cfvo type="num" val="1"/>
        <cfvo type="num" val="2"/>
        <cfvo type="num" val="3"/>
        <color rgb="FFF8696B"/>
        <color rgb="FFFFEB84"/>
        <color rgb="FF63BE7B"/>
      </colorScale>
    </cfRule>
    <cfRule type="colorScale" priority="1110">
      <colorScale>
        <cfvo type="num" val="1"/>
        <cfvo type="num" val="2"/>
        <cfvo type="num" val="3"/>
        <color rgb="FFF8696B"/>
        <color rgb="FFFFEB84"/>
        <color rgb="FF63BE7B"/>
      </colorScale>
    </cfRule>
    <cfRule type="colorScale" priority="1111">
      <colorScale>
        <cfvo type="num" val="1"/>
        <cfvo type="num" val="2"/>
        <cfvo type="num" val="3"/>
        <color rgb="FFF8696B"/>
        <color rgb="FFFFEB84"/>
        <color rgb="FF63BE7B"/>
      </colorScale>
    </cfRule>
    <cfRule type="colorScale" priority="1112">
      <colorScale>
        <cfvo type="num" val="1"/>
        <cfvo type="num" val="2"/>
        <cfvo type="num" val="3"/>
        <color rgb="FFF8696B"/>
        <color rgb="FFFFEB84"/>
        <color rgb="FF63BE7B"/>
      </colorScale>
    </cfRule>
    <cfRule type="colorScale" priority="1113">
      <colorScale>
        <cfvo type="num" val="1"/>
        <cfvo type="num" val="2"/>
        <cfvo type="num" val="3"/>
        <color rgb="FFF8696B"/>
        <color rgb="FFFFEB84"/>
        <color rgb="FF63BE7B"/>
      </colorScale>
    </cfRule>
    <cfRule type="colorScale" priority="1114">
      <colorScale>
        <cfvo type="num" val="1"/>
        <cfvo type="num" val="2"/>
        <cfvo type="num" val="3"/>
        <color rgb="FFF8696B"/>
        <color rgb="FFFFEB84"/>
        <color rgb="FF63BE7B"/>
      </colorScale>
    </cfRule>
    <cfRule type="colorScale" priority="1115">
      <colorScale>
        <cfvo type="num" val="1"/>
        <cfvo type="num" val="2"/>
        <cfvo type="num" val="3"/>
        <color rgb="FFF8696B"/>
        <color rgb="FFFFEB84"/>
        <color rgb="FF63BE7B"/>
      </colorScale>
    </cfRule>
    <cfRule type="colorScale" priority="1116">
      <colorScale>
        <cfvo type="num" val="1"/>
        <cfvo type="num" val="2"/>
        <cfvo type="num" val="3"/>
        <color rgb="FFF8696B"/>
        <color rgb="FFFFEB84"/>
        <color rgb="FF63BE7B"/>
      </colorScale>
    </cfRule>
    <cfRule type="colorScale" priority="1117">
      <colorScale>
        <cfvo type="num" val="1"/>
        <cfvo type="num" val="2"/>
        <cfvo type="num" val="3"/>
        <color rgb="FFF8696B"/>
        <color rgb="FFFFEB84"/>
        <color rgb="FF63BE7B"/>
      </colorScale>
    </cfRule>
    <cfRule type="colorScale" priority="1118">
      <colorScale>
        <cfvo type="num" val="1"/>
        <cfvo type="num" val="2"/>
        <cfvo type="num" val="3"/>
        <color rgb="FFF8696B"/>
        <color rgb="FFFFEB84"/>
        <color rgb="FF63BE7B"/>
      </colorScale>
    </cfRule>
  </conditionalFormatting>
  <conditionalFormatting sqref="AE11">
    <cfRule type="cellIs" dxfId="3141" priority="326" operator="equal">
      <formula>5</formula>
    </cfRule>
    <cfRule type="cellIs" dxfId="3140" priority="327" operator="equal">
      <formula>4</formula>
    </cfRule>
    <cfRule type="cellIs" dxfId="3139" priority="328" operator="equal">
      <formula>1</formula>
    </cfRule>
    <cfRule type="cellIs" dxfId="3138" priority="329" operator="equal">
      <formula>3</formula>
    </cfRule>
    <cfRule type="cellIs" dxfId="3137" priority="330" operator="equal">
      <formula>2</formula>
    </cfRule>
    <cfRule type="colorScale" priority="331">
      <colorScale>
        <cfvo type="min" val="0"/>
        <cfvo type="percentile" val="50"/>
        <cfvo type="max" val="0"/>
        <color rgb="FFF8696B"/>
        <color rgb="FFFFEB84"/>
        <color rgb="FF63BE7B"/>
      </colorScale>
    </cfRule>
    <cfRule type="colorScale" priority="332">
      <colorScale>
        <cfvo type="num" val="1"/>
        <cfvo type="num" val="2"/>
        <cfvo type="num" val="3"/>
        <color rgb="FFF8696B"/>
        <color rgb="FFFFEB84"/>
        <color rgb="FF63BE7B"/>
      </colorScale>
    </cfRule>
    <cfRule type="colorScale" priority="333">
      <colorScale>
        <cfvo type="num" val="1"/>
        <cfvo type="num" val="2"/>
        <cfvo type="num" val="3"/>
        <color rgb="FFF8696B"/>
        <color rgb="FFFFEB84"/>
        <color rgb="FF63BE7B"/>
      </colorScale>
    </cfRule>
    <cfRule type="colorScale" priority="334">
      <colorScale>
        <cfvo type="num" val="1"/>
        <cfvo type="num" val="2"/>
        <cfvo type="num" val="3"/>
        <color rgb="FFF8696B"/>
        <color rgb="FFFFEB84"/>
        <color rgb="FF63BE7B"/>
      </colorScale>
    </cfRule>
    <cfRule type="colorScale" priority="335">
      <colorScale>
        <cfvo type="num" val="1"/>
        <cfvo type="num" val="2"/>
        <cfvo type="num" val="3"/>
        <color rgb="FFF8696B"/>
        <color rgb="FFFFEB84"/>
        <color rgb="FF63BE7B"/>
      </colorScale>
    </cfRule>
    <cfRule type="colorScale" priority="336">
      <colorScale>
        <cfvo type="num" val="1"/>
        <cfvo type="num" val="2"/>
        <cfvo type="num" val="3"/>
        <color rgb="FFF8696B"/>
        <color rgb="FFFFEB84"/>
        <color rgb="FF63BE7B"/>
      </colorScale>
    </cfRule>
    <cfRule type="colorScale" priority="337">
      <colorScale>
        <cfvo type="num" val="1"/>
        <cfvo type="num" val="2"/>
        <cfvo type="num" val="3"/>
        <color rgb="FFF8696B"/>
        <color rgb="FFFFEB84"/>
        <color rgb="FF63BE7B"/>
      </colorScale>
    </cfRule>
  </conditionalFormatting>
  <conditionalFormatting sqref="AE13">
    <cfRule type="colorScale" priority="1014">
      <colorScale>
        <cfvo type="num" val="1"/>
        <cfvo type="num" val="2"/>
        <cfvo type="num" val="3"/>
        <color rgb="FFF8696B"/>
        <color rgb="FFFFEB84"/>
        <color rgb="FF63BE7B"/>
      </colorScale>
    </cfRule>
    <cfRule type="colorScale" priority="1017">
      <colorScale>
        <cfvo type="num" val="1"/>
        <cfvo type="num" val="2"/>
        <cfvo type="num" val="3"/>
        <color rgb="FFF8696B"/>
        <color rgb="FFFFEB84"/>
        <color rgb="FF63BE7B"/>
      </colorScale>
    </cfRule>
    <cfRule type="colorScale" priority="1045">
      <colorScale>
        <cfvo type="num" val="1"/>
        <cfvo type="num" val="2"/>
        <cfvo type="num" val="3"/>
        <color rgb="FFF8696B"/>
        <color rgb="FFFFEB84"/>
        <color rgb="FF63BE7B"/>
      </colorScale>
    </cfRule>
    <cfRule type="colorScale" priority="1048">
      <colorScale>
        <cfvo type="num" val="1"/>
        <cfvo type="num" val="2"/>
        <cfvo type="num" val="3"/>
        <color rgb="FFF8696B"/>
        <color rgb="FFFFEB84"/>
        <color rgb="FF63BE7B"/>
      </colorScale>
    </cfRule>
  </conditionalFormatting>
  <conditionalFormatting sqref="AE15">
    <cfRule type="colorScale" priority="871">
      <colorScale>
        <cfvo type="num" val="1"/>
        <cfvo type="num" val="2"/>
        <cfvo type="num" val="3"/>
        <color rgb="FFF8696B"/>
        <color rgb="FFFFEB84"/>
        <color rgb="FF63BE7B"/>
      </colorScale>
    </cfRule>
    <cfRule type="colorScale" priority="874">
      <colorScale>
        <cfvo type="num" val="1"/>
        <cfvo type="num" val="2"/>
        <cfvo type="num" val="3"/>
        <color rgb="FFF8696B"/>
        <color rgb="FFFFEB84"/>
        <color rgb="FF63BE7B"/>
      </colorScale>
    </cfRule>
    <cfRule type="colorScale" priority="922">
      <colorScale>
        <cfvo type="num" val="1"/>
        <cfvo type="num" val="2"/>
        <cfvo type="num" val="3"/>
        <color rgb="FFF8696B"/>
        <color rgb="FFFFEB84"/>
        <color rgb="FF63BE7B"/>
      </colorScale>
    </cfRule>
    <cfRule type="colorScale" priority="925">
      <colorScale>
        <cfvo type="num" val="1"/>
        <cfvo type="num" val="2"/>
        <cfvo type="num" val="3"/>
        <color rgb="FFF8696B"/>
        <color rgb="FFFFEB84"/>
        <color rgb="FF63BE7B"/>
      </colorScale>
    </cfRule>
  </conditionalFormatting>
  <conditionalFormatting sqref="AE13:AF13">
    <cfRule type="colorScale" priority="1047">
      <colorScale>
        <cfvo type="num" val="1"/>
        <cfvo type="num" val="2"/>
        <cfvo type="num" val="3"/>
        <color rgb="FFF8696B"/>
        <color rgb="FFFFEB84"/>
        <color rgb="FF63BE7B"/>
      </colorScale>
    </cfRule>
  </conditionalFormatting>
  <conditionalFormatting sqref="AE15:AF15">
    <cfRule type="colorScale" priority="924">
      <colorScale>
        <cfvo type="num" val="1"/>
        <cfvo type="num" val="2"/>
        <cfvo type="num" val="3"/>
        <color rgb="FFF8696B"/>
        <color rgb="FFFFEB84"/>
        <color rgb="FF63BE7B"/>
      </colorScale>
    </cfRule>
    <cfRule type="colorScale" priority="960">
      <colorScale>
        <cfvo type="num" val="1"/>
        <cfvo type="num" val="2"/>
        <cfvo type="num" val="3"/>
        <color rgb="FFF8696B"/>
        <color rgb="FFFFEB84"/>
        <color rgb="FF63BE7B"/>
      </colorScale>
    </cfRule>
  </conditionalFormatting>
  <conditionalFormatting sqref="AF5">
    <cfRule type="colorScale" priority="1377">
      <colorScale>
        <cfvo type="num" val="1"/>
        <cfvo type="num" val="2"/>
        <cfvo type="num" val="3"/>
        <color rgb="FFF8696B"/>
        <color rgb="FFFFEB84"/>
        <color rgb="FF63BE7B"/>
      </colorScale>
    </cfRule>
    <cfRule type="colorScale" priority="1378">
      <colorScale>
        <cfvo type="num" val="1"/>
        <cfvo type="num" val="2"/>
        <cfvo type="num" val="3"/>
        <color rgb="FFF8696B"/>
        <color rgb="FFFFEB84"/>
        <color rgb="FF63BE7B"/>
      </colorScale>
    </cfRule>
  </conditionalFormatting>
  <conditionalFormatting sqref="AF7">
    <cfRule type="colorScale" priority="1164">
      <colorScale>
        <cfvo type="num" val="1"/>
        <cfvo type="num" val="2"/>
        <cfvo type="num" val="3"/>
        <color rgb="FFF8696B"/>
        <color rgb="FFFFEB84"/>
        <color rgb="FF63BE7B"/>
      </colorScale>
    </cfRule>
    <cfRule type="colorScale" priority="1165">
      <colorScale>
        <cfvo type="num" val="1"/>
        <cfvo type="num" val="2"/>
        <cfvo type="num" val="3"/>
        <color rgb="FFF8696B"/>
        <color rgb="FFFFEB84"/>
        <color rgb="FF63BE7B"/>
      </colorScale>
    </cfRule>
    <cfRule type="colorScale" priority="1166">
      <colorScale>
        <cfvo type="num" val="1"/>
        <cfvo type="num" val="2"/>
        <cfvo type="num" val="3"/>
        <color rgb="FFF8696B"/>
        <color rgb="FFFFEB84"/>
        <color rgb="FF63BE7B"/>
      </colorScale>
    </cfRule>
    <cfRule type="colorScale" priority="1256">
      <colorScale>
        <cfvo type="num" val="1"/>
        <cfvo type="num" val="2"/>
        <cfvo type="num" val="3"/>
        <color rgb="FFF8696B"/>
        <color rgb="FFFFEB84"/>
        <color rgb="FF63BE7B"/>
      </colorScale>
    </cfRule>
    <cfRule type="colorScale" priority="1257">
      <colorScale>
        <cfvo type="num" val="1"/>
        <cfvo type="num" val="2"/>
        <cfvo type="num" val="3"/>
        <color rgb="FFF8696B"/>
        <color rgb="FFFFEB84"/>
        <color rgb="FF63BE7B"/>
      </colorScale>
    </cfRule>
  </conditionalFormatting>
  <conditionalFormatting sqref="AF9">
    <cfRule type="colorScale" priority="1277">
      <colorScale>
        <cfvo type="num" val="1"/>
        <cfvo type="num" val="2"/>
        <cfvo type="num" val="3"/>
        <color rgb="FFF8696B"/>
        <color rgb="FFFFEB84"/>
        <color rgb="FF63BE7B"/>
      </colorScale>
    </cfRule>
    <cfRule type="colorScale" priority="1278">
      <colorScale>
        <cfvo type="num" val="1"/>
        <cfvo type="num" val="2"/>
        <cfvo type="num" val="3"/>
        <color rgb="FFF8696B"/>
        <color rgb="FFFFEB84"/>
        <color rgb="FF63BE7B"/>
      </colorScale>
    </cfRule>
    <cfRule type="colorScale" priority="1279">
      <colorScale>
        <cfvo type="num" val="1"/>
        <cfvo type="num" val="2"/>
        <cfvo type="num" val="3"/>
        <color rgb="FFF8696B"/>
        <color rgb="FFFFEB84"/>
        <color rgb="FF63BE7B"/>
      </colorScale>
    </cfRule>
    <cfRule type="colorScale" priority="1280">
      <colorScale>
        <cfvo type="num" val="1"/>
        <cfvo type="num" val="2"/>
        <cfvo type="num" val="3"/>
        <color rgb="FFF8696B"/>
        <color rgb="FFFFEB84"/>
        <color rgb="FF63BE7B"/>
      </colorScale>
    </cfRule>
  </conditionalFormatting>
  <conditionalFormatting sqref="AF11">
    <cfRule type="colorScale" priority="1098">
      <colorScale>
        <cfvo type="num" val="1"/>
        <cfvo type="num" val="2"/>
        <cfvo type="num" val="3"/>
        <color rgb="FFF8696B"/>
        <color rgb="FFFFEB84"/>
        <color rgb="FF63BE7B"/>
      </colorScale>
    </cfRule>
    <cfRule type="colorScale" priority="1099">
      <colorScale>
        <cfvo type="num" val="1"/>
        <cfvo type="num" val="2"/>
        <cfvo type="num" val="3"/>
        <color rgb="FFF8696B"/>
        <color rgb="FFFFEB84"/>
        <color rgb="FF63BE7B"/>
      </colorScale>
    </cfRule>
    <cfRule type="colorScale" priority="1100">
      <colorScale>
        <cfvo type="num" val="1"/>
        <cfvo type="num" val="2"/>
        <cfvo type="num" val="3"/>
        <color rgb="FFF8696B"/>
        <color rgb="FFFFEB84"/>
        <color rgb="FF63BE7B"/>
      </colorScale>
    </cfRule>
    <cfRule type="colorScale" priority="1101">
      <colorScale>
        <cfvo type="num" val="1"/>
        <cfvo type="num" val="2"/>
        <cfvo type="num" val="3"/>
        <color rgb="FFF8696B"/>
        <color rgb="FFFFEB84"/>
        <color rgb="FF63BE7B"/>
      </colorScale>
    </cfRule>
  </conditionalFormatting>
  <conditionalFormatting sqref="AF13">
    <cfRule type="colorScale" priority="1015">
      <colorScale>
        <cfvo type="num" val="1"/>
        <cfvo type="num" val="2"/>
        <cfvo type="num" val="3"/>
        <color rgb="FFF8696B"/>
        <color rgb="FFFFEB84"/>
        <color rgb="FF63BE7B"/>
      </colorScale>
    </cfRule>
    <cfRule type="colorScale" priority="1016">
      <colorScale>
        <cfvo type="num" val="1"/>
        <cfvo type="num" val="2"/>
        <cfvo type="num" val="3"/>
        <color rgb="FFF8696B"/>
        <color rgb="FFFFEB84"/>
        <color rgb="FF63BE7B"/>
      </colorScale>
    </cfRule>
    <cfRule type="colorScale" priority="1018">
      <colorScale>
        <cfvo type="num" val="1"/>
        <cfvo type="num" val="2"/>
        <cfvo type="num" val="3"/>
        <color rgb="FFF8696B"/>
        <color rgb="FFFFEB84"/>
        <color rgb="FF63BE7B"/>
      </colorScale>
    </cfRule>
    <cfRule type="colorScale" priority="1046">
      <colorScale>
        <cfvo type="num" val="1"/>
        <cfvo type="num" val="2"/>
        <cfvo type="num" val="3"/>
        <color rgb="FFF8696B"/>
        <color rgb="FFFFEB84"/>
        <color rgb="FF63BE7B"/>
      </colorScale>
    </cfRule>
  </conditionalFormatting>
  <conditionalFormatting sqref="AF15">
    <cfRule type="colorScale" priority="872">
      <colorScale>
        <cfvo type="num" val="1"/>
        <cfvo type="num" val="2"/>
        <cfvo type="num" val="3"/>
        <color rgb="FFF8696B"/>
        <color rgb="FFFFEB84"/>
        <color rgb="FF63BE7B"/>
      </colorScale>
    </cfRule>
    <cfRule type="colorScale" priority="873">
      <colorScale>
        <cfvo type="num" val="1"/>
        <cfvo type="num" val="2"/>
        <cfvo type="num" val="3"/>
        <color rgb="FFF8696B"/>
        <color rgb="FFFFEB84"/>
        <color rgb="FF63BE7B"/>
      </colorScale>
    </cfRule>
    <cfRule type="colorScale" priority="875">
      <colorScale>
        <cfvo type="num" val="1"/>
        <cfvo type="num" val="2"/>
        <cfvo type="num" val="3"/>
        <color rgb="FFF8696B"/>
        <color rgb="FFFFEB84"/>
        <color rgb="FF63BE7B"/>
      </colorScale>
    </cfRule>
    <cfRule type="colorScale" priority="923">
      <colorScale>
        <cfvo type="num" val="1"/>
        <cfvo type="num" val="2"/>
        <cfvo type="num" val="3"/>
        <color rgb="FFF8696B"/>
        <color rgb="FFFFEB84"/>
        <color rgb="FF63BE7B"/>
      </colorScale>
    </cfRule>
  </conditionalFormatting>
  <pageMargins left="0.7" right="0.7" top="0.75" bottom="0.75" header="0.3" footer="0.3"/>
  <pageSetup scale="82" orientation="landscape" r:id="rId1"/>
  <colBreaks count="1" manualBreakCount="1">
    <brk id="33" max="1048575" man="1"/>
  </colBreaks>
</worksheet>
</file>

<file path=xl/worksheets/sheet4.xml><?xml version="1.0" encoding="utf-8"?>
<worksheet xmlns="http://schemas.openxmlformats.org/spreadsheetml/2006/main" xmlns:r="http://schemas.openxmlformats.org/officeDocument/2006/relationships">
  <sheetPr codeName="Sheet4"/>
  <dimension ref="A1:AG26"/>
  <sheetViews>
    <sheetView workbookViewId="0">
      <selection activeCell="P25" sqref="P25"/>
    </sheetView>
  </sheetViews>
  <sheetFormatPr defaultRowHeight="15"/>
  <cols>
    <col min="14" max="15" width="9.7109375" bestFit="1" customWidth="1"/>
  </cols>
  <sheetData>
    <row r="1" spans="1:33" ht="18.75">
      <c r="A1" s="149" t="s">
        <v>75</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row>
    <row r="2" spans="1:33">
      <c r="A2" s="1" t="s">
        <v>1</v>
      </c>
      <c r="B2" s="2" t="s">
        <v>2</v>
      </c>
      <c r="C2" s="2" t="s">
        <v>3</v>
      </c>
      <c r="D2" s="2" t="s">
        <v>4</v>
      </c>
      <c r="E2" s="84" t="s">
        <v>5</v>
      </c>
      <c r="F2" s="84" t="s">
        <v>6</v>
      </c>
      <c r="G2" s="2" t="s">
        <v>7</v>
      </c>
      <c r="H2" s="2" t="s">
        <v>8</v>
      </c>
      <c r="I2" s="2" t="s">
        <v>2</v>
      </c>
      <c r="J2" s="2" t="s">
        <v>3</v>
      </c>
      <c r="K2" s="2" t="s">
        <v>4</v>
      </c>
      <c r="L2" s="84" t="s">
        <v>5</v>
      </c>
      <c r="M2" s="84" t="s">
        <v>6</v>
      </c>
      <c r="N2" s="2" t="s">
        <v>7</v>
      </c>
      <c r="O2" s="2" t="s">
        <v>8</v>
      </c>
      <c r="P2" s="2" t="s">
        <v>2</v>
      </c>
      <c r="Q2" s="2" t="s">
        <v>3</v>
      </c>
      <c r="R2" s="2" t="s">
        <v>4</v>
      </c>
      <c r="S2" s="84" t="s">
        <v>5</v>
      </c>
      <c r="T2" s="84" t="s">
        <v>6</v>
      </c>
      <c r="U2" s="2" t="s">
        <v>7</v>
      </c>
      <c r="V2" s="2" t="s">
        <v>8</v>
      </c>
      <c r="W2" s="2" t="s">
        <v>2</v>
      </c>
      <c r="X2" s="2" t="s">
        <v>3</v>
      </c>
      <c r="Y2" s="2" t="s">
        <v>4</v>
      </c>
      <c r="Z2" s="84" t="s">
        <v>5</v>
      </c>
      <c r="AA2" s="84" t="s">
        <v>6</v>
      </c>
      <c r="AB2" s="2" t="s">
        <v>7</v>
      </c>
      <c r="AC2" s="2" t="s">
        <v>8</v>
      </c>
      <c r="AD2" s="2" t="s">
        <v>2</v>
      </c>
      <c r="AE2" s="2" t="s">
        <v>3</v>
      </c>
      <c r="AF2" s="2" t="s">
        <v>4</v>
      </c>
      <c r="AG2" s="26"/>
    </row>
    <row r="3" spans="1:33">
      <c r="A3" s="3" t="s">
        <v>9</v>
      </c>
      <c r="B3" s="15">
        <v>1</v>
      </c>
      <c r="C3" s="4">
        <v>2</v>
      </c>
      <c r="D3" s="4">
        <v>3</v>
      </c>
      <c r="E3" s="8">
        <v>4</v>
      </c>
      <c r="F3" s="8">
        <v>5</v>
      </c>
      <c r="G3" s="4">
        <v>6</v>
      </c>
      <c r="H3" s="4">
        <v>7</v>
      </c>
      <c r="I3" s="4">
        <v>8</v>
      </c>
      <c r="J3" s="4">
        <v>9</v>
      </c>
      <c r="K3" s="4">
        <v>10</v>
      </c>
      <c r="L3" s="4">
        <v>11</v>
      </c>
      <c r="M3" s="4">
        <v>12</v>
      </c>
      <c r="N3" s="4">
        <v>13</v>
      </c>
      <c r="O3" s="4">
        <v>14</v>
      </c>
      <c r="P3" s="4">
        <v>15</v>
      </c>
      <c r="Q3" s="4">
        <v>16</v>
      </c>
      <c r="R3" s="4">
        <v>17</v>
      </c>
      <c r="S3" s="4">
        <v>18</v>
      </c>
      <c r="T3" s="4">
        <v>19</v>
      </c>
      <c r="U3" s="4">
        <v>20</v>
      </c>
      <c r="V3" s="4">
        <v>21</v>
      </c>
      <c r="W3" s="4">
        <v>22</v>
      </c>
      <c r="X3" s="4">
        <v>23</v>
      </c>
      <c r="Y3" s="4">
        <v>24</v>
      </c>
      <c r="Z3" s="4">
        <v>25</v>
      </c>
      <c r="AA3" s="4">
        <v>26</v>
      </c>
      <c r="AB3" s="4">
        <v>27</v>
      </c>
      <c r="AC3" s="4">
        <v>28</v>
      </c>
      <c r="AD3" s="4">
        <v>29</v>
      </c>
      <c r="AE3" s="4">
        <v>30</v>
      </c>
      <c r="AF3" s="4">
        <v>31</v>
      </c>
      <c r="AG3" s="27">
        <v>24</v>
      </c>
    </row>
    <row r="4" spans="1:33">
      <c r="A4" s="150" t="s">
        <v>16</v>
      </c>
      <c r="B4" s="30"/>
      <c r="C4" s="8"/>
      <c r="D4" s="8"/>
      <c r="E4" s="8"/>
      <c r="F4" s="8"/>
      <c r="G4" s="8"/>
      <c r="H4" s="8"/>
      <c r="I4" s="29"/>
      <c r="J4" s="29"/>
      <c r="K4" s="29"/>
      <c r="L4" s="29"/>
      <c r="M4" s="29"/>
      <c r="N4" s="29"/>
      <c r="O4" s="29"/>
      <c r="P4" s="8"/>
      <c r="Q4" s="8"/>
      <c r="R4" s="8"/>
      <c r="S4" s="8"/>
      <c r="T4" s="8"/>
      <c r="U4" s="8"/>
      <c r="V4" s="8"/>
      <c r="W4" s="8"/>
      <c r="X4" s="8"/>
      <c r="Y4" s="8"/>
      <c r="Z4" s="8"/>
      <c r="AA4" s="8"/>
      <c r="AB4" s="8"/>
      <c r="AC4" s="8"/>
      <c r="AD4" s="8"/>
      <c r="AE4" s="8"/>
      <c r="AF4" s="8"/>
      <c r="AG4" s="17">
        <f>AS4</f>
        <v>0</v>
      </c>
    </row>
    <row r="5" spans="1:33">
      <c r="A5" s="151"/>
      <c r="B5" s="11"/>
      <c r="C5" s="12"/>
      <c r="D5" s="12"/>
      <c r="E5" s="12"/>
      <c r="F5" s="11"/>
      <c r="G5" s="12"/>
      <c r="H5" s="12"/>
      <c r="I5" s="12"/>
      <c r="J5" s="152"/>
      <c r="K5" s="153"/>
      <c r="L5" s="153"/>
      <c r="M5" s="154"/>
      <c r="N5" s="11"/>
      <c r="O5" s="12"/>
      <c r="P5" s="12"/>
      <c r="Q5" s="12"/>
      <c r="R5" s="11"/>
      <c r="S5" s="12"/>
      <c r="T5" s="12"/>
      <c r="U5" s="12"/>
      <c r="V5" s="11"/>
      <c r="W5" s="12"/>
      <c r="X5" s="12"/>
      <c r="Y5" s="12"/>
      <c r="Z5" s="11"/>
      <c r="AA5" s="12"/>
      <c r="AB5" s="12"/>
      <c r="AC5" s="12"/>
      <c r="AD5" s="12"/>
      <c r="AE5" s="12"/>
      <c r="AF5" s="12"/>
      <c r="AG5" s="17"/>
    </row>
    <row r="6" spans="1:33">
      <c r="A6" s="150" t="s">
        <v>12</v>
      </c>
      <c r="B6" s="30"/>
      <c r="C6" s="29"/>
      <c r="D6" s="29"/>
      <c r="E6" s="8"/>
      <c r="F6" s="9"/>
      <c r="G6" s="8"/>
      <c r="H6" s="29">
        <v>3</v>
      </c>
      <c r="I6" s="41">
        <v>1</v>
      </c>
      <c r="J6" s="30" t="s">
        <v>10</v>
      </c>
      <c r="K6" s="29" t="s">
        <v>10</v>
      </c>
      <c r="L6" s="30">
        <v>3</v>
      </c>
      <c r="M6" s="41">
        <v>1</v>
      </c>
      <c r="N6" s="9"/>
      <c r="O6" s="8"/>
      <c r="P6" s="30">
        <v>3</v>
      </c>
      <c r="Q6" s="29">
        <v>1</v>
      </c>
      <c r="R6" s="30" t="s">
        <v>10</v>
      </c>
      <c r="S6" s="29" t="s">
        <v>10</v>
      </c>
      <c r="T6" s="30">
        <v>3</v>
      </c>
      <c r="U6" s="29">
        <v>1</v>
      </c>
      <c r="V6" s="9"/>
      <c r="W6" s="8"/>
      <c r="X6" s="9"/>
      <c r="Y6" s="8"/>
      <c r="Z6" s="9"/>
      <c r="AA6" s="8"/>
      <c r="AB6" s="9"/>
      <c r="AC6" s="8"/>
      <c r="AD6" s="9"/>
      <c r="AE6" s="8"/>
      <c r="AF6" s="29"/>
      <c r="AG6" s="17">
        <f>AS6</f>
        <v>0</v>
      </c>
    </row>
    <row r="7" spans="1:33">
      <c r="A7" s="151"/>
      <c r="B7" s="32"/>
      <c r="C7" s="33"/>
      <c r="D7" s="33"/>
      <c r="E7" s="12"/>
      <c r="F7" s="12"/>
      <c r="G7" s="12"/>
      <c r="H7" s="28" t="s">
        <v>11</v>
      </c>
      <c r="I7" s="12" t="s">
        <v>11</v>
      </c>
      <c r="J7" s="28" t="s">
        <v>11</v>
      </c>
      <c r="K7" s="12"/>
      <c r="L7" s="12"/>
      <c r="M7" s="12"/>
      <c r="N7" s="4"/>
      <c r="O7" s="12"/>
      <c r="P7" s="12"/>
      <c r="Q7" s="12"/>
      <c r="R7" s="12"/>
      <c r="S7" s="12"/>
      <c r="T7" s="4"/>
      <c r="U7" s="12"/>
      <c r="V7" s="12"/>
      <c r="W7" s="12"/>
      <c r="X7" s="12"/>
      <c r="Y7" s="12"/>
      <c r="Z7" s="4"/>
      <c r="AA7" s="12"/>
      <c r="AB7" s="12"/>
      <c r="AC7" s="12"/>
      <c r="AD7" s="34"/>
      <c r="AE7" s="12"/>
      <c r="AF7" s="12"/>
      <c r="AG7" s="17"/>
    </row>
    <row r="8" spans="1:33">
      <c r="A8" s="150" t="s">
        <v>13</v>
      </c>
      <c r="B8" s="29"/>
      <c r="C8" s="41"/>
      <c r="D8" s="41"/>
      <c r="E8" s="41"/>
      <c r="F8" s="41"/>
      <c r="G8" s="41"/>
      <c r="H8" s="8"/>
      <c r="I8" s="29"/>
      <c r="J8" s="41"/>
      <c r="K8" s="8"/>
      <c r="L8" s="9"/>
      <c r="M8" s="29"/>
      <c r="N8" s="29"/>
      <c r="O8" s="29"/>
      <c r="P8" s="41"/>
      <c r="Q8" s="29"/>
      <c r="R8" s="30"/>
      <c r="S8" s="8"/>
      <c r="T8" s="8"/>
      <c r="U8" s="29"/>
      <c r="V8" s="8"/>
      <c r="W8" s="8"/>
      <c r="X8" s="30">
        <v>3</v>
      </c>
      <c r="Y8" s="29">
        <v>1</v>
      </c>
      <c r="Z8" s="29" t="s">
        <v>10</v>
      </c>
      <c r="AA8" s="29" t="s">
        <v>10</v>
      </c>
      <c r="AB8" s="29" t="s">
        <v>10</v>
      </c>
      <c r="AC8" s="29">
        <v>3</v>
      </c>
      <c r="AD8" s="30">
        <v>1</v>
      </c>
      <c r="AE8" s="29"/>
      <c r="AF8" s="30"/>
      <c r="AG8" s="17">
        <f>AS8</f>
        <v>0</v>
      </c>
    </row>
    <row r="9" spans="1:33">
      <c r="A9" s="151"/>
      <c r="B9" s="4"/>
      <c r="C9" s="35"/>
      <c r="D9" s="12"/>
      <c r="E9" s="12"/>
      <c r="F9" s="12"/>
      <c r="G9" s="12"/>
      <c r="H9" s="12"/>
      <c r="I9" s="12"/>
      <c r="J9" s="12"/>
      <c r="K9" s="12"/>
      <c r="L9" s="12"/>
      <c r="M9" s="12"/>
      <c r="N9" s="12"/>
      <c r="O9" s="12"/>
      <c r="P9" s="12"/>
      <c r="Q9" s="12"/>
      <c r="R9" s="12"/>
      <c r="S9" s="12"/>
      <c r="T9" s="12"/>
      <c r="U9" s="12"/>
      <c r="V9" s="12"/>
      <c r="W9" s="12"/>
      <c r="X9" s="33"/>
      <c r="Y9" s="33"/>
      <c r="Z9" s="33"/>
      <c r="AA9" s="33"/>
      <c r="AB9" s="33"/>
      <c r="AC9" s="33"/>
      <c r="AD9" s="42"/>
      <c r="AE9" s="33"/>
      <c r="AF9" s="43"/>
      <c r="AG9" s="17"/>
    </row>
    <row r="10" spans="1:33">
      <c r="A10" s="150" t="s">
        <v>14</v>
      </c>
      <c r="B10" s="29"/>
      <c r="C10" s="41"/>
      <c r="D10" s="41"/>
      <c r="E10" s="41"/>
      <c r="F10" s="41"/>
      <c r="G10" s="41"/>
      <c r="H10" s="8"/>
      <c r="I10" s="29"/>
      <c r="J10" s="29"/>
      <c r="K10" s="8"/>
      <c r="L10" s="9"/>
      <c r="M10" s="29"/>
      <c r="N10" s="29"/>
      <c r="O10" s="29"/>
      <c r="P10" s="29"/>
      <c r="Q10" s="8"/>
      <c r="R10" s="9"/>
      <c r="S10" s="8"/>
      <c r="T10" s="8"/>
      <c r="U10" s="8"/>
      <c r="V10" s="8"/>
      <c r="W10" s="29"/>
      <c r="X10" s="30"/>
      <c r="Y10" s="29"/>
      <c r="Z10" s="29"/>
      <c r="AA10" s="29"/>
      <c r="AB10" s="29"/>
      <c r="AC10" s="29"/>
      <c r="AD10" s="30"/>
      <c r="AE10" s="41"/>
      <c r="AF10" s="30"/>
      <c r="AG10" s="17">
        <f>AS10</f>
        <v>0</v>
      </c>
    </row>
    <row r="11" spans="1:33">
      <c r="A11" s="151"/>
      <c r="B11" s="4"/>
      <c r="C11" s="12"/>
      <c r="D11" s="12"/>
      <c r="E11" s="12"/>
      <c r="F11" s="12"/>
      <c r="G11" s="4"/>
      <c r="H11" s="12"/>
      <c r="I11" s="12"/>
      <c r="J11" s="12"/>
      <c r="K11" s="12"/>
      <c r="L11" s="12"/>
      <c r="M11" s="4"/>
      <c r="N11" s="12"/>
      <c r="O11" s="12"/>
      <c r="P11" s="12"/>
      <c r="Q11" s="12"/>
      <c r="R11" s="12"/>
      <c r="S11" s="4"/>
      <c r="T11" s="12"/>
      <c r="U11" s="12"/>
      <c r="V11" s="12"/>
      <c r="W11" s="12"/>
      <c r="X11" s="12"/>
      <c r="Y11" s="4"/>
      <c r="Z11" s="12"/>
      <c r="AA11" s="12"/>
      <c r="AB11" s="12"/>
      <c r="AC11" s="14"/>
      <c r="AD11" s="12"/>
      <c r="AE11" s="34"/>
      <c r="AF11" s="12"/>
      <c r="AG11" s="17"/>
    </row>
    <row r="12" spans="1:33">
      <c r="A12" s="150" t="s">
        <v>15</v>
      </c>
      <c r="B12" s="29"/>
      <c r="C12" s="29"/>
      <c r="D12" s="29"/>
      <c r="E12" s="29"/>
      <c r="F12" s="41"/>
      <c r="G12" s="29"/>
      <c r="H12" s="41" t="s">
        <v>11</v>
      </c>
      <c r="I12" s="30" t="s">
        <v>11</v>
      </c>
      <c r="J12" s="29" t="s">
        <v>11</v>
      </c>
      <c r="K12" s="30"/>
      <c r="L12" s="29"/>
      <c r="M12" s="30"/>
      <c r="N12" s="30"/>
      <c r="O12" s="30"/>
      <c r="P12" s="30"/>
      <c r="Q12" s="29"/>
      <c r="R12" s="30"/>
      <c r="S12" s="29"/>
      <c r="T12" s="30"/>
      <c r="U12" s="29"/>
      <c r="V12" s="30"/>
      <c r="W12" s="29"/>
      <c r="X12" s="9">
        <v>3</v>
      </c>
      <c r="Y12" s="29">
        <v>1</v>
      </c>
      <c r="Z12" s="30" t="s">
        <v>10</v>
      </c>
      <c r="AA12" s="29" t="s">
        <v>10</v>
      </c>
      <c r="AB12" s="30" t="s">
        <v>10</v>
      </c>
      <c r="AC12" s="29" t="s">
        <v>10</v>
      </c>
      <c r="AD12" s="30" t="s">
        <v>10</v>
      </c>
      <c r="AE12" s="29">
        <v>3</v>
      </c>
      <c r="AF12" s="41">
        <v>1</v>
      </c>
      <c r="AG12" s="17">
        <f>AS12</f>
        <v>0</v>
      </c>
    </row>
    <row r="13" spans="1:33">
      <c r="A13" s="151"/>
      <c r="B13" s="4"/>
      <c r="C13" s="4"/>
      <c r="D13" s="4"/>
      <c r="E13" s="12"/>
      <c r="F13" s="12"/>
      <c r="G13" s="4"/>
      <c r="H13" s="33"/>
      <c r="I13" s="29"/>
      <c r="J13" s="12"/>
      <c r="K13" s="19"/>
      <c r="L13" s="12"/>
      <c r="M13" s="4"/>
      <c r="N13" s="12"/>
      <c r="O13" s="4"/>
      <c r="P13" s="12"/>
      <c r="Q13" s="12"/>
      <c r="R13" s="12"/>
      <c r="S13" s="4"/>
      <c r="T13" s="12"/>
      <c r="U13" s="4"/>
      <c r="V13" s="12"/>
      <c r="W13" s="12"/>
      <c r="X13" s="12"/>
      <c r="Y13" s="4"/>
      <c r="Z13" s="12"/>
      <c r="AA13" s="4"/>
      <c r="AB13" s="12"/>
      <c r="AC13" s="12"/>
      <c r="AD13" s="12"/>
      <c r="AE13" s="12"/>
      <c r="AF13" s="12"/>
      <c r="AG13" s="17"/>
    </row>
    <row r="14" spans="1:33">
      <c r="A14" s="150" t="s">
        <v>31</v>
      </c>
      <c r="B14" s="29"/>
      <c r="C14" s="29"/>
      <c r="D14" s="29"/>
      <c r="E14" s="29">
        <v>3</v>
      </c>
      <c r="F14" s="30">
        <v>1</v>
      </c>
      <c r="G14" s="29" t="s">
        <v>10</v>
      </c>
      <c r="H14" s="30" t="s">
        <v>10</v>
      </c>
      <c r="I14" s="29" t="s">
        <v>10</v>
      </c>
      <c r="J14" s="30">
        <v>3</v>
      </c>
      <c r="K14" s="29">
        <v>1</v>
      </c>
      <c r="L14" s="9"/>
      <c r="M14" s="29"/>
      <c r="N14" s="30"/>
      <c r="O14" s="29"/>
      <c r="P14" s="29"/>
      <c r="Q14" s="29"/>
      <c r="R14" s="29"/>
      <c r="S14" s="30"/>
      <c r="T14" s="30"/>
      <c r="U14" s="41"/>
      <c r="V14" s="9"/>
      <c r="W14" s="41"/>
      <c r="X14" s="30"/>
      <c r="Y14" s="8"/>
      <c r="Z14" s="9"/>
      <c r="AA14" s="8"/>
      <c r="AB14" s="9"/>
      <c r="AC14" s="8"/>
      <c r="AD14" s="9">
        <v>3</v>
      </c>
      <c r="AE14" s="29">
        <v>1</v>
      </c>
      <c r="AF14" s="30" t="s">
        <v>10</v>
      </c>
      <c r="AG14" s="17">
        <f>AS14</f>
        <v>0</v>
      </c>
    </row>
    <row r="15" spans="1:33">
      <c r="A15" s="151"/>
      <c r="B15" s="28"/>
      <c r="C15" s="4"/>
      <c r="D15" s="4"/>
      <c r="E15" s="12"/>
      <c r="F15" s="12"/>
      <c r="G15" s="4"/>
      <c r="H15" s="12"/>
      <c r="I15" s="18"/>
      <c r="J15" s="12"/>
      <c r="K15" s="19"/>
      <c r="L15" s="12"/>
      <c r="M15" s="4"/>
      <c r="N15" s="12"/>
      <c r="O15" s="4"/>
      <c r="P15" s="12"/>
      <c r="Q15" s="12"/>
      <c r="R15" s="12"/>
      <c r="S15" s="4"/>
      <c r="T15" s="12"/>
      <c r="U15" s="4"/>
      <c r="V15" s="12"/>
      <c r="W15" s="12"/>
      <c r="X15" s="12"/>
      <c r="Y15" s="4"/>
      <c r="Z15" s="12"/>
      <c r="AA15" s="4"/>
      <c r="AB15" s="12"/>
      <c r="AC15" s="12"/>
      <c r="AD15" s="12"/>
      <c r="AE15" s="12"/>
      <c r="AF15" s="12"/>
      <c r="AG15" s="71"/>
    </row>
    <row r="26" spans="14:15">
      <c r="N26" s="107"/>
      <c r="O26" s="107"/>
    </row>
  </sheetData>
  <mergeCells count="8">
    <mergeCell ref="A12:A13"/>
    <mergeCell ref="A14:A15"/>
    <mergeCell ref="A1:AG1"/>
    <mergeCell ref="A4:A5"/>
    <mergeCell ref="J5:M5"/>
    <mergeCell ref="A6:A7"/>
    <mergeCell ref="A8:A9"/>
    <mergeCell ref="A10:A11"/>
  </mergeCells>
  <conditionalFormatting sqref="N5:AF5 J5">
    <cfRule type="colorScale" priority="1150">
      <colorScale>
        <cfvo type="num" val="1"/>
        <cfvo type="num" val="2"/>
        <cfvo type="num" val="3"/>
        <color rgb="FFF8696B"/>
        <color rgb="FFFFEB84"/>
        <color rgb="FF63BE7B"/>
      </colorScale>
    </cfRule>
  </conditionalFormatting>
  <conditionalFormatting sqref="L12 E12 I13">
    <cfRule type="colorScale" priority="1149">
      <colorScale>
        <cfvo type="num" val="1"/>
        <cfvo type="num" val="2"/>
        <cfvo type="num" val="3"/>
        <color rgb="FFF8696B"/>
        <color rgb="FFFFEB84"/>
        <color rgb="FF63BE7B"/>
      </colorScale>
    </cfRule>
  </conditionalFormatting>
  <conditionalFormatting sqref="Y6:AA6 AE6 AE12 Y12:AA12 B9:G9 B11:AF11 B12:D12">
    <cfRule type="colorScale" priority="1148">
      <colorScale>
        <cfvo type="num" val="1"/>
        <cfvo type="num" val="2"/>
        <cfvo type="num" val="3"/>
        <color rgb="FFF8696B"/>
        <color rgb="FFFFEB84"/>
        <color rgb="FF63BE7B"/>
      </colorScale>
    </cfRule>
  </conditionalFormatting>
  <conditionalFormatting sqref="B13:H13 J6 L13:AF13 C15:H15 L15:AF15">
    <cfRule type="colorScale" priority="1147">
      <colorScale>
        <cfvo type="num" val="1"/>
        <cfvo type="num" val="2"/>
        <cfvo type="num" val="3"/>
        <color rgb="FFF8696B"/>
        <color rgb="FFFFEB84"/>
        <color rgb="FF63BE7B"/>
      </colorScale>
    </cfRule>
  </conditionalFormatting>
  <conditionalFormatting sqref="B7:G7 K7:AF7 B6 D6:G6 J6:L6 N6:AE6 B4:AF4 B5:I5">
    <cfRule type="colorScale" priority="1146">
      <colorScale>
        <cfvo type="num" val="1"/>
        <cfvo type="num" val="2"/>
        <cfvo type="num" val="3"/>
        <color rgb="FFF8696B"/>
        <color rgb="FFFFEB84"/>
        <color rgb="FF63BE7B"/>
      </colorScale>
    </cfRule>
  </conditionalFormatting>
  <conditionalFormatting sqref="AA4">
    <cfRule type="colorScale" priority="1145">
      <colorScale>
        <cfvo type="num" val="1"/>
        <cfvo type="num" val="2"/>
        <cfvo type="num" val="3"/>
        <color rgb="FFF8696B"/>
        <color rgb="FFFFEB84"/>
        <color rgb="FF63BE7B"/>
      </colorScale>
    </cfRule>
  </conditionalFormatting>
  <conditionalFormatting sqref="R6">
    <cfRule type="colorScale" priority="1144">
      <colorScale>
        <cfvo type="num" val="1"/>
        <cfvo type="num" val="2"/>
        <cfvo type="num" val="3"/>
        <color rgb="FFF8696B"/>
        <color rgb="FFFFEB84"/>
        <color rgb="FF63BE7B"/>
      </colorScale>
    </cfRule>
  </conditionalFormatting>
  <conditionalFormatting sqref="F6">
    <cfRule type="colorScale" priority="1143">
      <colorScale>
        <cfvo type="num" val="1"/>
        <cfvo type="num" val="2"/>
        <cfvo type="num" val="3"/>
        <color rgb="FFF8696B"/>
        <color rgb="FFFFEB84"/>
        <color rgb="FF63BE7B"/>
      </colorScale>
    </cfRule>
  </conditionalFormatting>
  <conditionalFormatting sqref="G4">
    <cfRule type="colorScale" priority="1142">
      <colorScale>
        <cfvo type="num" val="1"/>
        <cfvo type="num" val="2"/>
        <cfvo type="num" val="3"/>
        <color rgb="FFF8696B"/>
        <color rgb="FFFFEB84"/>
        <color rgb="FF63BE7B"/>
      </colorScale>
    </cfRule>
  </conditionalFormatting>
  <conditionalFormatting sqref="I4">
    <cfRule type="colorScale" priority="1141">
      <colorScale>
        <cfvo type="num" val="1"/>
        <cfvo type="num" val="2"/>
        <cfvo type="num" val="3"/>
        <color rgb="FFF8696B"/>
        <color rgb="FFFFEB84"/>
        <color rgb="FF63BE7B"/>
      </colorScale>
    </cfRule>
  </conditionalFormatting>
  <conditionalFormatting sqref="N4">
    <cfRule type="colorScale" priority="1140">
      <colorScale>
        <cfvo type="num" val="1"/>
        <cfvo type="num" val="2"/>
        <cfvo type="num" val="3"/>
        <color rgb="FFF8696B"/>
        <color rgb="FFFFEB84"/>
        <color rgb="FF63BE7B"/>
      </colorScale>
    </cfRule>
  </conditionalFormatting>
  <conditionalFormatting sqref="O6">
    <cfRule type="colorScale" priority="1139">
      <colorScale>
        <cfvo type="num" val="1"/>
        <cfvo type="num" val="2"/>
        <cfvo type="num" val="3"/>
        <color rgb="FFF8696B"/>
        <color rgb="FFFFEB84"/>
        <color rgb="FF63BE7B"/>
      </colorScale>
    </cfRule>
  </conditionalFormatting>
  <conditionalFormatting sqref="T4">
    <cfRule type="colorScale" priority="1138">
      <colorScale>
        <cfvo type="num" val="1"/>
        <cfvo type="num" val="2"/>
        <cfvo type="num" val="3"/>
        <color rgb="FFF8696B"/>
        <color rgb="FFFFEB84"/>
        <color rgb="FF63BE7B"/>
      </colorScale>
    </cfRule>
  </conditionalFormatting>
  <conditionalFormatting sqref="X4">
    <cfRule type="colorScale" priority="1137">
      <colorScale>
        <cfvo type="num" val="1"/>
        <cfvo type="num" val="2"/>
        <cfvo type="num" val="3"/>
        <color rgb="FFF8696B"/>
        <color rgb="FFFFEB84"/>
        <color rgb="FF63BE7B"/>
      </colorScale>
    </cfRule>
  </conditionalFormatting>
  <conditionalFormatting sqref="AC4">
    <cfRule type="colorScale" priority="1136">
      <colorScale>
        <cfvo type="num" val="1"/>
        <cfvo type="num" val="2"/>
        <cfvo type="num" val="3"/>
        <color rgb="FFF8696B"/>
        <color rgb="FFFFEB84"/>
        <color rgb="FF63BE7B"/>
      </colorScale>
    </cfRule>
  </conditionalFormatting>
  <conditionalFormatting sqref="AD6">
    <cfRule type="colorScale" priority="1135">
      <colorScale>
        <cfvo type="num" val="1"/>
        <cfvo type="num" val="2"/>
        <cfvo type="num" val="3"/>
        <color rgb="FFF8696B"/>
        <color rgb="FFFFEB84"/>
        <color rgb="FF63BE7B"/>
      </colorScale>
    </cfRule>
  </conditionalFormatting>
  <conditionalFormatting sqref="J4">
    <cfRule type="colorScale" priority="1134">
      <colorScale>
        <cfvo type="num" val="1"/>
        <cfvo type="num" val="2"/>
        <cfvo type="num" val="3"/>
        <color rgb="FFF8696B"/>
        <color rgb="FFFFEB84"/>
        <color rgb="FF63BE7B"/>
      </colorScale>
    </cfRule>
  </conditionalFormatting>
  <conditionalFormatting sqref="O6:P6">
    <cfRule type="colorScale" priority="1133">
      <colorScale>
        <cfvo type="num" val="1"/>
        <cfvo type="num" val="2"/>
        <cfvo type="num" val="3"/>
        <color rgb="FFF8696B"/>
        <color rgb="FFFFEB84"/>
        <color rgb="FF63BE7B"/>
      </colorScale>
    </cfRule>
  </conditionalFormatting>
  <conditionalFormatting sqref="O6">
    <cfRule type="colorScale" priority="1132">
      <colorScale>
        <cfvo type="num" val="1"/>
        <cfvo type="num" val="2"/>
        <cfvo type="num" val="3"/>
        <color rgb="FFF8696B"/>
        <color rgb="FFFFEB84"/>
        <color rgb="FF63BE7B"/>
      </colorScale>
    </cfRule>
  </conditionalFormatting>
  <conditionalFormatting sqref="O6:P6">
    <cfRule type="colorScale" priority="1131">
      <colorScale>
        <cfvo type="num" val="1"/>
        <cfvo type="num" val="2"/>
        <cfvo type="num" val="3"/>
        <color rgb="FFF8696B"/>
        <color rgb="FFFFEB84"/>
        <color rgb="FF63BE7B"/>
      </colorScale>
    </cfRule>
  </conditionalFormatting>
  <conditionalFormatting sqref="Q4:AF4">
    <cfRule type="colorScale" priority="1130">
      <colorScale>
        <cfvo type="num" val="1"/>
        <cfvo type="num" val="2"/>
        <cfvo type="num" val="3"/>
        <color rgb="FFF8696B"/>
        <color rgb="FFFFEB84"/>
        <color rgb="FF63BE7B"/>
      </colorScale>
    </cfRule>
  </conditionalFormatting>
  <conditionalFormatting sqref="P4:AF4">
    <cfRule type="colorScale" priority="1129">
      <colorScale>
        <cfvo type="num" val="1"/>
        <cfvo type="num" val="2"/>
        <cfvo type="num" val="3"/>
        <color rgb="FFF8696B"/>
        <color rgb="FFFFEB84"/>
        <color rgb="FF63BE7B"/>
      </colorScale>
    </cfRule>
  </conditionalFormatting>
  <conditionalFormatting sqref="Q4:AF4">
    <cfRule type="colorScale" priority="1128">
      <colorScale>
        <cfvo type="num" val="1"/>
        <cfvo type="num" val="2"/>
        <cfvo type="num" val="3"/>
        <color rgb="FFF8696B"/>
        <color rgb="FFFFEB84"/>
        <color rgb="FF63BE7B"/>
      </colorScale>
    </cfRule>
  </conditionalFormatting>
  <conditionalFormatting sqref="V4">
    <cfRule type="colorScale" priority="1127">
      <colorScale>
        <cfvo type="num" val="1"/>
        <cfvo type="num" val="2"/>
        <cfvo type="num" val="3"/>
        <color rgb="FFF8696B"/>
        <color rgb="FFFFEB84"/>
        <color rgb="FF63BE7B"/>
      </colorScale>
    </cfRule>
  </conditionalFormatting>
  <conditionalFormatting sqref="U4">
    <cfRule type="colorScale" priority="1126">
      <colorScale>
        <cfvo type="num" val="1"/>
        <cfvo type="num" val="2"/>
        <cfvo type="num" val="3"/>
        <color rgb="FFF8696B"/>
        <color rgb="FFFFEB84"/>
        <color rgb="FF63BE7B"/>
      </colorScale>
    </cfRule>
  </conditionalFormatting>
  <conditionalFormatting sqref="V4">
    <cfRule type="colorScale" priority="1125">
      <colorScale>
        <cfvo type="num" val="1"/>
        <cfvo type="num" val="2"/>
        <cfvo type="num" val="3"/>
        <color rgb="FFF8696B"/>
        <color rgb="FFFFEB84"/>
        <color rgb="FF63BE7B"/>
      </colorScale>
    </cfRule>
  </conditionalFormatting>
  <conditionalFormatting sqref="AA4">
    <cfRule type="colorScale" priority="1124">
      <colorScale>
        <cfvo type="num" val="1"/>
        <cfvo type="num" val="2"/>
        <cfvo type="num" val="3"/>
        <color rgb="FFF8696B"/>
        <color rgb="FFFFEB84"/>
        <color rgb="FF63BE7B"/>
      </colorScale>
    </cfRule>
  </conditionalFormatting>
  <conditionalFormatting sqref="Z4:AD4">
    <cfRule type="colorScale" priority="1123">
      <colorScale>
        <cfvo type="num" val="1"/>
        <cfvo type="num" val="2"/>
        <cfvo type="num" val="3"/>
        <color rgb="FFF8696B"/>
        <color rgb="FFFFEB84"/>
        <color rgb="FF63BE7B"/>
      </colorScale>
    </cfRule>
  </conditionalFormatting>
  <conditionalFormatting sqref="AA4">
    <cfRule type="colorScale" priority="1122">
      <colorScale>
        <cfvo type="num" val="1"/>
        <cfvo type="num" val="2"/>
        <cfvo type="num" val="3"/>
        <color rgb="FFF8696B"/>
        <color rgb="FFFFEB84"/>
        <color rgb="FF63BE7B"/>
      </colorScale>
    </cfRule>
  </conditionalFormatting>
  <conditionalFormatting sqref="AD6">
    <cfRule type="colorScale" priority="1121">
      <colorScale>
        <cfvo type="num" val="1"/>
        <cfvo type="num" val="2"/>
        <cfvo type="num" val="3"/>
        <color rgb="FFF8696B"/>
        <color rgb="FFFFEB84"/>
        <color rgb="FF63BE7B"/>
      </colorScale>
    </cfRule>
  </conditionalFormatting>
  <conditionalFormatting sqref="AD4">
    <cfRule type="colorScale" priority="1120">
      <colorScale>
        <cfvo type="num" val="1"/>
        <cfvo type="num" val="2"/>
        <cfvo type="num" val="3"/>
        <color rgb="FFF8696B"/>
        <color rgb="FFFFEB84"/>
        <color rgb="FF63BE7B"/>
      </colorScale>
    </cfRule>
  </conditionalFormatting>
  <conditionalFormatting sqref="AE4">
    <cfRule type="colorScale" priority="1119">
      <colorScale>
        <cfvo type="num" val="1"/>
        <cfvo type="num" val="2"/>
        <cfvo type="num" val="3"/>
        <color rgb="FFF8696B"/>
        <color rgb="FFFFEB84"/>
        <color rgb="FF63BE7B"/>
      </colorScale>
    </cfRule>
  </conditionalFormatting>
  <conditionalFormatting sqref="AD4">
    <cfRule type="colorScale" priority="1118">
      <colorScale>
        <cfvo type="num" val="1"/>
        <cfvo type="num" val="2"/>
        <cfvo type="num" val="3"/>
        <color rgb="FFF8696B"/>
        <color rgb="FFFFEB84"/>
        <color rgb="FF63BE7B"/>
      </colorScale>
    </cfRule>
  </conditionalFormatting>
  <conditionalFormatting sqref="AE4">
    <cfRule type="colorScale" priority="1117">
      <colorScale>
        <cfvo type="num" val="1"/>
        <cfvo type="num" val="2"/>
        <cfvo type="num" val="3"/>
        <color rgb="FFF8696B"/>
        <color rgb="FFFFEB84"/>
        <color rgb="FF63BE7B"/>
      </colorScale>
    </cfRule>
  </conditionalFormatting>
  <conditionalFormatting sqref="E6">
    <cfRule type="colorScale" priority="1116">
      <colorScale>
        <cfvo type="num" val="1"/>
        <cfvo type="num" val="2"/>
        <cfvo type="num" val="3"/>
        <color rgb="FFF8696B"/>
        <color rgb="FFFFEB84"/>
        <color rgb="FF63BE7B"/>
      </colorScale>
    </cfRule>
  </conditionalFormatting>
  <conditionalFormatting sqref="B4:AF4">
    <cfRule type="colorScale" priority="1115">
      <colorScale>
        <cfvo type="num" val="1"/>
        <cfvo type="num" val="2"/>
        <cfvo type="num" val="3"/>
        <color rgb="FFF8696B"/>
        <color rgb="FFFFEB84"/>
        <color rgb="FF63BE7B"/>
      </colorScale>
    </cfRule>
  </conditionalFormatting>
  <conditionalFormatting sqref="G6">
    <cfRule type="colorScale" priority="1114">
      <colorScale>
        <cfvo type="num" val="1"/>
        <cfvo type="num" val="2"/>
        <cfvo type="num" val="3"/>
        <color rgb="FFF8696B"/>
        <color rgb="FFFFEB84"/>
        <color rgb="FF63BE7B"/>
      </colorScale>
    </cfRule>
  </conditionalFormatting>
  <conditionalFormatting sqref="L4:P4">
    <cfRule type="colorScale" priority="1113">
      <colorScale>
        <cfvo type="num" val="1"/>
        <cfvo type="num" val="2"/>
        <cfvo type="num" val="3"/>
        <color rgb="FFF8696B"/>
        <color rgb="FFFFEB84"/>
        <color rgb="FF63BE7B"/>
      </colorScale>
    </cfRule>
  </conditionalFormatting>
  <conditionalFormatting sqref="O6:P6">
    <cfRule type="colorScale" priority="1112">
      <colorScale>
        <cfvo type="num" val="1"/>
        <cfvo type="num" val="2"/>
        <cfvo type="num" val="3"/>
        <color rgb="FFF8696B"/>
        <color rgb="FFFFEB84"/>
        <color rgb="FF63BE7B"/>
      </colorScale>
    </cfRule>
  </conditionalFormatting>
  <conditionalFormatting sqref="Q4:AF4">
    <cfRule type="colorScale" priority="1111">
      <colorScale>
        <cfvo type="num" val="1"/>
        <cfvo type="num" val="2"/>
        <cfvo type="num" val="3"/>
        <color rgb="FFF8696B"/>
        <color rgb="FFFFEB84"/>
        <color rgb="FF63BE7B"/>
      </colorScale>
    </cfRule>
  </conditionalFormatting>
  <conditionalFormatting sqref="U4">
    <cfRule type="colorScale" priority="1110">
      <colorScale>
        <cfvo type="num" val="1"/>
        <cfvo type="num" val="2"/>
        <cfvo type="num" val="3"/>
        <color rgb="FFF8696B"/>
        <color rgb="FFFFEB84"/>
        <color rgb="FF63BE7B"/>
      </colorScale>
    </cfRule>
  </conditionalFormatting>
  <conditionalFormatting sqref="Z4:AD4">
    <cfRule type="colorScale" priority="1109">
      <colorScale>
        <cfvo type="num" val="1"/>
        <cfvo type="num" val="2"/>
        <cfvo type="num" val="3"/>
        <color rgb="FFF8696B"/>
        <color rgb="FFFFEB84"/>
        <color rgb="FF63BE7B"/>
      </colorScale>
    </cfRule>
  </conditionalFormatting>
  <conditionalFormatting sqref="AA4">
    <cfRule type="colorScale" priority="1108">
      <colorScale>
        <cfvo type="num" val="1"/>
        <cfvo type="num" val="2"/>
        <cfvo type="num" val="3"/>
        <color rgb="FFF8696B"/>
        <color rgb="FFFFEB84"/>
        <color rgb="FF63BE7B"/>
      </colorScale>
    </cfRule>
  </conditionalFormatting>
  <conditionalFormatting sqref="AA4">
    <cfRule type="colorScale" priority="1107">
      <colorScale>
        <cfvo type="num" val="1"/>
        <cfvo type="num" val="2"/>
        <cfvo type="num" val="3"/>
        <color rgb="FFF8696B"/>
        <color rgb="FFFFEB84"/>
        <color rgb="FF63BE7B"/>
      </colorScale>
    </cfRule>
  </conditionalFormatting>
  <conditionalFormatting sqref="AD6">
    <cfRule type="colorScale" priority="1106">
      <colorScale>
        <cfvo type="num" val="1"/>
        <cfvo type="num" val="2"/>
        <cfvo type="num" val="3"/>
        <color rgb="FFF8696B"/>
        <color rgb="FFFFEB84"/>
        <color rgb="FF63BE7B"/>
      </colorScale>
    </cfRule>
  </conditionalFormatting>
  <conditionalFormatting sqref="AE4">
    <cfRule type="colorScale" priority="1105">
      <colorScale>
        <cfvo type="num" val="1"/>
        <cfvo type="num" val="2"/>
        <cfvo type="num" val="3"/>
        <color rgb="FFF8696B"/>
        <color rgb="FFFFEB84"/>
        <color rgb="FF63BE7B"/>
      </colorScale>
    </cfRule>
  </conditionalFormatting>
  <conditionalFormatting sqref="AF4">
    <cfRule type="colorScale" priority="1104">
      <colorScale>
        <cfvo type="num" val="1"/>
        <cfvo type="num" val="2"/>
        <cfvo type="num" val="3"/>
        <color rgb="FFF8696B"/>
        <color rgb="FFFFEB84"/>
        <color rgb="FF63BE7B"/>
      </colorScale>
    </cfRule>
  </conditionalFormatting>
  <conditionalFormatting sqref="AF4">
    <cfRule type="colorScale" priority="1103">
      <colorScale>
        <cfvo type="num" val="1"/>
        <cfvo type="num" val="2"/>
        <cfvo type="num" val="3"/>
        <color rgb="FFF8696B"/>
        <color rgb="FFFFEB84"/>
        <color rgb="FF63BE7B"/>
      </colorScale>
    </cfRule>
  </conditionalFormatting>
  <conditionalFormatting sqref="G4">
    <cfRule type="colorScale" priority="1102">
      <colorScale>
        <cfvo type="num" val="1"/>
        <cfvo type="num" val="2"/>
        <cfvo type="num" val="3"/>
        <color rgb="FFF8696B"/>
        <color rgb="FFFFEB84"/>
        <color rgb="FF63BE7B"/>
      </colorScale>
    </cfRule>
  </conditionalFormatting>
  <conditionalFormatting sqref="F6">
    <cfRule type="colorScale" priority="1101">
      <colorScale>
        <cfvo type="num" val="1"/>
        <cfvo type="num" val="2"/>
        <cfvo type="num" val="3"/>
        <color rgb="FFF8696B"/>
        <color rgb="FFFFEB84"/>
        <color rgb="FF63BE7B"/>
      </colorScale>
    </cfRule>
  </conditionalFormatting>
  <conditionalFormatting sqref="M4">
    <cfRule type="colorScale" priority="1100">
      <colorScale>
        <cfvo type="num" val="1"/>
        <cfvo type="num" val="2"/>
        <cfvo type="num" val="3"/>
        <color rgb="FFF8696B"/>
        <color rgb="FFFFEB84"/>
        <color rgb="FF63BE7B"/>
      </colorScale>
    </cfRule>
  </conditionalFormatting>
  <conditionalFormatting sqref="P6:Q6">
    <cfRule type="colorScale" priority="1099">
      <colorScale>
        <cfvo type="num" val="1"/>
        <cfvo type="num" val="2"/>
        <cfvo type="num" val="3"/>
        <color rgb="FFF8696B"/>
        <color rgb="FFFFEB84"/>
        <color rgb="FF63BE7B"/>
      </colorScale>
    </cfRule>
  </conditionalFormatting>
  <conditionalFormatting sqref="R4">
    <cfRule type="colorScale" priority="1098">
      <colorScale>
        <cfvo type="num" val="1"/>
        <cfvo type="num" val="2"/>
        <cfvo type="num" val="3"/>
        <color rgb="FFF8696B"/>
        <color rgb="FFFFEB84"/>
        <color rgb="FF63BE7B"/>
      </colorScale>
    </cfRule>
  </conditionalFormatting>
  <conditionalFormatting sqref="V4">
    <cfRule type="colorScale" priority="1097">
      <colorScale>
        <cfvo type="num" val="1"/>
        <cfvo type="num" val="2"/>
        <cfvo type="num" val="3"/>
        <color rgb="FFF8696B"/>
        <color rgb="FFFFEB84"/>
        <color rgb="FF63BE7B"/>
      </colorScale>
    </cfRule>
  </conditionalFormatting>
  <conditionalFormatting sqref="AB4">
    <cfRule type="colorScale" priority="1096">
      <colorScale>
        <cfvo type="num" val="1"/>
        <cfvo type="num" val="2"/>
        <cfvo type="num" val="3"/>
        <color rgb="FFF8696B"/>
        <color rgb="FFFFEB84"/>
        <color rgb="FF63BE7B"/>
      </colorScale>
    </cfRule>
  </conditionalFormatting>
  <conditionalFormatting sqref="Q4:AF4">
    <cfRule type="colorScale" priority="1095">
      <colorScale>
        <cfvo type="num" val="1"/>
        <cfvo type="num" val="2"/>
        <cfvo type="num" val="3"/>
        <color rgb="FFF8696B"/>
        <color rgb="FFFFEB84"/>
        <color rgb="FF63BE7B"/>
      </colorScale>
    </cfRule>
  </conditionalFormatting>
  <conditionalFormatting sqref="R4">
    <cfRule type="colorScale" priority="1094">
      <colorScale>
        <cfvo type="num" val="1"/>
        <cfvo type="num" val="2"/>
        <cfvo type="num" val="3"/>
        <color rgb="FFF8696B"/>
        <color rgb="FFFFEB84"/>
        <color rgb="FF63BE7B"/>
      </colorScale>
    </cfRule>
  </conditionalFormatting>
  <conditionalFormatting sqref="X4">
    <cfRule type="colorScale" priority="1093">
      <colorScale>
        <cfvo type="num" val="1"/>
        <cfvo type="num" val="2"/>
        <cfvo type="num" val="3"/>
        <color rgb="FFF8696B"/>
        <color rgb="FFFFEB84"/>
        <color rgb="FF63BE7B"/>
      </colorScale>
    </cfRule>
  </conditionalFormatting>
  <conditionalFormatting sqref="E4:I4">
    <cfRule type="colorScale" priority="1092">
      <colorScale>
        <cfvo type="num" val="1"/>
        <cfvo type="num" val="2"/>
        <cfvo type="num" val="3"/>
        <color rgb="FFF8696B"/>
        <color rgb="FFFFEB84"/>
        <color rgb="FF63BE7B"/>
      </colorScale>
    </cfRule>
  </conditionalFormatting>
  <conditionalFormatting sqref="D4:I4">
    <cfRule type="colorScale" priority="1091">
      <colorScale>
        <cfvo type="num" val="1"/>
        <cfvo type="num" val="2"/>
        <cfvo type="num" val="3"/>
        <color rgb="FFF8696B"/>
        <color rgb="FFFFEB84"/>
        <color rgb="FF63BE7B"/>
      </colorScale>
    </cfRule>
  </conditionalFormatting>
  <conditionalFormatting sqref="F6">
    <cfRule type="colorScale" priority="1090">
      <colorScale>
        <cfvo type="num" val="1"/>
        <cfvo type="num" val="2"/>
        <cfvo type="num" val="3"/>
        <color rgb="FFF8696B"/>
        <color rgb="FFFFEB84"/>
        <color rgb="FF63BE7B"/>
      </colorScale>
    </cfRule>
  </conditionalFormatting>
  <conditionalFormatting sqref="L4:P4">
    <cfRule type="colorScale" priority="1089">
      <colorScale>
        <cfvo type="num" val="1"/>
        <cfvo type="num" val="2"/>
        <cfvo type="num" val="3"/>
        <color rgb="FFF8696B"/>
        <color rgb="FFFFEB84"/>
        <color rgb="FF63BE7B"/>
      </colorScale>
    </cfRule>
  </conditionalFormatting>
  <conditionalFormatting sqref="K4">
    <cfRule type="colorScale" priority="1088">
      <colorScale>
        <cfvo type="num" val="1"/>
        <cfvo type="num" val="2"/>
        <cfvo type="num" val="3"/>
        <color rgb="FFF8696B"/>
        <color rgb="FFFFEB84"/>
        <color rgb="FF63BE7B"/>
      </colorScale>
    </cfRule>
  </conditionalFormatting>
  <conditionalFormatting sqref="O6:P6">
    <cfRule type="colorScale" priority="1087">
      <colorScale>
        <cfvo type="num" val="1"/>
        <cfvo type="num" val="2"/>
        <cfvo type="num" val="3"/>
        <color rgb="FFF8696B"/>
        <color rgb="FFFFEB84"/>
        <color rgb="FF63BE7B"/>
      </colorScale>
    </cfRule>
  </conditionalFormatting>
  <conditionalFormatting sqref="O6">
    <cfRule type="colorScale" priority="1086">
      <colorScale>
        <cfvo type="num" val="1"/>
        <cfvo type="num" val="2"/>
        <cfvo type="num" val="3"/>
        <color rgb="FFF8696B"/>
        <color rgb="FFFFEB84"/>
        <color rgb="FF63BE7B"/>
      </colorScale>
    </cfRule>
  </conditionalFormatting>
  <conditionalFormatting sqref="S4:W4">
    <cfRule type="colorScale" priority="1085">
      <colorScale>
        <cfvo type="num" val="1"/>
        <cfvo type="num" val="2"/>
        <cfvo type="num" val="3"/>
        <color rgb="FFF8696B"/>
        <color rgb="FFFFEB84"/>
        <color rgb="FF63BE7B"/>
      </colorScale>
    </cfRule>
  </conditionalFormatting>
  <conditionalFormatting sqref="R4">
    <cfRule type="colorScale" priority="1084">
      <colorScale>
        <cfvo type="num" val="1"/>
        <cfvo type="num" val="2"/>
        <cfvo type="num" val="3"/>
        <color rgb="FFF8696B"/>
        <color rgb="FFFFEB84"/>
        <color rgb="FF63BE7B"/>
      </colorScale>
    </cfRule>
  </conditionalFormatting>
  <conditionalFormatting sqref="Z4:AD4">
    <cfRule type="colorScale" priority="1083">
      <colorScale>
        <cfvo type="num" val="1"/>
        <cfvo type="num" val="2"/>
        <cfvo type="num" val="3"/>
        <color rgb="FFF8696B"/>
        <color rgb="FFFFEB84"/>
        <color rgb="FF63BE7B"/>
      </colorScale>
    </cfRule>
  </conditionalFormatting>
  <conditionalFormatting sqref="Y4">
    <cfRule type="colorScale" priority="1082">
      <colorScale>
        <cfvo type="num" val="1"/>
        <cfvo type="num" val="2"/>
        <cfvo type="num" val="3"/>
        <color rgb="FFF8696B"/>
        <color rgb="FFFFEB84"/>
        <color rgb="FF63BE7B"/>
      </colorScale>
    </cfRule>
  </conditionalFormatting>
  <conditionalFormatting sqref="AD4">
    <cfRule type="colorScale" priority="1081">
      <colorScale>
        <cfvo type="num" val="1"/>
        <cfvo type="num" val="2"/>
        <cfvo type="num" val="3"/>
        <color rgb="FFF8696B"/>
        <color rgb="FFFFEB84"/>
        <color rgb="FF63BE7B"/>
      </colorScale>
    </cfRule>
  </conditionalFormatting>
  <conditionalFormatting sqref="AC4">
    <cfRule type="colorScale" priority="1080">
      <colorScale>
        <cfvo type="num" val="1"/>
        <cfvo type="num" val="2"/>
        <cfvo type="num" val="3"/>
        <color rgb="FFF8696B"/>
        <color rgb="FFFFEB84"/>
        <color rgb="FF63BE7B"/>
      </colorScale>
    </cfRule>
  </conditionalFormatting>
  <conditionalFormatting sqref="AD6">
    <cfRule type="colorScale" priority="1079">
      <colorScale>
        <cfvo type="num" val="1"/>
        <cfvo type="num" val="2"/>
        <cfvo type="num" val="3"/>
        <color rgb="FFF8696B"/>
        <color rgb="FFFFEB84"/>
        <color rgb="FF63BE7B"/>
      </colorScale>
    </cfRule>
  </conditionalFormatting>
  <conditionalFormatting sqref="H4">
    <cfRule type="colorScale" priority="1078">
      <colorScale>
        <cfvo type="num" val="1"/>
        <cfvo type="num" val="2"/>
        <cfvo type="num" val="3"/>
        <color rgb="FFF8696B"/>
        <color rgb="FFFFEB84"/>
        <color rgb="FF63BE7B"/>
      </colorScale>
    </cfRule>
  </conditionalFormatting>
  <conditionalFormatting sqref="G4">
    <cfRule type="colorScale" priority="1077">
      <colorScale>
        <cfvo type="num" val="1"/>
        <cfvo type="num" val="2"/>
        <cfvo type="num" val="3"/>
        <color rgb="FFF8696B"/>
        <color rgb="FFFFEB84"/>
        <color rgb="FF63BE7B"/>
      </colorScale>
    </cfRule>
  </conditionalFormatting>
  <conditionalFormatting sqref="H4">
    <cfRule type="colorScale" priority="1076">
      <colorScale>
        <cfvo type="num" val="1"/>
        <cfvo type="num" val="2"/>
        <cfvo type="num" val="3"/>
        <color rgb="FFF8696B"/>
        <color rgb="FFFFEB84"/>
        <color rgb="FF63BE7B"/>
      </colorScale>
    </cfRule>
  </conditionalFormatting>
  <conditionalFormatting sqref="G4">
    <cfRule type="colorScale" priority="1075">
      <colorScale>
        <cfvo type="num" val="1"/>
        <cfvo type="num" val="2"/>
        <cfvo type="num" val="3"/>
        <color rgb="FFF8696B"/>
        <color rgb="FFFFEB84"/>
        <color rgb="FF63BE7B"/>
      </colorScale>
    </cfRule>
  </conditionalFormatting>
  <conditionalFormatting sqref="H4">
    <cfRule type="colorScale" priority="1074">
      <colorScale>
        <cfvo type="num" val="1"/>
        <cfvo type="num" val="2"/>
        <cfvo type="num" val="3"/>
        <color rgb="FFF8696B"/>
        <color rgb="FFFFEB84"/>
        <color rgb="FF63BE7B"/>
      </colorScale>
    </cfRule>
  </conditionalFormatting>
  <conditionalFormatting sqref="I4">
    <cfRule type="colorScale" priority="1073">
      <colorScale>
        <cfvo type="num" val="1"/>
        <cfvo type="num" val="2"/>
        <cfvo type="num" val="3"/>
        <color rgb="FFF8696B"/>
        <color rgb="FFFFEB84"/>
        <color rgb="FF63BE7B"/>
      </colorScale>
    </cfRule>
  </conditionalFormatting>
  <conditionalFormatting sqref="H4">
    <cfRule type="colorScale" priority="1072">
      <colorScale>
        <cfvo type="num" val="1"/>
        <cfvo type="num" val="2"/>
        <cfvo type="num" val="3"/>
        <color rgb="FFF8696B"/>
        <color rgb="FFFFEB84"/>
        <color rgb="FF63BE7B"/>
      </colorScale>
    </cfRule>
  </conditionalFormatting>
  <conditionalFormatting sqref="M4">
    <cfRule type="colorScale" priority="1071">
      <colorScale>
        <cfvo type="num" val="1"/>
        <cfvo type="num" val="2"/>
        <cfvo type="num" val="3"/>
        <color rgb="FFF8696B"/>
        <color rgb="FFFFEB84"/>
        <color rgb="FF63BE7B"/>
      </colorScale>
    </cfRule>
  </conditionalFormatting>
  <conditionalFormatting sqref="L4:P4">
    <cfRule type="colorScale" priority="1070">
      <colorScale>
        <cfvo type="num" val="1"/>
        <cfvo type="num" val="2"/>
        <cfvo type="num" val="3"/>
        <color rgb="FFF8696B"/>
        <color rgb="FFFFEB84"/>
        <color rgb="FF63BE7B"/>
      </colorScale>
    </cfRule>
  </conditionalFormatting>
  <conditionalFormatting sqref="M4">
    <cfRule type="colorScale" priority="1069">
      <colorScale>
        <cfvo type="num" val="1"/>
        <cfvo type="num" val="2"/>
        <cfvo type="num" val="3"/>
        <color rgb="FFF8696B"/>
        <color rgb="FFFFEB84"/>
        <color rgb="FF63BE7B"/>
      </colorScale>
    </cfRule>
  </conditionalFormatting>
  <conditionalFormatting sqref="N4">
    <cfRule type="colorScale" priority="1068">
      <colorScale>
        <cfvo type="num" val="1"/>
        <cfvo type="num" val="2"/>
        <cfvo type="num" val="3"/>
        <color rgb="FFF8696B"/>
        <color rgb="FFFFEB84"/>
        <color rgb="FF63BE7B"/>
      </colorScale>
    </cfRule>
  </conditionalFormatting>
  <conditionalFormatting sqref="M4">
    <cfRule type="colorScale" priority="1067">
      <colorScale>
        <cfvo type="num" val="1"/>
        <cfvo type="num" val="2"/>
        <cfvo type="num" val="3"/>
        <color rgb="FFF8696B"/>
        <color rgb="FFFFEB84"/>
        <color rgb="FF63BE7B"/>
      </colorScale>
    </cfRule>
  </conditionalFormatting>
  <conditionalFormatting sqref="P6:Q6">
    <cfRule type="colorScale" priority="1066">
      <colorScale>
        <cfvo type="num" val="1"/>
        <cfvo type="num" val="2"/>
        <cfvo type="num" val="3"/>
        <color rgb="FFF8696B"/>
        <color rgb="FFFFEB84"/>
        <color rgb="FF63BE7B"/>
      </colorScale>
    </cfRule>
  </conditionalFormatting>
  <conditionalFormatting sqref="O6:P6">
    <cfRule type="colorScale" priority="1065">
      <colorScale>
        <cfvo type="num" val="1"/>
        <cfvo type="num" val="2"/>
        <cfvo type="num" val="3"/>
        <color rgb="FFF8696B"/>
        <color rgb="FFFFEB84"/>
        <color rgb="FF63BE7B"/>
      </colorScale>
    </cfRule>
  </conditionalFormatting>
  <conditionalFormatting sqref="P6:Q6">
    <cfRule type="colorScale" priority="1064">
      <colorScale>
        <cfvo type="num" val="1"/>
        <cfvo type="num" val="2"/>
        <cfvo type="num" val="3"/>
        <color rgb="FFF8696B"/>
        <color rgb="FFFFEB84"/>
        <color rgb="FF63BE7B"/>
      </colorScale>
    </cfRule>
  </conditionalFormatting>
  <conditionalFormatting sqref="R6">
    <cfRule type="colorScale" priority="1063">
      <colorScale>
        <cfvo type="num" val="1"/>
        <cfvo type="num" val="2"/>
        <cfvo type="num" val="3"/>
        <color rgb="FFF8696B"/>
        <color rgb="FFFFEB84"/>
        <color rgb="FF63BE7B"/>
      </colorScale>
    </cfRule>
  </conditionalFormatting>
  <conditionalFormatting sqref="P6:Q6">
    <cfRule type="colorScale" priority="1062">
      <colorScale>
        <cfvo type="num" val="1"/>
        <cfvo type="num" val="2"/>
        <cfvo type="num" val="3"/>
        <color rgb="FFF8696B"/>
        <color rgb="FFFFEB84"/>
        <color rgb="FF63BE7B"/>
      </colorScale>
    </cfRule>
  </conditionalFormatting>
  <conditionalFormatting sqref="S4:W4">
    <cfRule type="colorScale" priority="1061">
      <colorScale>
        <cfvo type="num" val="1"/>
        <cfvo type="num" val="2"/>
        <cfvo type="num" val="3"/>
        <color rgb="FFF8696B"/>
        <color rgb="FFFFEB84"/>
        <color rgb="FF63BE7B"/>
      </colorScale>
    </cfRule>
  </conditionalFormatting>
  <conditionalFormatting sqref="R4">
    <cfRule type="colorScale" priority="1060">
      <colorScale>
        <cfvo type="num" val="1"/>
        <cfvo type="num" val="2"/>
        <cfvo type="num" val="3"/>
        <color rgb="FFF8696B"/>
        <color rgb="FFFFEB84"/>
        <color rgb="FF63BE7B"/>
      </colorScale>
    </cfRule>
  </conditionalFormatting>
  <conditionalFormatting sqref="S4:W4">
    <cfRule type="colorScale" priority="1059">
      <colorScale>
        <cfvo type="num" val="1"/>
        <cfvo type="num" val="2"/>
        <cfvo type="num" val="3"/>
        <color rgb="FFF8696B"/>
        <color rgb="FFFFEB84"/>
        <color rgb="FF63BE7B"/>
      </colorScale>
    </cfRule>
  </conditionalFormatting>
  <conditionalFormatting sqref="T4">
    <cfRule type="colorScale" priority="1058">
      <colorScale>
        <cfvo type="num" val="1"/>
        <cfvo type="num" val="2"/>
        <cfvo type="num" val="3"/>
        <color rgb="FFF8696B"/>
        <color rgb="FFFFEB84"/>
        <color rgb="FF63BE7B"/>
      </colorScale>
    </cfRule>
  </conditionalFormatting>
  <conditionalFormatting sqref="S4:W4">
    <cfRule type="colorScale" priority="1057">
      <colorScale>
        <cfvo type="num" val="1"/>
        <cfvo type="num" val="2"/>
        <cfvo type="num" val="3"/>
        <color rgb="FFF8696B"/>
        <color rgb="FFFFEB84"/>
        <color rgb="FF63BE7B"/>
      </colorScale>
    </cfRule>
  </conditionalFormatting>
  <conditionalFormatting sqref="Y4">
    <cfRule type="colorScale" priority="1056">
      <colorScale>
        <cfvo type="num" val="1"/>
        <cfvo type="num" val="2"/>
        <cfvo type="num" val="3"/>
        <color rgb="FFF8696B"/>
        <color rgb="FFFFEB84"/>
        <color rgb="FF63BE7B"/>
      </colorScale>
    </cfRule>
  </conditionalFormatting>
  <conditionalFormatting sqref="X4">
    <cfRule type="colorScale" priority="1055">
      <colorScale>
        <cfvo type="num" val="1"/>
        <cfvo type="num" val="2"/>
        <cfvo type="num" val="3"/>
        <color rgb="FFF8696B"/>
        <color rgb="FFFFEB84"/>
        <color rgb="FF63BE7B"/>
      </colorScale>
    </cfRule>
  </conditionalFormatting>
  <conditionalFormatting sqref="Y4">
    <cfRule type="colorScale" priority="1054">
      <colorScale>
        <cfvo type="num" val="1"/>
        <cfvo type="num" val="2"/>
        <cfvo type="num" val="3"/>
        <color rgb="FFF8696B"/>
        <color rgb="FFFFEB84"/>
        <color rgb="FF63BE7B"/>
      </colorScale>
    </cfRule>
  </conditionalFormatting>
  <conditionalFormatting sqref="Z4:AD4">
    <cfRule type="colorScale" priority="1053">
      <colorScale>
        <cfvo type="num" val="1"/>
        <cfvo type="num" val="2"/>
        <cfvo type="num" val="3"/>
        <color rgb="FFF8696B"/>
        <color rgb="FFFFEB84"/>
        <color rgb="FF63BE7B"/>
      </colorScale>
    </cfRule>
  </conditionalFormatting>
  <conditionalFormatting sqref="Y4">
    <cfRule type="colorScale" priority="1052">
      <colorScale>
        <cfvo type="num" val="1"/>
        <cfvo type="num" val="2"/>
        <cfvo type="num" val="3"/>
        <color rgb="FFF8696B"/>
        <color rgb="FFFFEB84"/>
        <color rgb="FF63BE7B"/>
      </colorScale>
    </cfRule>
  </conditionalFormatting>
  <conditionalFormatting sqref="AB6">
    <cfRule type="colorScale" priority="1051">
      <colorScale>
        <cfvo type="num" val="1"/>
        <cfvo type="num" val="2"/>
        <cfvo type="num" val="3"/>
        <color rgb="FFF8696B"/>
        <color rgb="FFFFEB84"/>
        <color rgb="FF63BE7B"/>
      </colorScale>
    </cfRule>
  </conditionalFormatting>
  <conditionalFormatting sqref="AD6">
    <cfRule type="colorScale" priority="1050">
      <colorScale>
        <cfvo type="num" val="1"/>
        <cfvo type="num" val="2"/>
        <cfvo type="num" val="3"/>
        <color rgb="FFF8696B"/>
        <color rgb="FFFFEB84"/>
        <color rgb="FF63BE7B"/>
      </colorScale>
    </cfRule>
  </conditionalFormatting>
  <conditionalFormatting sqref="D6">
    <cfRule type="colorScale" priority="1049">
      <colorScale>
        <cfvo type="num" val="1"/>
        <cfvo type="num" val="2"/>
        <cfvo type="num" val="3"/>
        <color rgb="FFF8696B"/>
        <color rgb="FFFFEB84"/>
        <color rgb="FF63BE7B"/>
      </colorScale>
    </cfRule>
  </conditionalFormatting>
  <conditionalFormatting sqref="O6">
    <cfRule type="colorScale" priority="1048">
      <colorScale>
        <cfvo type="num" val="1"/>
        <cfvo type="num" val="2"/>
        <cfvo type="num" val="3"/>
        <color rgb="FFF8696B"/>
        <color rgb="FFFFEB84"/>
        <color rgb="FF63BE7B"/>
      </colorScale>
    </cfRule>
  </conditionalFormatting>
  <conditionalFormatting sqref="T4">
    <cfRule type="colorScale" priority="1047">
      <colorScale>
        <cfvo type="num" val="1"/>
        <cfvo type="num" val="2"/>
        <cfvo type="num" val="3"/>
        <color rgb="FFF8696B"/>
        <color rgb="FFFFEB84"/>
        <color rgb="FF63BE7B"/>
      </colorScale>
    </cfRule>
  </conditionalFormatting>
  <conditionalFormatting sqref="U4">
    <cfRule type="colorScale" priority="1046">
      <colorScale>
        <cfvo type="num" val="1"/>
        <cfvo type="num" val="2"/>
        <cfvo type="num" val="3"/>
        <color rgb="FFF8696B"/>
        <color rgb="FFFFEB84"/>
        <color rgb="FF63BE7B"/>
      </colorScale>
    </cfRule>
  </conditionalFormatting>
  <conditionalFormatting sqref="T4">
    <cfRule type="colorScale" priority="1045">
      <colorScale>
        <cfvo type="num" val="1"/>
        <cfvo type="num" val="2"/>
        <cfvo type="num" val="3"/>
        <color rgb="FFF8696B"/>
        <color rgb="FFFFEB84"/>
        <color rgb="FF63BE7B"/>
      </colorScale>
    </cfRule>
  </conditionalFormatting>
  <conditionalFormatting sqref="T4:U4">
    <cfRule type="colorScale" priority="1044">
      <colorScale>
        <cfvo type="num" val="1"/>
        <cfvo type="num" val="2"/>
        <cfvo type="num" val="3"/>
        <color rgb="FFF8696B"/>
        <color rgb="FFFFEB84"/>
        <color rgb="FF63BE7B"/>
      </colorScale>
    </cfRule>
  </conditionalFormatting>
  <conditionalFormatting sqref="Y4">
    <cfRule type="colorScale" priority="1043">
      <colorScale>
        <cfvo type="num" val="1"/>
        <cfvo type="num" val="2"/>
        <cfvo type="num" val="3"/>
        <color rgb="FFF8696B"/>
        <color rgb="FFFFEB84"/>
        <color rgb="FF63BE7B"/>
      </colorScale>
    </cfRule>
  </conditionalFormatting>
  <conditionalFormatting sqref="Z4:AD4">
    <cfRule type="colorScale" priority="1042">
      <colorScale>
        <cfvo type="num" val="1"/>
        <cfvo type="num" val="2"/>
        <cfvo type="num" val="3"/>
        <color rgb="FFF8696B"/>
        <color rgb="FFFFEB84"/>
        <color rgb="FF63BE7B"/>
      </colorScale>
    </cfRule>
  </conditionalFormatting>
  <conditionalFormatting sqref="Y4">
    <cfRule type="colorScale" priority="1041">
      <colorScale>
        <cfvo type="num" val="1"/>
        <cfvo type="num" val="2"/>
        <cfvo type="num" val="3"/>
        <color rgb="FFF8696B"/>
        <color rgb="FFFFEB84"/>
        <color rgb="FF63BE7B"/>
      </colorScale>
    </cfRule>
  </conditionalFormatting>
  <conditionalFormatting sqref="Y4:AD4">
    <cfRule type="colorScale" priority="1040">
      <colorScale>
        <cfvo type="num" val="1"/>
        <cfvo type="num" val="2"/>
        <cfvo type="num" val="3"/>
        <color rgb="FFF8696B"/>
        <color rgb="FFFFEB84"/>
        <color rgb="FF63BE7B"/>
      </colorScale>
    </cfRule>
  </conditionalFormatting>
  <conditionalFormatting sqref="AC6">
    <cfRule type="colorScale" priority="1039">
      <colorScale>
        <cfvo type="num" val="1"/>
        <cfvo type="num" val="2"/>
        <cfvo type="num" val="3"/>
        <color rgb="FFF8696B"/>
        <color rgb="FFFFEB84"/>
        <color rgb="FF63BE7B"/>
      </colorScale>
    </cfRule>
  </conditionalFormatting>
  <conditionalFormatting sqref="AD6">
    <cfRule type="colorScale" priority="1038">
      <colorScale>
        <cfvo type="num" val="1"/>
        <cfvo type="num" val="2"/>
        <cfvo type="num" val="3"/>
        <color rgb="FFF8696B"/>
        <color rgb="FFFFEB84"/>
        <color rgb="FF63BE7B"/>
      </colorScale>
    </cfRule>
  </conditionalFormatting>
  <conditionalFormatting sqref="AC6">
    <cfRule type="colorScale" priority="1037">
      <colorScale>
        <cfvo type="num" val="1"/>
        <cfvo type="num" val="2"/>
        <cfvo type="num" val="3"/>
        <color rgb="FFF8696B"/>
        <color rgb="FFFFEB84"/>
        <color rgb="FF63BE7B"/>
      </colorScale>
    </cfRule>
  </conditionalFormatting>
  <conditionalFormatting sqref="AC6:AD6">
    <cfRule type="colorScale" priority="1036">
      <colorScale>
        <cfvo type="num" val="1"/>
        <cfvo type="num" val="2"/>
        <cfvo type="num" val="3"/>
        <color rgb="FFF8696B"/>
        <color rgb="FFFFEB84"/>
        <color rgb="FF63BE7B"/>
      </colorScale>
    </cfRule>
  </conditionalFormatting>
  <conditionalFormatting sqref="AD4">
    <cfRule type="colorScale" priority="1035">
      <colorScale>
        <cfvo type="num" val="1"/>
        <cfvo type="num" val="2"/>
        <cfvo type="num" val="3"/>
        <color rgb="FFF8696B"/>
        <color rgb="FFFFEB84"/>
        <color rgb="FF63BE7B"/>
      </colorScale>
    </cfRule>
  </conditionalFormatting>
  <conditionalFormatting sqref="AE4">
    <cfRule type="colorScale" priority="1034">
      <colorScale>
        <cfvo type="num" val="1"/>
        <cfvo type="num" val="2"/>
        <cfvo type="num" val="3"/>
        <color rgb="FFF8696B"/>
        <color rgb="FFFFEB84"/>
        <color rgb="FF63BE7B"/>
      </colorScale>
    </cfRule>
  </conditionalFormatting>
  <conditionalFormatting sqref="AD4">
    <cfRule type="colorScale" priority="1033">
      <colorScale>
        <cfvo type="num" val="1"/>
        <cfvo type="num" val="2"/>
        <cfvo type="num" val="3"/>
        <color rgb="FFF8696B"/>
        <color rgb="FFFFEB84"/>
        <color rgb="FF63BE7B"/>
      </colorScale>
    </cfRule>
  </conditionalFormatting>
  <conditionalFormatting sqref="AD4:AE4">
    <cfRule type="colorScale" priority="1032">
      <colorScale>
        <cfvo type="num" val="1"/>
        <cfvo type="num" val="2"/>
        <cfvo type="num" val="3"/>
        <color rgb="FFF8696B"/>
        <color rgb="FFFFEB84"/>
        <color rgb="FF63BE7B"/>
      </colorScale>
    </cfRule>
  </conditionalFormatting>
  <conditionalFormatting sqref="O4">
    <cfRule type="colorScale" priority="1031">
      <colorScale>
        <cfvo type="num" val="1"/>
        <cfvo type="num" val="2"/>
        <cfvo type="num" val="3"/>
        <color rgb="FFF8696B"/>
        <color rgb="FFFFEB84"/>
        <color rgb="FF63BE7B"/>
      </colorScale>
    </cfRule>
  </conditionalFormatting>
  <conditionalFormatting sqref="O4">
    <cfRule type="colorScale" priority="1030">
      <colorScale>
        <cfvo type="num" val="1"/>
        <cfvo type="num" val="2"/>
        <cfvo type="num" val="3"/>
        <color rgb="FFF8696B"/>
        <color rgb="FFFFEB84"/>
        <color rgb="FF63BE7B"/>
      </colorScale>
    </cfRule>
  </conditionalFormatting>
  <conditionalFormatting sqref="O4">
    <cfRule type="colorScale" priority="1029">
      <colorScale>
        <cfvo type="num" val="1"/>
        <cfvo type="num" val="2"/>
        <cfvo type="num" val="3"/>
        <color rgb="FFF8696B"/>
        <color rgb="FFFFEB84"/>
        <color rgb="FF63BE7B"/>
      </colorScale>
    </cfRule>
  </conditionalFormatting>
  <conditionalFormatting sqref="O4">
    <cfRule type="colorScale" priority="1028">
      <colorScale>
        <cfvo type="num" val="1"/>
        <cfvo type="num" val="2"/>
        <cfvo type="num" val="3"/>
        <color rgb="FFF8696B"/>
        <color rgb="FFFFEB84"/>
        <color rgb="FF63BE7B"/>
      </colorScale>
    </cfRule>
  </conditionalFormatting>
  <conditionalFormatting sqref="O4">
    <cfRule type="colorScale" priority="1027">
      <colorScale>
        <cfvo type="num" val="1"/>
        <cfvo type="num" val="2"/>
        <cfvo type="num" val="3"/>
        <color rgb="FFF8696B"/>
        <color rgb="FFFFEB84"/>
        <color rgb="FF63BE7B"/>
      </colorScale>
    </cfRule>
  </conditionalFormatting>
  <conditionalFormatting sqref="O6:P6">
    <cfRule type="colorScale" priority="1026">
      <colorScale>
        <cfvo type="num" val="1"/>
        <cfvo type="num" val="2"/>
        <cfvo type="num" val="3"/>
        <color rgb="FFF8696B"/>
        <color rgb="FFFFEB84"/>
        <color rgb="FF63BE7B"/>
      </colorScale>
    </cfRule>
  </conditionalFormatting>
  <conditionalFormatting sqref="O6:P6">
    <cfRule type="colorScale" priority="1025">
      <colorScale>
        <cfvo type="num" val="1"/>
        <cfvo type="num" val="2"/>
        <cfvo type="num" val="3"/>
        <color rgb="FFF8696B"/>
        <color rgb="FFFFEB84"/>
        <color rgb="FF63BE7B"/>
      </colorScale>
    </cfRule>
  </conditionalFormatting>
  <conditionalFormatting sqref="O6:P6">
    <cfRule type="colorScale" priority="1024">
      <colorScale>
        <cfvo type="num" val="1"/>
        <cfvo type="num" val="2"/>
        <cfvo type="num" val="3"/>
        <color rgb="FFF8696B"/>
        <color rgb="FFFFEB84"/>
        <color rgb="FF63BE7B"/>
      </colorScale>
    </cfRule>
  </conditionalFormatting>
  <conditionalFormatting sqref="O6:P6">
    <cfRule type="colorScale" priority="1023">
      <colorScale>
        <cfvo type="num" val="1"/>
        <cfvo type="num" val="2"/>
        <cfvo type="num" val="3"/>
        <color rgb="FFF8696B"/>
        <color rgb="FFFFEB84"/>
        <color rgb="FF63BE7B"/>
      </colorScale>
    </cfRule>
  </conditionalFormatting>
  <conditionalFormatting sqref="O6:P6">
    <cfRule type="colorScale" priority="1022">
      <colorScale>
        <cfvo type="num" val="1"/>
        <cfvo type="num" val="2"/>
        <cfvo type="num" val="3"/>
        <color rgb="FFF8696B"/>
        <color rgb="FFFFEB84"/>
        <color rgb="FF63BE7B"/>
      </colorScale>
    </cfRule>
  </conditionalFormatting>
  <conditionalFormatting sqref="H4">
    <cfRule type="colorScale" priority="1021">
      <colorScale>
        <cfvo type="num" val="1"/>
        <cfvo type="num" val="2"/>
        <cfvo type="num" val="3"/>
        <color rgb="FFF8696B"/>
        <color rgb="FFFFEB84"/>
        <color rgb="FF63BE7B"/>
      </colorScale>
    </cfRule>
  </conditionalFormatting>
  <conditionalFormatting sqref="H4">
    <cfRule type="colorScale" priority="1020">
      <colorScale>
        <cfvo type="num" val="1"/>
        <cfvo type="num" val="2"/>
        <cfvo type="num" val="3"/>
        <color rgb="FFF8696B"/>
        <color rgb="FFFFEB84"/>
        <color rgb="FF63BE7B"/>
      </colorScale>
    </cfRule>
  </conditionalFormatting>
  <conditionalFormatting sqref="H4">
    <cfRule type="colorScale" priority="1019">
      <colorScale>
        <cfvo type="num" val="1"/>
        <cfvo type="num" val="2"/>
        <cfvo type="num" val="3"/>
        <color rgb="FFF8696B"/>
        <color rgb="FFFFEB84"/>
        <color rgb="FF63BE7B"/>
      </colorScale>
    </cfRule>
  </conditionalFormatting>
  <conditionalFormatting sqref="H4">
    <cfRule type="colorScale" priority="1018">
      <colorScale>
        <cfvo type="num" val="1"/>
        <cfvo type="num" val="2"/>
        <cfvo type="num" val="3"/>
        <color rgb="FFF8696B"/>
        <color rgb="FFFFEB84"/>
        <color rgb="FF63BE7B"/>
      </colorScale>
    </cfRule>
  </conditionalFormatting>
  <conditionalFormatting sqref="H4">
    <cfRule type="colorScale" priority="1017">
      <colorScale>
        <cfvo type="num" val="1"/>
        <cfvo type="num" val="2"/>
        <cfvo type="num" val="3"/>
        <color rgb="FFF8696B"/>
        <color rgb="FFFFEB84"/>
        <color rgb="FF63BE7B"/>
      </colorScale>
    </cfRule>
  </conditionalFormatting>
  <conditionalFormatting sqref="G4">
    <cfRule type="colorScale" priority="1016">
      <colorScale>
        <cfvo type="num" val="1"/>
        <cfvo type="num" val="2"/>
        <cfvo type="num" val="3"/>
        <color rgb="FFF8696B"/>
        <color rgb="FFFFEB84"/>
        <color rgb="FF63BE7B"/>
      </colorScale>
    </cfRule>
  </conditionalFormatting>
  <conditionalFormatting sqref="H4">
    <cfRule type="colorScale" priority="1015">
      <colorScale>
        <cfvo type="num" val="1"/>
        <cfvo type="num" val="2"/>
        <cfvo type="num" val="3"/>
        <color rgb="FFF8696B"/>
        <color rgb="FFFFEB84"/>
        <color rgb="FF63BE7B"/>
      </colorScale>
    </cfRule>
  </conditionalFormatting>
  <conditionalFormatting sqref="H4">
    <cfRule type="colorScale" priority="1014">
      <colorScale>
        <cfvo type="num" val="1"/>
        <cfvo type="num" val="2"/>
        <cfvo type="num" val="3"/>
        <color rgb="FFF8696B"/>
        <color rgb="FFFFEB84"/>
        <color rgb="FF63BE7B"/>
      </colorScale>
    </cfRule>
  </conditionalFormatting>
  <conditionalFormatting sqref="AA6">
    <cfRule type="colorScale" priority="1013">
      <colorScale>
        <cfvo type="num" val="1"/>
        <cfvo type="num" val="2"/>
        <cfvo type="num" val="3"/>
        <color rgb="FFF8696B"/>
        <color rgb="FFFFEB84"/>
        <color rgb="FF63BE7B"/>
      </colorScale>
    </cfRule>
  </conditionalFormatting>
  <conditionalFormatting sqref="AA6">
    <cfRule type="colorScale" priority="1012">
      <colorScale>
        <cfvo type="num" val="1"/>
        <cfvo type="num" val="2"/>
        <cfvo type="num" val="3"/>
        <color rgb="FFF8696B"/>
        <color rgb="FFFFEB84"/>
        <color rgb="FF63BE7B"/>
      </colorScale>
    </cfRule>
  </conditionalFormatting>
  <conditionalFormatting sqref="AB6">
    <cfRule type="colorScale" priority="1011">
      <colorScale>
        <cfvo type="num" val="1"/>
        <cfvo type="num" val="2"/>
        <cfvo type="num" val="3"/>
        <color rgb="FFF8696B"/>
        <color rgb="FFFFEB84"/>
        <color rgb="FF63BE7B"/>
      </colorScale>
    </cfRule>
  </conditionalFormatting>
  <conditionalFormatting sqref="AA6">
    <cfRule type="colorScale" priority="1010">
      <colorScale>
        <cfvo type="num" val="1"/>
        <cfvo type="num" val="2"/>
        <cfvo type="num" val="3"/>
        <color rgb="FFF8696B"/>
        <color rgb="FFFFEB84"/>
        <color rgb="FF63BE7B"/>
      </colorScale>
    </cfRule>
  </conditionalFormatting>
  <conditionalFormatting sqref="AA6">
    <cfRule type="colorScale" priority="1009">
      <colorScale>
        <cfvo type="num" val="1"/>
        <cfvo type="num" val="2"/>
        <cfvo type="num" val="3"/>
        <color rgb="FFF8696B"/>
        <color rgb="FFFFEB84"/>
        <color rgb="FF63BE7B"/>
      </colorScale>
    </cfRule>
  </conditionalFormatting>
  <conditionalFormatting sqref="AB6">
    <cfRule type="colorScale" priority="1008">
      <colorScale>
        <cfvo type="num" val="1"/>
        <cfvo type="num" val="2"/>
        <cfvo type="num" val="3"/>
        <color rgb="FFF8696B"/>
        <color rgb="FFFFEB84"/>
        <color rgb="FF63BE7B"/>
      </colorScale>
    </cfRule>
  </conditionalFormatting>
  <conditionalFormatting sqref="AA6">
    <cfRule type="colorScale" priority="1007">
      <colorScale>
        <cfvo type="num" val="1"/>
        <cfvo type="num" val="2"/>
        <cfvo type="num" val="3"/>
        <color rgb="FFF8696B"/>
        <color rgb="FFFFEB84"/>
        <color rgb="FF63BE7B"/>
      </colorScale>
    </cfRule>
  </conditionalFormatting>
  <conditionalFormatting sqref="AF8">
    <cfRule type="colorScale" priority="1006">
      <colorScale>
        <cfvo type="num" val="1"/>
        <cfvo type="num" val="2"/>
        <cfvo type="num" val="3"/>
        <color rgb="FFF8696B"/>
        <color rgb="FFFFEB84"/>
        <color rgb="FF63BE7B"/>
      </colorScale>
    </cfRule>
  </conditionalFormatting>
  <conditionalFormatting sqref="AF8">
    <cfRule type="colorScale" priority="1005">
      <colorScale>
        <cfvo type="num" val="1"/>
        <cfvo type="num" val="2"/>
        <cfvo type="num" val="3"/>
        <color rgb="FFF8696B"/>
        <color rgb="FFFFEB84"/>
        <color rgb="FF63BE7B"/>
      </colorScale>
    </cfRule>
  </conditionalFormatting>
  <conditionalFormatting sqref="AF8">
    <cfRule type="colorScale" priority="1004">
      <colorScale>
        <cfvo type="num" val="1"/>
        <cfvo type="num" val="2"/>
        <cfvo type="num" val="3"/>
        <color rgb="FFF8696B"/>
        <color rgb="FFFFEB84"/>
        <color rgb="FF63BE7B"/>
      </colorScale>
    </cfRule>
  </conditionalFormatting>
  <conditionalFormatting sqref="AF8">
    <cfRule type="colorScale" priority="1003">
      <colorScale>
        <cfvo type="num" val="1"/>
        <cfvo type="num" val="2"/>
        <cfvo type="num" val="3"/>
        <color rgb="FFF8696B"/>
        <color rgb="FFFFEB84"/>
        <color rgb="FF63BE7B"/>
      </colorScale>
    </cfRule>
  </conditionalFormatting>
  <conditionalFormatting sqref="E6:G6 J6:L6 N6:AE6">
    <cfRule type="colorScale" priority="1002">
      <colorScale>
        <cfvo type="num" val="1"/>
        <cfvo type="num" val="2"/>
        <cfvo type="num" val="3"/>
        <color rgb="FFF8696B"/>
        <color rgb="FFFFEB84"/>
        <color rgb="FF63BE7B"/>
      </colorScale>
    </cfRule>
  </conditionalFormatting>
  <conditionalFormatting sqref="E6">
    <cfRule type="colorScale" priority="1001">
      <colorScale>
        <cfvo type="num" val="1"/>
        <cfvo type="num" val="2"/>
        <cfvo type="num" val="3"/>
        <color rgb="FFF8696B"/>
        <color rgb="FFFFEB84"/>
        <color rgb="FF63BE7B"/>
      </colorScale>
    </cfRule>
  </conditionalFormatting>
  <conditionalFormatting sqref="J4">
    <cfRule type="colorScale" priority="1000">
      <colorScale>
        <cfvo type="num" val="1"/>
        <cfvo type="num" val="2"/>
        <cfvo type="num" val="3"/>
        <color rgb="FFF8696B"/>
        <color rgb="FFFFEB84"/>
        <color rgb="FF63BE7B"/>
      </colorScale>
    </cfRule>
  </conditionalFormatting>
  <conditionalFormatting sqref="O4">
    <cfRule type="colorScale" priority="999">
      <colorScale>
        <cfvo type="num" val="1"/>
        <cfvo type="num" val="2"/>
        <cfvo type="num" val="3"/>
        <color rgb="FFF8696B"/>
        <color rgb="FFFFEB84"/>
        <color rgb="FF63BE7B"/>
      </colorScale>
    </cfRule>
  </conditionalFormatting>
  <conditionalFormatting sqref="P6:Q6">
    <cfRule type="colorScale" priority="998">
      <colorScale>
        <cfvo type="num" val="1"/>
        <cfvo type="num" val="2"/>
        <cfvo type="num" val="3"/>
        <color rgb="FFF8696B"/>
        <color rgb="FFFFEB84"/>
        <color rgb="FF63BE7B"/>
      </colorScale>
    </cfRule>
  </conditionalFormatting>
  <conditionalFormatting sqref="P6">
    <cfRule type="colorScale" priority="997">
      <colorScale>
        <cfvo type="num" val="1"/>
        <cfvo type="num" val="2"/>
        <cfvo type="num" val="3"/>
        <color rgb="FFF8696B"/>
        <color rgb="FFFFEB84"/>
        <color rgb="FF63BE7B"/>
      </colorScale>
    </cfRule>
  </conditionalFormatting>
  <conditionalFormatting sqref="B12:D12">
    <cfRule type="colorScale" priority="996">
      <colorScale>
        <cfvo type="num" val="1"/>
        <cfvo type="num" val="2"/>
        <cfvo type="num" val="3"/>
        <color rgb="FFF8696B"/>
        <color rgb="FFFFEB84"/>
        <color rgb="FF63BE7B"/>
      </colorScale>
    </cfRule>
  </conditionalFormatting>
  <conditionalFormatting sqref="B12:D12">
    <cfRule type="colorScale" priority="995">
      <colorScale>
        <cfvo type="num" val="1"/>
        <cfvo type="num" val="2"/>
        <cfvo type="num" val="3"/>
        <color rgb="FFF8696B"/>
        <color rgb="FFFFEB84"/>
        <color rgb="FF63BE7B"/>
      </colorScale>
    </cfRule>
  </conditionalFormatting>
  <conditionalFormatting sqref="T4">
    <cfRule type="colorScale" priority="994">
      <colorScale>
        <cfvo type="num" val="1"/>
        <cfvo type="num" val="2"/>
        <cfvo type="num" val="3"/>
        <color rgb="FFF8696B"/>
        <color rgb="FFFFEB84"/>
        <color rgb="FF63BE7B"/>
      </colorScale>
    </cfRule>
  </conditionalFormatting>
  <conditionalFormatting sqref="U4">
    <cfRule type="colorScale" priority="993">
      <colorScale>
        <cfvo type="num" val="1"/>
        <cfvo type="num" val="2"/>
        <cfvo type="num" val="3"/>
        <color rgb="FFF8696B"/>
        <color rgb="FFFFEB84"/>
        <color rgb="FF63BE7B"/>
      </colorScale>
    </cfRule>
  </conditionalFormatting>
  <conditionalFormatting sqref="T4">
    <cfRule type="colorScale" priority="992">
      <colorScale>
        <cfvo type="num" val="1"/>
        <cfvo type="num" val="2"/>
        <cfvo type="num" val="3"/>
        <color rgb="FFF8696B"/>
        <color rgb="FFFFEB84"/>
        <color rgb="FF63BE7B"/>
      </colorScale>
    </cfRule>
  </conditionalFormatting>
  <conditionalFormatting sqref="Y4">
    <cfRule type="colorScale" priority="991">
      <colorScale>
        <cfvo type="num" val="1"/>
        <cfvo type="num" val="2"/>
        <cfvo type="num" val="3"/>
        <color rgb="FFF8696B"/>
        <color rgb="FFFFEB84"/>
        <color rgb="FF63BE7B"/>
      </colorScale>
    </cfRule>
  </conditionalFormatting>
  <conditionalFormatting sqref="Z4:AD4">
    <cfRule type="colorScale" priority="990">
      <colorScale>
        <cfvo type="num" val="1"/>
        <cfvo type="num" val="2"/>
        <cfvo type="num" val="3"/>
        <color rgb="FFF8696B"/>
        <color rgb="FFFFEB84"/>
        <color rgb="FF63BE7B"/>
      </colorScale>
    </cfRule>
  </conditionalFormatting>
  <conditionalFormatting sqref="Y4">
    <cfRule type="colorScale" priority="989">
      <colorScale>
        <cfvo type="num" val="1"/>
        <cfvo type="num" val="2"/>
        <cfvo type="num" val="3"/>
        <color rgb="FFF8696B"/>
        <color rgb="FFFFEB84"/>
        <color rgb="FF63BE7B"/>
      </colorScale>
    </cfRule>
  </conditionalFormatting>
  <conditionalFormatting sqref="Z6">
    <cfRule type="colorScale" priority="988">
      <colorScale>
        <cfvo type="num" val="1"/>
        <cfvo type="num" val="2"/>
        <cfvo type="num" val="3"/>
        <color rgb="FFF8696B"/>
        <color rgb="FFFFEB84"/>
        <color rgb="FF63BE7B"/>
      </colorScale>
    </cfRule>
  </conditionalFormatting>
  <conditionalFormatting sqref="Z6:AA6">
    <cfRule type="colorScale" priority="987">
      <colorScale>
        <cfvo type="num" val="1"/>
        <cfvo type="num" val="2"/>
        <cfvo type="num" val="3"/>
        <color rgb="FFF8696B"/>
        <color rgb="FFFFEB84"/>
        <color rgb="FF63BE7B"/>
      </colorScale>
    </cfRule>
  </conditionalFormatting>
  <conditionalFormatting sqref="AA6">
    <cfRule type="colorScale" priority="986">
      <colorScale>
        <cfvo type="num" val="1"/>
        <cfvo type="num" val="2"/>
        <cfvo type="num" val="3"/>
        <color rgb="FFF8696B"/>
        <color rgb="FFFFEB84"/>
        <color rgb="FF63BE7B"/>
      </colorScale>
    </cfRule>
  </conditionalFormatting>
  <conditionalFormatting sqref="Z6">
    <cfRule type="colorScale" priority="985">
      <colorScale>
        <cfvo type="num" val="1"/>
        <cfvo type="num" val="2"/>
        <cfvo type="num" val="3"/>
        <color rgb="FFF8696B"/>
        <color rgb="FFFFEB84"/>
        <color rgb="FF63BE7B"/>
      </colorScale>
    </cfRule>
  </conditionalFormatting>
  <conditionalFormatting sqref="AD4">
    <cfRule type="colorScale" priority="984">
      <colorScale>
        <cfvo type="num" val="1"/>
        <cfvo type="num" val="2"/>
        <cfvo type="num" val="3"/>
        <color rgb="FFF8696B"/>
        <color rgb="FFFFEB84"/>
        <color rgb="FF63BE7B"/>
      </colorScale>
    </cfRule>
  </conditionalFormatting>
  <conditionalFormatting sqref="AE4">
    <cfRule type="colorScale" priority="983">
      <colorScale>
        <cfvo type="num" val="1"/>
        <cfvo type="num" val="2"/>
        <cfvo type="num" val="3"/>
        <color rgb="FFF8696B"/>
        <color rgb="FFFFEB84"/>
        <color rgb="FF63BE7B"/>
      </colorScale>
    </cfRule>
  </conditionalFormatting>
  <conditionalFormatting sqref="AD4">
    <cfRule type="colorScale" priority="982">
      <colorScale>
        <cfvo type="num" val="1"/>
        <cfvo type="num" val="2"/>
        <cfvo type="num" val="3"/>
        <color rgb="FFF8696B"/>
        <color rgb="FFFFEB84"/>
        <color rgb="FF63BE7B"/>
      </colorScale>
    </cfRule>
  </conditionalFormatting>
  <conditionalFormatting sqref="AE6">
    <cfRule type="colorScale" priority="981">
      <colorScale>
        <cfvo type="num" val="1"/>
        <cfvo type="num" val="2"/>
        <cfvo type="num" val="3"/>
        <color rgb="FFF8696B"/>
        <color rgb="FFFFEB84"/>
        <color rgb="FF63BE7B"/>
      </colorScale>
    </cfRule>
  </conditionalFormatting>
  <conditionalFormatting sqref="AE6">
    <cfRule type="colorScale" priority="980">
      <colorScale>
        <cfvo type="num" val="1"/>
        <cfvo type="num" val="2"/>
        <cfvo type="num" val="3"/>
        <color rgb="FFF8696B"/>
        <color rgb="FFFFEB84"/>
        <color rgb="FF63BE7B"/>
      </colorScale>
    </cfRule>
  </conditionalFormatting>
  <conditionalFormatting sqref="AE6">
    <cfRule type="colorScale" priority="979">
      <colorScale>
        <cfvo type="num" val="1"/>
        <cfvo type="num" val="2"/>
        <cfvo type="num" val="3"/>
        <color rgb="FFF8696B"/>
        <color rgb="FFFFEB84"/>
        <color rgb="FF63BE7B"/>
      </colorScale>
    </cfRule>
  </conditionalFormatting>
  <conditionalFormatting sqref="I4">
    <cfRule type="colorScale" priority="978">
      <colorScale>
        <cfvo type="num" val="1"/>
        <cfvo type="num" val="2"/>
        <cfvo type="num" val="3"/>
        <color rgb="FFF8696B"/>
        <color rgb="FFFFEB84"/>
        <color rgb="FF63BE7B"/>
      </colorScale>
    </cfRule>
  </conditionalFormatting>
  <conditionalFormatting sqref="H4">
    <cfRule type="colorScale" priority="977">
      <colorScale>
        <cfvo type="num" val="1"/>
        <cfvo type="num" val="2"/>
        <cfvo type="num" val="3"/>
        <color rgb="FFF8696B"/>
        <color rgb="FFFFEB84"/>
        <color rgb="FF63BE7B"/>
      </colorScale>
    </cfRule>
  </conditionalFormatting>
  <conditionalFormatting sqref="G6">
    <cfRule type="colorScale" priority="976">
      <colorScale>
        <cfvo type="num" val="1"/>
        <cfvo type="num" val="2"/>
        <cfvo type="num" val="3"/>
        <color rgb="FFF8696B"/>
        <color rgb="FFFFEB84"/>
        <color rgb="FF63BE7B"/>
      </colorScale>
    </cfRule>
  </conditionalFormatting>
  <conditionalFormatting sqref="M4">
    <cfRule type="colorScale" priority="975">
      <colorScale>
        <cfvo type="num" val="1"/>
        <cfvo type="num" val="2"/>
        <cfvo type="num" val="3"/>
        <color rgb="FFF8696B"/>
        <color rgb="FFFFEB84"/>
        <color rgb="FF63BE7B"/>
      </colorScale>
    </cfRule>
  </conditionalFormatting>
  <conditionalFormatting sqref="L4:P4">
    <cfRule type="colorScale" priority="974">
      <colorScale>
        <cfvo type="num" val="1"/>
        <cfvo type="num" val="2"/>
        <cfvo type="num" val="3"/>
        <color rgb="FFF8696B"/>
        <color rgb="FFFFEB84"/>
        <color rgb="FF63BE7B"/>
      </colorScale>
    </cfRule>
  </conditionalFormatting>
  <conditionalFormatting sqref="Q6">
    <cfRule type="colorScale" priority="973">
      <colorScale>
        <cfvo type="num" val="1"/>
        <cfvo type="num" val="2"/>
        <cfvo type="num" val="3"/>
        <color rgb="FFF8696B"/>
        <color rgb="FFFFEB84"/>
        <color rgb="FF63BE7B"/>
      </colorScale>
    </cfRule>
  </conditionalFormatting>
  <conditionalFormatting sqref="Q4">
    <cfRule type="colorScale" priority="972">
      <colorScale>
        <cfvo type="num" val="1"/>
        <cfvo type="num" val="2"/>
        <cfvo type="num" val="3"/>
        <color rgb="FFF8696B"/>
        <color rgb="FFFFEB84"/>
        <color rgb="FF63BE7B"/>
      </colorScale>
    </cfRule>
  </conditionalFormatting>
  <conditionalFormatting sqref="P4:AF4">
    <cfRule type="colorScale" priority="971">
      <colorScale>
        <cfvo type="num" val="1"/>
        <cfvo type="num" val="2"/>
        <cfvo type="num" val="3"/>
        <color rgb="FFF8696B"/>
        <color rgb="FFFFEB84"/>
        <color rgb="FF63BE7B"/>
      </colorScale>
    </cfRule>
  </conditionalFormatting>
  <conditionalFormatting sqref="O6:P6">
    <cfRule type="colorScale" priority="970">
      <colorScale>
        <cfvo type="num" val="1"/>
        <cfvo type="num" val="2"/>
        <cfvo type="num" val="3"/>
        <color rgb="FFF8696B"/>
        <color rgb="FFFFEB84"/>
        <color rgb="FF63BE7B"/>
      </colorScale>
    </cfRule>
  </conditionalFormatting>
  <conditionalFormatting sqref="Q6">
    <cfRule type="colorScale" priority="969">
      <colorScale>
        <cfvo type="num" val="1"/>
        <cfvo type="num" val="2"/>
        <cfvo type="num" val="3"/>
        <color rgb="FFF8696B"/>
        <color rgb="FFFFEB84"/>
        <color rgb="FF63BE7B"/>
      </colorScale>
    </cfRule>
  </conditionalFormatting>
  <conditionalFormatting sqref="Q6">
    <cfRule type="colorScale" priority="968">
      <colorScale>
        <cfvo type="num" val="1"/>
        <cfvo type="num" val="2"/>
        <cfvo type="num" val="3"/>
        <color rgb="FFF8696B"/>
        <color rgb="FFFFEB84"/>
        <color rgb="FF63BE7B"/>
      </colorScale>
    </cfRule>
  </conditionalFormatting>
  <conditionalFormatting sqref="U4">
    <cfRule type="colorScale" priority="967">
      <colorScale>
        <cfvo type="num" val="1"/>
        <cfvo type="num" val="2"/>
        <cfvo type="num" val="3"/>
        <color rgb="FFF8696B"/>
        <color rgb="FFFFEB84"/>
        <color rgb="FF63BE7B"/>
      </colorScale>
    </cfRule>
  </conditionalFormatting>
  <conditionalFormatting sqref="T4">
    <cfRule type="colorScale" priority="966">
      <colorScale>
        <cfvo type="num" val="1"/>
        <cfvo type="num" val="2"/>
        <cfvo type="num" val="3"/>
        <color rgb="FFF8696B"/>
        <color rgb="FFFFEB84"/>
        <color rgb="FF63BE7B"/>
      </colorScale>
    </cfRule>
  </conditionalFormatting>
  <conditionalFormatting sqref="Y6">
    <cfRule type="colorScale" priority="965">
      <colorScale>
        <cfvo type="num" val="1"/>
        <cfvo type="num" val="2"/>
        <cfvo type="num" val="3"/>
        <color rgb="FFF8696B"/>
        <color rgb="FFFFEB84"/>
        <color rgb="FF63BE7B"/>
      </colorScale>
    </cfRule>
  </conditionalFormatting>
  <conditionalFormatting sqref="Y4">
    <cfRule type="colorScale" priority="964">
      <colorScale>
        <cfvo type="num" val="1"/>
        <cfvo type="num" val="2"/>
        <cfvo type="num" val="3"/>
        <color rgb="FFF8696B"/>
        <color rgb="FFFFEB84"/>
        <color rgb="FF63BE7B"/>
      </colorScale>
    </cfRule>
  </conditionalFormatting>
  <conditionalFormatting sqref="X4">
    <cfRule type="colorScale" priority="963">
      <colorScale>
        <cfvo type="num" val="1"/>
        <cfvo type="num" val="2"/>
        <cfvo type="num" val="3"/>
        <color rgb="FFF8696B"/>
        <color rgb="FFFFEB84"/>
        <color rgb="FF63BE7B"/>
      </colorScale>
    </cfRule>
  </conditionalFormatting>
  <conditionalFormatting sqref="Y6">
    <cfRule type="colorScale" priority="962">
      <colorScale>
        <cfvo type="num" val="1"/>
        <cfvo type="num" val="2"/>
        <cfvo type="num" val="3"/>
        <color rgb="FFF8696B"/>
        <color rgb="FFFFEB84"/>
        <color rgb="FF63BE7B"/>
      </colorScale>
    </cfRule>
  </conditionalFormatting>
  <conditionalFormatting sqref="Y6">
    <cfRule type="colorScale" priority="961">
      <colorScale>
        <cfvo type="num" val="1"/>
        <cfvo type="num" val="2"/>
        <cfvo type="num" val="3"/>
        <color rgb="FFF8696B"/>
        <color rgb="FFFFEB84"/>
        <color rgb="FF63BE7B"/>
      </colorScale>
    </cfRule>
  </conditionalFormatting>
  <conditionalFormatting sqref="AC6">
    <cfRule type="colorScale" priority="960">
      <colorScale>
        <cfvo type="num" val="1"/>
        <cfvo type="num" val="2"/>
        <cfvo type="num" val="3"/>
        <color rgb="FFF8696B"/>
        <color rgb="FFFFEB84"/>
        <color rgb="FF63BE7B"/>
      </colorScale>
    </cfRule>
  </conditionalFormatting>
  <conditionalFormatting sqref="AC4">
    <cfRule type="colorScale" priority="959">
      <colorScale>
        <cfvo type="num" val="1"/>
        <cfvo type="num" val="2"/>
        <cfvo type="num" val="3"/>
        <color rgb="FFF8696B"/>
        <color rgb="FFFFEB84"/>
        <color rgb="FF63BE7B"/>
      </colorScale>
    </cfRule>
  </conditionalFormatting>
  <conditionalFormatting sqref="AB4">
    <cfRule type="colorScale" priority="958">
      <colorScale>
        <cfvo type="num" val="1"/>
        <cfvo type="num" val="2"/>
        <cfvo type="num" val="3"/>
        <color rgb="FFF8696B"/>
        <color rgb="FFFFEB84"/>
        <color rgb="FF63BE7B"/>
      </colorScale>
    </cfRule>
  </conditionalFormatting>
  <conditionalFormatting sqref="AA6:AB6">
    <cfRule type="colorScale" priority="957">
      <colorScale>
        <cfvo type="num" val="1"/>
        <cfvo type="num" val="2"/>
        <cfvo type="num" val="3"/>
        <color rgb="FFF8696B"/>
        <color rgb="FFFFEB84"/>
        <color rgb="FF63BE7B"/>
      </colorScale>
    </cfRule>
  </conditionalFormatting>
  <conditionalFormatting sqref="AC6">
    <cfRule type="colorScale" priority="956">
      <colorScale>
        <cfvo type="num" val="1"/>
        <cfvo type="num" val="2"/>
        <cfvo type="num" val="3"/>
        <color rgb="FFF8696B"/>
        <color rgb="FFFFEB84"/>
        <color rgb="FF63BE7B"/>
      </colorScale>
    </cfRule>
  </conditionalFormatting>
  <conditionalFormatting sqref="AC6">
    <cfRule type="colorScale" priority="955">
      <colorScale>
        <cfvo type="num" val="1"/>
        <cfvo type="num" val="2"/>
        <cfvo type="num" val="3"/>
        <color rgb="FFF8696B"/>
        <color rgb="FFFFEB84"/>
        <color rgb="FF63BE7B"/>
      </colorScale>
    </cfRule>
  </conditionalFormatting>
  <conditionalFormatting sqref="S8 H9 Y8 M10 S10 Y10 J9 L9 N9 P9 R9 T9 V9 X9 Z9 AB9:AC9 AE8">
    <cfRule type="colorScale" priority="954">
      <colorScale>
        <cfvo type="num" val="1"/>
        <cfvo type="num" val="2"/>
        <cfvo type="num" val="3"/>
        <color rgb="FFF8696B"/>
        <color rgb="FFFFEB84"/>
        <color rgb="FF63BE7B"/>
      </colorScale>
    </cfRule>
  </conditionalFormatting>
  <conditionalFormatting sqref="S8 Y8 AE8">
    <cfRule type="colorScale" priority="953">
      <colorScale>
        <cfvo type="num" val="1"/>
        <cfvo type="num" val="2"/>
        <cfvo type="num" val="3"/>
        <color rgb="FFF8696B"/>
        <color rgb="FFFFEB84"/>
        <color rgb="FF63BE7B"/>
      </colorScale>
    </cfRule>
  </conditionalFormatting>
  <conditionalFormatting sqref="AE4">
    <cfRule type="colorScale" priority="952">
      <colorScale>
        <cfvo type="num" val="1"/>
        <cfvo type="num" val="2"/>
        <cfvo type="num" val="3"/>
        <color rgb="FFF8696B"/>
        <color rgb="FFFFEB84"/>
        <color rgb="FF63BE7B"/>
      </colorScale>
    </cfRule>
  </conditionalFormatting>
  <conditionalFormatting sqref="AE4">
    <cfRule type="colorScale" priority="951">
      <colorScale>
        <cfvo type="num" val="1"/>
        <cfvo type="num" val="2"/>
        <cfvo type="num" val="3"/>
        <color rgb="FFF8696B"/>
        <color rgb="FFFFEB84"/>
        <color rgb="FF63BE7B"/>
      </colorScale>
    </cfRule>
  </conditionalFormatting>
  <conditionalFormatting sqref="AE4">
    <cfRule type="colorScale" priority="950">
      <colorScale>
        <cfvo type="num" val="1"/>
        <cfvo type="num" val="2"/>
        <cfvo type="num" val="3"/>
        <color rgb="FFF8696B"/>
        <color rgb="FFFFEB84"/>
        <color rgb="FF63BE7B"/>
      </colorScale>
    </cfRule>
  </conditionalFormatting>
  <conditionalFormatting sqref="AE4">
    <cfRule type="colorScale" priority="949">
      <colorScale>
        <cfvo type="num" val="1"/>
        <cfvo type="num" val="2"/>
        <cfvo type="num" val="3"/>
        <color rgb="FFF8696B"/>
        <color rgb="FFFFEB84"/>
        <color rgb="FF63BE7B"/>
      </colorScale>
    </cfRule>
  </conditionalFormatting>
  <conditionalFormatting sqref="AE4">
    <cfRule type="colorScale" priority="948">
      <colorScale>
        <cfvo type="num" val="1"/>
        <cfvo type="num" val="2"/>
        <cfvo type="num" val="3"/>
        <color rgb="FFF8696B"/>
        <color rgb="FFFFEB84"/>
        <color rgb="FF63BE7B"/>
      </colorScale>
    </cfRule>
  </conditionalFormatting>
  <conditionalFormatting sqref="AE4">
    <cfRule type="colorScale" priority="947">
      <colorScale>
        <cfvo type="num" val="1"/>
        <cfvo type="num" val="2"/>
        <cfvo type="num" val="3"/>
        <color rgb="FFF8696B"/>
        <color rgb="FFFFEB84"/>
        <color rgb="FF63BE7B"/>
      </colorScale>
    </cfRule>
  </conditionalFormatting>
  <conditionalFormatting sqref="Y6:Z6">
    <cfRule type="colorScale" priority="946">
      <colorScale>
        <cfvo type="num" val="1"/>
        <cfvo type="num" val="2"/>
        <cfvo type="num" val="3"/>
        <color rgb="FFF8696B"/>
        <color rgb="FFFFEB84"/>
        <color rgb="FF63BE7B"/>
      </colorScale>
    </cfRule>
  </conditionalFormatting>
  <conditionalFormatting sqref="Y6">
    <cfRule type="colorScale" priority="945">
      <colorScale>
        <cfvo type="num" val="1"/>
        <cfvo type="num" val="2"/>
        <cfvo type="num" val="3"/>
        <color rgb="FFF8696B"/>
        <color rgb="FFFFEB84"/>
        <color rgb="FF63BE7B"/>
      </colorScale>
    </cfRule>
  </conditionalFormatting>
  <conditionalFormatting sqref="Y6">
    <cfRule type="colorScale" priority="944">
      <colorScale>
        <cfvo type="num" val="1"/>
        <cfvo type="num" val="2"/>
        <cfvo type="num" val="3"/>
        <color rgb="FFF8696B"/>
        <color rgb="FFFFEB84"/>
        <color rgb="FF63BE7B"/>
      </colorScale>
    </cfRule>
  </conditionalFormatting>
  <conditionalFormatting sqref="G6">
    <cfRule type="colorScale" priority="943">
      <colorScale>
        <cfvo type="num" val="1"/>
        <cfvo type="num" val="2"/>
        <cfvo type="num" val="3"/>
        <color rgb="FFF8696B"/>
        <color rgb="FFFFEB84"/>
        <color rgb="FF63BE7B"/>
      </colorScale>
    </cfRule>
  </conditionalFormatting>
  <conditionalFormatting sqref="G6">
    <cfRule type="colorScale" priority="942">
      <colorScale>
        <cfvo type="num" val="1"/>
        <cfvo type="num" val="2"/>
        <cfvo type="num" val="3"/>
        <color rgb="FFF8696B"/>
        <color rgb="FFFFEB84"/>
        <color rgb="FF63BE7B"/>
      </colorScale>
    </cfRule>
  </conditionalFormatting>
  <conditionalFormatting sqref="J6">
    <cfRule type="colorScale" priority="941">
      <colorScale>
        <cfvo type="num" val="1"/>
        <cfvo type="num" val="2"/>
        <cfvo type="num" val="3"/>
        <color rgb="FFF8696B"/>
        <color rgb="FFFFEB84"/>
        <color rgb="FF63BE7B"/>
      </colorScale>
    </cfRule>
  </conditionalFormatting>
  <conditionalFormatting sqref="J6">
    <cfRule type="colorScale" priority="940">
      <colorScale>
        <cfvo type="num" val="1"/>
        <cfvo type="num" val="2"/>
        <cfvo type="num" val="3"/>
        <color rgb="FFF8696B"/>
        <color rgb="FFFFEB84"/>
        <color rgb="FF63BE7B"/>
      </colorScale>
    </cfRule>
  </conditionalFormatting>
  <conditionalFormatting sqref="J6">
    <cfRule type="colorScale" priority="939">
      <colorScale>
        <cfvo type="num" val="1"/>
        <cfvo type="num" val="2"/>
        <cfvo type="num" val="3"/>
        <color rgb="FFF8696B"/>
        <color rgb="FFFFEB84"/>
        <color rgb="FF63BE7B"/>
      </colorScale>
    </cfRule>
  </conditionalFormatting>
  <conditionalFormatting sqref="L6">
    <cfRule type="colorScale" priority="938">
      <colorScale>
        <cfvo type="num" val="1"/>
        <cfvo type="num" val="2"/>
        <cfvo type="num" val="3"/>
        <color rgb="FFF8696B"/>
        <color rgb="FFFFEB84"/>
        <color rgb="FF63BE7B"/>
      </colorScale>
    </cfRule>
  </conditionalFormatting>
  <conditionalFormatting sqref="K6">
    <cfRule type="colorScale" priority="937">
      <colorScale>
        <cfvo type="num" val="1"/>
        <cfvo type="num" val="2"/>
        <cfvo type="num" val="3"/>
        <color rgb="FFF8696B"/>
        <color rgb="FFFFEB84"/>
        <color rgb="FF63BE7B"/>
      </colorScale>
    </cfRule>
  </conditionalFormatting>
  <conditionalFormatting sqref="L6">
    <cfRule type="colorScale" priority="936">
      <colorScale>
        <cfvo type="num" val="1"/>
        <cfvo type="num" val="2"/>
        <cfvo type="num" val="3"/>
        <color rgb="FFF8696B"/>
        <color rgb="FFFFEB84"/>
        <color rgb="FF63BE7B"/>
      </colorScale>
    </cfRule>
  </conditionalFormatting>
  <conditionalFormatting sqref="L6">
    <cfRule type="colorScale" priority="935">
      <colorScale>
        <cfvo type="num" val="1"/>
        <cfvo type="num" val="2"/>
        <cfvo type="num" val="3"/>
        <color rgb="FFF8696B"/>
        <color rgb="FFFFEB84"/>
        <color rgb="FF63BE7B"/>
      </colorScale>
    </cfRule>
  </conditionalFormatting>
  <conditionalFormatting sqref="K6">
    <cfRule type="colorScale" priority="934">
      <colorScale>
        <cfvo type="num" val="1"/>
        <cfvo type="num" val="2"/>
        <cfvo type="num" val="3"/>
        <color rgb="FFF8696B"/>
        <color rgb="FFFFEB84"/>
        <color rgb="FF63BE7B"/>
      </colorScale>
    </cfRule>
  </conditionalFormatting>
  <conditionalFormatting sqref="N6">
    <cfRule type="colorScale" priority="933">
      <colorScale>
        <cfvo type="num" val="1"/>
        <cfvo type="num" val="2"/>
        <cfvo type="num" val="3"/>
        <color rgb="FFF8696B"/>
        <color rgb="FFFFEB84"/>
        <color rgb="FF63BE7B"/>
      </colorScale>
    </cfRule>
  </conditionalFormatting>
  <conditionalFormatting sqref="N6">
    <cfRule type="colorScale" priority="932">
      <colorScale>
        <cfvo type="num" val="1"/>
        <cfvo type="num" val="2"/>
        <cfvo type="num" val="3"/>
        <color rgb="FFF8696B"/>
        <color rgb="FFFFEB84"/>
        <color rgb="FF63BE7B"/>
      </colorScale>
    </cfRule>
  </conditionalFormatting>
  <conditionalFormatting sqref="N6">
    <cfRule type="colorScale" priority="931">
      <colorScale>
        <cfvo type="num" val="1"/>
        <cfvo type="num" val="2"/>
        <cfvo type="num" val="3"/>
        <color rgb="FFF8696B"/>
        <color rgb="FFFFEB84"/>
        <color rgb="FF63BE7B"/>
      </colorScale>
    </cfRule>
  </conditionalFormatting>
  <conditionalFormatting sqref="P6">
    <cfRule type="colorScale" priority="930">
      <colorScale>
        <cfvo type="num" val="1"/>
        <cfvo type="num" val="2"/>
        <cfvo type="num" val="3"/>
        <color rgb="FFF8696B"/>
        <color rgb="FFFFEB84"/>
        <color rgb="FF63BE7B"/>
      </colorScale>
    </cfRule>
  </conditionalFormatting>
  <conditionalFormatting sqref="O6">
    <cfRule type="colorScale" priority="929">
      <colorScale>
        <cfvo type="num" val="1"/>
        <cfvo type="num" val="2"/>
        <cfvo type="num" val="3"/>
        <color rgb="FFF8696B"/>
        <color rgb="FFFFEB84"/>
        <color rgb="FF63BE7B"/>
      </colorScale>
    </cfRule>
  </conditionalFormatting>
  <conditionalFormatting sqref="P6">
    <cfRule type="colorScale" priority="928">
      <colorScale>
        <cfvo type="num" val="1"/>
        <cfvo type="num" val="2"/>
        <cfvo type="num" val="3"/>
        <color rgb="FFF8696B"/>
        <color rgb="FFFFEB84"/>
        <color rgb="FF63BE7B"/>
      </colorScale>
    </cfRule>
  </conditionalFormatting>
  <conditionalFormatting sqref="P6">
    <cfRule type="colorScale" priority="927">
      <colorScale>
        <cfvo type="num" val="1"/>
        <cfvo type="num" val="2"/>
        <cfvo type="num" val="3"/>
        <color rgb="FFF8696B"/>
        <color rgb="FFFFEB84"/>
        <color rgb="FF63BE7B"/>
      </colorScale>
    </cfRule>
  </conditionalFormatting>
  <conditionalFormatting sqref="O6">
    <cfRule type="colorScale" priority="926">
      <colorScale>
        <cfvo type="num" val="1"/>
        <cfvo type="num" val="2"/>
        <cfvo type="num" val="3"/>
        <color rgb="FFF8696B"/>
        <color rgb="FFFFEB84"/>
        <color rgb="FF63BE7B"/>
      </colorScale>
    </cfRule>
  </conditionalFormatting>
  <conditionalFormatting sqref="R6">
    <cfRule type="colorScale" priority="925">
      <colorScale>
        <cfvo type="num" val="1"/>
        <cfvo type="num" val="2"/>
        <cfvo type="num" val="3"/>
        <color rgb="FFF8696B"/>
        <color rgb="FFFFEB84"/>
        <color rgb="FF63BE7B"/>
      </colorScale>
    </cfRule>
  </conditionalFormatting>
  <conditionalFormatting sqref="Q6">
    <cfRule type="colorScale" priority="924">
      <colorScale>
        <cfvo type="num" val="1"/>
        <cfvo type="num" val="2"/>
        <cfvo type="num" val="3"/>
        <color rgb="FFF8696B"/>
        <color rgb="FFFFEB84"/>
        <color rgb="FF63BE7B"/>
      </colorScale>
    </cfRule>
  </conditionalFormatting>
  <conditionalFormatting sqref="R6">
    <cfRule type="colorScale" priority="923">
      <colorScale>
        <cfvo type="num" val="1"/>
        <cfvo type="num" val="2"/>
        <cfvo type="num" val="3"/>
        <color rgb="FFF8696B"/>
        <color rgb="FFFFEB84"/>
        <color rgb="FF63BE7B"/>
      </colorScale>
    </cfRule>
  </conditionalFormatting>
  <conditionalFormatting sqref="R6">
    <cfRule type="colorScale" priority="922">
      <colorScale>
        <cfvo type="num" val="1"/>
        <cfvo type="num" val="2"/>
        <cfvo type="num" val="3"/>
        <color rgb="FFF8696B"/>
        <color rgb="FFFFEB84"/>
        <color rgb="FF63BE7B"/>
      </colorScale>
    </cfRule>
  </conditionalFormatting>
  <conditionalFormatting sqref="Q6">
    <cfRule type="colorScale" priority="921">
      <colorScale>
        <cfvo type="num" val="1"/>
        <cfvo type="num" val="2"/>
        <cfvo type="num" val="3"/>
        <color rgb="FFF8696B"/>
        <color rgb="FFFFEB84"/>
        <color rgb="FF63BE7B"/>
      </colorScale>
    </cfRule>
  </conditionalFormatting>
  <conditionalFormatting sqref="T6">
    <cfRule type="colorScale" priority="920">
      <colorScale>
        <cfvo type="num" val="1"/>
        <cfvo type="num" val="2"/>
        <cfvo type="num" val="3"/>
        <color rgb="FFF8696B"/>
        <color rgb="FFFFEB84"/>
        <color rgb="FF63BE7B"/>
      </colorScale>
    </cfRule>
  </conditionalFormatting>
  <conditionalFormatting sqref="S6">
    <cfRule type="colorScale" priority="919">
      <colorScale>
        <cfvo type="num" val="1"/>
        <cfvo type="num" val="2"/>
        <cfvo type="num" val="3"/>
        <color rgb="FFF8696B"/>
        <color rgb="FFFFEB84"/>
        <color rgb="FF63BE7B"/>
      </colorScale>
    </cfRule>
  </conditionalFormatting>
  <conditionalFormatting sqref="T6">
    <cfRule type="colorScale" priority="918">
      <colorScale>
        <cfvo type="num" val="1"/>
        <cfvo type="num" val="2"/>
        <cfvo type="num" val="3"/>
        <color rgb="FFF8696B"/>
        <color rgb="FFFFEB84"/>
        <color rgb="FF63BE7B"/>
      </colorScale>
    </cfRule>
  </conditionalFormatting>
  <conditionalFormatting sqref="T6">
    <cfRule type="colorScale" priority="917">
      <colorScale>
        <cfvo type="num" val="1"/>
        <cfvo type="num" val="2"/>
        <cfvo type="num" val="3"/>
        <color rgb="FFF8696B"/>
        <color rgb="FFFFEB84"/>
        <color rgb="FF63BE7B"/>
      </colorScale>
    </cfRule>
  </conditionalFormatting>
  <conditionalFormatting sqref="S6">
    <cfRule type="colorScale" priority="916">
      <colorScale>
        <cfvo type="num" val="1"/>
        <cfvo type="num" val="2"/>
        <cfvo type="num" val="3"/>
        <color rgb="FFF8696B"/>
        <color rgb="FFFFEB84"/>
        <color rgb="FF63BE7B"/>
      </colorScale>
    </cfRule>
  </conditionalFormatting>
  <conditionalFormatting sqref="V6">
    <cfRule type="colorScale" priority="915">
      <colorScale>
        <cfvo type="num" val="1"/>
        <cfvo type="num" val="2"/>
        <cfvo type="num" val="3"/>
        <color rgb="FFF8696B"/>
        <color rgb="FFFFEB84"/>
        <color rgb="FF63BE7B"/>
      </colorScale>
    </cfRule>
  </conditionalFormatting>
  <conditionalFormatting sqref="U6">
    <cfRule type="colorScale" priority="914">
      <colorScale>
        <cfvo type="num" val="1"/>
        <cfvo type="num" val="2"/>
        <cfvo type="num" val="3"/>
        <color rgb="FFF8696B"/>
        <color rgb="FFFFEB84"/>
        <color rgb="FF63BE7B"/>
      </colorScale>
    </cfRule>
  </conditionalFormatting>
  <conditionalFormatting sqref="V6">
    <cfRule type="colorScale" priority="913">
      <colorScale>
        <cfvo type="num" val="1"/>
        <cfvo type="num" val="2"/>
        <cfvo type="num" val="3"/>
        <color rgb="FFF8696B"/>
        <color rgb="FFFFEB84"/>
        <color rgb="FF63BE7B"/>
      </colorScale>
    </cfRule>
  </conditionalFormatting>
  <conditionalFormatting sqref="V6">
    <cfRule type="colorScale" priority="912">
      <colorScale>
        <cfvo type="num" val="1"/>
        <cfvo type="num" val="2"/>
        <cfvo type="num" val="3"/>
        <color rgb="FFF8696B"/>
        <color rgb="FFFFEB84"/>
        <color rgb="FF63BE7B"/>
      </colorScale>
    </cfRule>
  </conditionalFormatting>
  <conditionalFormatting sqref="U6">
    <cfRule type="colorScale" priority="911">
      <colorScale>
        <cfvo type="num" val="1"/>
        <cfvo type="num" val="2"/>
        <cfvo type="num" val="3"/>
        <color rgb="FFF8696B"/>
        <color rgb="FFFFEB84"/>
        <color rgb="FF63BE7B"/>
      </colorScale>
    </cfRule>
  </conditionalFormatting>
  <conditionalFormatting sqref="X6">
    <cfRule type="colorScale" priority="910">
      <colorScale>
        <cfvo type="num" val="1"/>
        <cfvo type="num" val="2"/>
        <cfvo type="num" val="3"/>
        <color rgb="FFF8696B"/>
        <color rgb="FFFFEB84"/>
        <color rgb="FF63BE7B"/>
      </colorScale>
    </cfRule>
  </conditionalFormatting>
  <conditionalFormatting sqref="W6">
    <cfRule type="colorScale" priority="909">
      <colorScale>
        <cfvo type="num" val="1"/>
        <cfvo type="num" val="2"/>
        <cfvo type="num" val="3"/>
        <color rgb="FFF8696B"/>
        <color rgb="FFFFEB84"/>
        <color rgb="FF63BE7B"/>
      </colorScale>
    </cfRule>
  </conditionalFormatting>
  <conditionalFormatting sqref="X6">
    <cfRule type="colorScale" priority="908">
      <colorScale>
        <cfvo type="num" val="1"/>
        <cfvo type="num" val="2"/>
        <cfvo type="num" val="3"/>
        <color rgb="FFF8696B"/>
        <color rgb="FFFFEB84"/>
        <color rgb="FF63BE7B"/>
      </colorScale>
    </cfRule>
  </conditionalFormatting>
  <conditionalFormatting sqref="X6">
    <cfRule type="colorScale" priority="907">
      <colorScale>
        <cfvo type="num" val="1"/>
        <cfvo type="num" val="2"/>
        <cfvo type="num" val="3"/>
        <color rgb="FFF8696B"/>
        <color rgb="FFFFEB84"/>
        <color rgb="FF63BE7B"/>
      </colorScale>
    </cfRule>
  </conditionalFormatting>
  <conditionalFormatting sqref="W6">
    <cfRule type="colorScale" priority="906">
      <colorScale>
        <cfvo type="num" val="1"/>
        <cfvo type="num" val="2"/>
        <cfvo type="num" val="3"/>
        <color rgb="FFF8696B"/>
        <color rgb="FFFFEB84"/>
        <color rgb="FF63BE7B"/>
      </colorScale>
    </cfRule>
  </conditionalFormatting>
  <conditionalFormatting sqref="Z6">
    <cfRule type="colorScale" priority="905">
      <colorScale>
        <cfvo type="num" val="1"/>
        <cfvo type="num" val="2"/>
        <cfvo type="num" val="3"/>
        <color rgb="FFF8696B"/>
        <color rgb="FFFFEB84"/>
        <color rgb="FF63BE7B"/>
      </colorScale>
    </cfRule>
  </conditionalFormatting>
  <conditionalFormatting sqref="Y6">
    <cfRule type="colorScale" priority="904">
      <colorScale>
        <cfvo type="num" val="1"/>
        <cfvo type="num" val="2"/>
        <cfvo type="num" val="3"/>
        <color rgb="FFF8696B"/>
        <color rgb="FFFFEB84"/>
        <color rgb="FF63BE7B"/>
      </colorScale>
    </cfRule>
  </conditionalFormatting>
  <conditionalFormatting sqref="Z6">
    <cfRule type="colorScale" priority="903">
      <colorScale>
        <cfvo type="num" val="1"/>
        <cfvo type="num" val="2"/>
        <cfvo type="num" val="3"/>
        <color rgb="FFF8696B"/>
        <color rgb="FFFFEB84"/>
        <color rgb="FF63BE7B"/>
      </colorScale>
    </cfRule>
  </conditionalFormatting>
  <conditionalFormatting sqref="Z6">
    <cfRule type="colorScale" priority="902">
      <colorScale>
        <cfvo type="num" val="1"/>
        <cfvo type="num" val="2"/>
        <cfvo type="num" val="3"/>
        <color rgb="FFF8696B"/>
        <color rgb="FFFFEB84"/>
        <color rgb="FF63BE7B"/>
      </colorScale>
    </cfRule>
  </conditionalFormatting>
  <conditionalFormatting sqref="Y6">
    <cfRule type="colorScale" priority="901">
      <colorScale>
        <cfvo type="num" val="1"/>
        <cfvo type="num" val="2"/>
        <cfvo type="num" val="3"/>
        <color rgb="FFF8696B"/>
        <color rgb="FFFFEB84"/>
        <color rgb="FF63BE7B"/>
      </colorScale>
    </cfRule>
  </conditionalFormatting>
  <conditionalFormatting sqref="AB6">
    <cfRule type="colorScale" priority="900">
      <colorScale>
        <cfvo type="num" val="1"/>
        <cfvo type="num" val="2"/>
        <cfvo type="num" val="3"/>
        <color rgb="FFF8696B"/>
        <color rgb="FFFFEB84"/>
        <color rgb="FF63BE7B"/>
      </colorScale>
    </cfRule>
  </conditionalFormatting>
  <conditionalFormatting sqref="AA6">
    <cfRule type="colorScale" priority="899">
      <colorScale>
        <cfvo type="num" val="1"/>
        <cfvo type="num" val="2"/>
        <cfvo type="num" val="3"/>
        <color rgb="FFF8696B"/>
        <color rgb="FFFFEB84"/>
        <color rgb="FF63BE7B"/>
      </colorScale>
    </cfRule>
  </conditionalFormatting>
  <conditionalFormatting sqref="AB6">
    <cfRule type="colorScale" priority="898">
      <colorScale>
        <cfvo type="num" val="1"/>
        <cfvo type="num" val="2"/>
        <cfvo type="num" val="3"/>
        <color rgb="FFF8696B"/>
        <color rgb="FFFFEB84"/>
        <color rgb="FF63BE7B"/>
      </colorScale>
    </cfRule>
  </conditionalFormatting>
  <conditionalFormatting sqref="AB6">
    <cfRule type="colorScale" priority="897">
      <colorScale>
        <cfvo type="num" val="1"/>
        <cfvo type="num" val="2"/>
        <cfvo type="num" val="3"/>
        <color rgb="FFF8696B"/>
        <color rgb="FFFFEB84"/>
        <color rgb="FF63BE7B"/>
      </colorScale>
    </cfRule>
  </conditionalFormatting>
  <conditionalFormatting sqref="AA6">
    <cfRule type="colorScale" priority="896">
      <colorScale>
        <cfvo type="num" val="1"/>
        <cfvo type="num" val="2"/>
        <cfvo type="num" val="3"/>
        <color rgb="FFF8696B"/>
        <color rgb="FFFFEB84"/>
        <color rgb="FF63BE7B"/>
      </colorScale>
    </cfRule>
  </conditionalFormatting>
  <conditionalFormatting sqref="AD6">
    <cfRule type="colorScale" priority="895">
      <colorScale>
        <cfvo type="num" val="1"/>
        <cfvo type="num" val="2"/>
        <cfvo type="num" val="3"/>
        <color rgb="FFF8696B"/>
        <color rgb="FFFFEB84"/>
        <color rgb="FF63BE7B"/>
      </colorScale>
    </cfRule>
  </conditionalFormatting>
  <conditionalFormatting sqref="AC6">
    <cfRule type="colorScale" priority="894">
      <colorScale>
        <cfvo type="num" val="1"/>
        <cfvo type="num" val="2"/>
        <cfvo type="num" val="3"/>
        <color rgb="FFF8696B"/>
        <color rgb="FFFFEB84"/>
        <color rgb="FF63BE7B"/>
      </colorScale>
    </cfRule>
  </conditionalFormatting>
  <conditionalFormatting sqref="AD6">
    <cfRule type="colorScale" priority="893">
      <colorScale>
        <cfvo type="num" val="1"/>
        <cfvo type="num" val="2"/>
        <cfvo type="num" val="3"/>
        <color rgb="FFF8696B"/>
        <color rgb="FFFFEB84"/>
        <color rgb="FF63BE7B"/>
      </colorScale>
    </cfRule>
  </conditionalFormatting>
  <conditionalFormatting sqref="AD6">
    <cfRule type="colorScale" priority="892">
      <colorScale>
        <cfvo type="num" val="1"/>
        <cfvo type="num" val="2"/>
        <cfvo type="num" val="3"/>
        <color rgb="FFF8696B"/>
        <color rgb="FFFFEB84"/>
        <color rgb="FF63BE7B"/>
      </colorScale>
    </cfRule>
  </conditionalFormatting>
  <conditionalFormatting sqref="AC6">
    <cfRule type="colorScale" priority="891">
      <colorScale>
        <cfvo type="num" val="1"/>
        <cfvo type="num" val="2"/>
        <cfvo type="num" val="3"/>
        <color rgb="FFF8696B"/>
        <color rgb="FFFFEB84"/>
        <color rgb="FF63BE7B"/>
      </colorScale>
    </cfRule>
  </conditionalFormatting>
  <conditionalFormatting sqref="AE6">
    <cfRule type="colorScale" priority="890">
      <colorScale>
        <cfvo type="num" val="1"/>
        <cfvo type="num" val="2"/>
        <cfvo type="num" val="3"/>
        <color rgb="FFF8696B"/>
        <color rgb="FFFFEB84"/>
        <color rgb="FF63BE7B"/>
      </colorScale>
    </cfRule>
  </conditionalFormatting>
  <conditionalFormatting sqref="AE6">
    <cfRule type="colorScale" priority="889">
      <colorScale>
        <cfvo type="num" val="1"/>
        <cfvo type="num" val="2"/>
        <cfvo type="num" val="3"/>
        <color rgb="FFF8696B"/>
        <color rgb="FFFFEB84"/>
        <color rgb="FF63BE7B"/>
      </colorScale>
    </cfRule>
  </conditionalFormatting>
  <conditionalFormatting sqref="L8 H8">
    <cfRule type="colorScale" priority="888">
      <colorScale>
        <cfvo type="num" val="1"/>
        <cfvo type="num" val="2"/>
        <cfvo type="num" val="3"/>
        <color rgb="FFF8696B"/>
        <color rgb="FFFFEB84"/>
        <color rgb="FF63BE7B"/>
      </colorScale>
    </cfRule>
  </conditionalFormatting>
  <conditionalFormatting sqref="H8">
    <cfRule type="colorScale" priority="887">
      <colorScale>
        <cfvo type="num" val="1"/>
        <cfvo type="num" val="2"/>
        <cfvo type="num" val="3"/>
        <color rgb="FFF8696B"/>
        <color rgb="FFFFEB84"/>
        <color rgb="FF63BE7B"/>
      </colorScale>
    </cfRule>
  </conditionalFormatting>
  <conditionalFormatting sqref="L8">
    <cfRule type="colorScale" priority="886">
      <colorScale>
        <cfvo type="num" val="1"/>
        <cfvo type="num" val="2"/>
        <cfvo type="num" val="3"/>
        <color rgb="FFF8696B"/>
        <color rgb="FFFFEB84"/>
        <color rgb="FF63BE7B"/>
      </colorScale>
    </cfRule>
  </conditionalFormatting>
  <conditionalFormatting sqref="H8">
    <cfRule type="colorScale" priority="885">
      <colorScale>
        <cfvo type="num" val="1"/>
        <cfvo type="num" val="2"/>
        <cfvo type="num" val="3"/>
        <color rgb="FFF8696B"/>
        <color rgb="FFFFEB84"/>
        <color rgb="FF63BE7B"/>
      </colorScale>
    </cfRule>
  </conditionalFormatting>
  <conditionalFormatting sqref="H8">
    <cfRule type="colorScale" priority="884">
      <colorScale>
        <cfvo type="num" val="1"/>
        <cfvo type="num" val="2"/>
        <cfvo type="num" val="3"/>
        <color rgb="FFF8696B"/>
        <color rgb="FFFFEB84"/>
        <color rgb="FF63BE7B"/>
      </colorScale>
    </cfRule>
  </conditionalFormatting>
  <conditionalFormatting sqref="K8">
    <cfRule type="colorScale" priority="883">
      <colorScale>
        <cfvo type="num" val="1"/>
        <cfvo type="num" val="2"/>
        <cfvo type="num" val="3"/>
        <color rgb="FFF8696B"/>
        <color rgb="FFFFEB84"/>
        <color rgb="FF63BE7B"/>
      </colorScale>
    </cfRule>
  </conditionalFormatting>
  <conditionalFormatting sqref="K8">
    <cfRule type="colorScale" priority="882">
      <colorScale>
        <cfvo type="num" val="1"/>
        <cfvo type="num" val="2"/>
        <cfvo type="num" val="3"/>
        <color rgb="FFF8696B"/>
        <color rgb="FFFFEB84"/>
        <color rgb="FF63BE7B"/>
      </colorScale>
    </cfRule>
  </conditionalFormatting>
  <conditionalFormatting sqref="K8">
    <cfRule type="colorScale" priority="881">
      <colorScale>
        <cfvo type="num" val="1"/>
        <cfvo type="num" val="2"/>
        <cfvo type="num" val="3"/>
        <color rgb="FFF8696B"/>
        <color rgb="FFFFEB84"/>
        <color rgb="FF63BE7B"/>
      </colorScale>
    </cfRule>
  </conditionalFormatting>
  <conditionalFormatting sqref="K8">
    <cfRule type="colorScale" priority="880">
      <colorScale>
        <cfvo type="num" val="1"/>
        <cfvo type="num" val="2"/>
        <cfvo type="num" val="3"/>
        <color rgb="FFF8696B"/>
        <color rgb="FFFFEB84"/>
        <color rgb="FF63BE7B"/>
      </colorScale>
    </cfRule>
  </conditionalFormatting>
  <conditionalFormatting sqref="K8">
    <cfRule type="colorScale" priority="879">
      <colorScale>
        <cfvo type="num" val="1"/>
        <cfvo type="num" val="2"/>
        <cfvo type="num" val="3"/>
        <color rgb="FFF8696B"/>
        <color rgb="FFFFEB84"/>
        <color rgb="FF63BE7B"/>
      </colorScale>
    </cfRule>
  </conditionalFormatting>
  <conditionalFormatting sqref="N8:O8 R8">
    <cfRule type="colorScale" priority="878">
      <colorScale>
        <cfvo type="num" val="1"/>
        <cfvo type="num" val="2"/>
        <cfvo type="num" val="3"/>
        <color rgb="FFF8696B"/>
        <color rgb="FFFFEB84"/>
        <color rgb="FF63BE7B"/>
      </colorScale>
    </cfRule>
  </conditionalFormatting>
  <conditionalFormatting sqref="N8:O8">
    <cfRule type="colorScale" priority="877">
      <colorScale>
        <cfvo type="num" val="1"/>
        <cfvo type="num" val="2"/>
        <cfvo type="num" val="3"/>
        <color rgb="FFF8696B"/>
        <color rgb="FFFFEB84"/>
        <color rgb="FF63BE7B"/>
      </colorScale>
    </cfRule>
  </conditionalFormatting>
  <conditionalFormatting sqref="R8">
    <cfRule type="colorScale" priority="876">
      <colorScale>
        <cfvo type="num" val="1"/>
        <cfvo type="num" val="2"/>
        <cfvo type="num" val="3"/>
        <color rgb="FFF8696B"/>
        <color rgb="FFFFEB84"/>
        <color rgb="FF63BE7B"/>
      </colorScale>
    </cfRule>
  </conditionalFormatting>
  <conditionalFormatting sqref="N8">
    <cfRule type="colorScale" priority="875">
      <colorScale>
        <cfvo type="num" val="1"/>
        <cfvo type="num" val="2"/>
        <cfvo type="num" val="3"/>
        <color rgb="FFF8696B"/>
        <color rgb="FFFFEB84"/>
        <color rgb="FF63BE7B"/>
      </colorScale>
    </cfRule>
  </conditionalFormatting>
  <conditionalFormatting sqref="N8">
    <cfRule type="colorScale" priority="874">
      <colorScale>
        <cfvo type="num" val="1"/>
        <cfvo type="num" val="2"/>
        <cfvo type="num" val="3"/>
        <color rgb="FFF8696B"/>
        <color rgb="FFFFEB84"/>
        <color rgb="FF63BE7B"/>
      </colorScale>
    </cfRule>
  </conditionalFormatting>
  <conditionalFormatting sqref="S8">
    <cfRule type="colorScale" priority="873">
      <colorScale>
        <cfvo type="num" val="1"/>
        <cfvo type="num" val="2"/>
        <cfvo type="num" val="3"/>
        <color rgb="FFF8696B"/>
        <color rgb="FFFFEB84"/>
        <color rgb="FF63BE7B"/>
      </colorScale>
    </cfRule>
  </conditionalFormatting>
  <conditionalFormatting sqref="S8">
    <cfRule type="colorScale" priority="872">
      <colorScale>
        <cfvo type="num" val="1"/>
        <cfvo type="num" val="2"/>
        <cfvo type="num" val="3"/>
        <color rgb="FFF8696B"/>
        <color rgb="FFFFEB84"/>
        <color rgb="FF63BE7B"/>
      </colorScale>
    </cfRule>
  </conditionalFormatting>
  <conditionalFormatting sqref="S8">
    <cfRule type="colorScale" priority="871">
      <colorScale>
        <cfvo type="num" val="1"/>
        <cfvo type="num" val="2"/>
        <cfvo type="num" val="3"/>
        <color rgb="FFF8696B"/>
        <color rgb="FFFFEB84"/>
        <color rgb="FF63BE7B"/>
      </colorScale>
    </cfRule>
  </conditionalFormatting>
  <conditionalFormatting sqref="S8">
    <cfRule type="colorScale" priority="870">
      <colorScale>
        <cfvo type="num" val="1"/>
        <cfvo type="num" val="2"/>
        <cfvo type="num" val="3"/>
        <color rgb="FFF8696B"/>
        <color rgb="FFFFEB84"/>
        <color rgb="FF63BE7B"/>
      </colorScale>
    </cfRule>
  </conditionalFormatting>
  <conditionalFormatting sqref="S8">
    <cfRule type="colorScale" priority="869">
      <colorScale>
        <cfvo type="num" val="1"/>
        <cfvo type="num" val="2"/>
        <cfvo type="num" val="3"/>
        <color rgb="FFF8696B"/>
        <color rgb="FFFFEB84"/>
        <color rgb="FF63BE7B"/>
      </colorScale>
    </cfRule>
  </conditionalFormatting>
  <conditionalFormatting sqref="S8">
    <cfRule type="colorScale" priority="868">
      <colorScale>
        <cfvo type="num" val="1"/>
        <cfvo type="num" val="2"/>
        <cfvo type="num" val="3"/>
        <color rgb="FFF8696B"/>
        <color rgb="FFFFEB84"/>
        <color rgb="FF63BE7B"/>
      </colorScale>
    </cfRule>
  </conditionalFormatting>
  <conditionalFormatting sqref="S8">
    <cfRule type="colorScale" priority="867">
      <colorScale>
        <cfvo type="num" val="1"/>
        <cfvo type="num" val="2"/>
        <cfvo type="num" val="3"/>
        <color rgb="FFF8696B"/>
        <color rgb="FFFFEB84"/>
        <color rgb="FF63BE7B"/>
      </colorScale>
    </cfRule>
  </conditionalFormatting>
  <conditionalFormatting sqref="S8">
    <cfRule type="colorScale" priority="866">
      <colorScale>
        <cfvo type="num" val="1"/>
        <cfvo type="num" val="2"/>
        <cfvo type="num" val="3"/>
        <color rgb="FFF8696B"/>
        <color rgb="FFFFEB84"/>
        <color rgb="FF63BE7B"/>
      </colorScale>
    </cfRule>
  </conditionalFormatting>
  <conditionalFormatting sqref="S8">
    <cfRule type="colorScale" priority="865">
      <colorScale>
        <cfvo type="num" val="1"/>
        <cfvo type="num" val="2"/>
        <cfvo type="num" val="3"/>
        <color rgb="FFF8696B"/>
        <color rgb="FFFFEB84"/>
        <color rgb="FF63BE7B"/>
      </colorScale>
    </cfRule>
  </conditionalFormatting>
  <conditionalFormatting sqref="S8">
    <cfRule type="colorScale" priority="864">
      <colorScale>
        <cfvo type="num" val="1"/>
        <cfvo type="num" val="2"/>
        <cfvo type="num" val="3"/>
        <color rgb="FFF8696B"/>
        <color rgb="FFFFEB84"/>
        <color rgb="FF63BE7B"/>
      </colorScale>
    </cfRule>
  </conditionalFormatting>
  <conditionalFormatting sqref="S8">
    <cfRule type="colorScale" priority="863">
      <colorScale>
        <cfvo type="num" val="1"/>
        <cfvo type="num" val="2"/>
        <cfvo type="num" val="3"/>
        <color rgb="FFF8696B"/>
        <color rgb="FFFFEB84"/>
        <color rgb="FF63BE7B"/>
      </colorScale>
    </cfRule>
  </conditionalFormatting>
  <conditionalFormatting sqref="S8">
    <cfRule type="colorScale" priority="862">
      <colorScale>
        <cfvo type="num" val="1"/>
        <cfvo type="num" val="2"/>
        <cfvo type="num" val="3"/>
        <color rgb="FFF8696B"/>
        <color rgb="FFFFEB84"/>
        <color rgb="FF63BE7B"/>
      </colorScale>
    </cfRule>
  </conditionalFormatting>
  <conditionalFormatting sqref="Q8">
    <cfRule type="colorScale" priority="861">
      <colorScale>
        <cfvo type="num" val="1"/>
        <cfvo type="num" val="2"/>
        <cfvo type="num" val="3"/>
        <color rgb="FFF8696B"/>
        <color rgb="FFFFEB84"/>
        <color rgb="FF63BE7B"/>
      </colorScale>
    </cfRule>
  </conditionalFormatting>
  <conditionalFormatting sqref="Q8">
    <cfRule type="colorScale" priority="860">
      <colorScale>
        <cfvo type="num" val="1"/>
        <cfvo type="num" val="2"/>
        <cfvo type="num" val="3"/>
        <color rgb="FFF8696B"/>
        <color rgb="FFFFEB84"/>
        <color rgb="FF63BE7B"/>
      </colorScale>
    </cfRule>
  </conditionalFormatting>
  <conditionalFormatting sqref="Q8">
    <cfRule type="colorScale" priority="859">
      <colorScale>
        <cfvo type="num" val="1"/>
        <cfvo type="num" val="2"/>
        <cfvo type="num" val="3"/>
        <color rgb="FFF8696B"/>
        <color rgb="FFFFEB84"/>
        <color rgb="FF63BE7B"/>
      </colorScale>
    </cfRule>
  </conditionalFormatting>
  <conditionalFormatting sqref="Q8">
    <cfRule type="colorScale" priority="858">
      <colorScale>
        <cfvo type="num" val="1"/>
        <cfvo type="num" val="2"/>
        <cfvo type="num" val="3"/>
        <color rgb="FFF8696B"/>
        <color rgb="FFFFEB84"/>
        <color rgb="FF63BE7B"/>
      </colorScale>
    </cfRule>
  </conditionalFormatting>
  <conditionalFormatting sqref="Q8">
    <cfRule type="colorScale" priority="857">
      <colorScale>
        <cfvo type="num" val="1"/>
        <cfvo type="num" val="2"/>
        <cfvo type="num" val="3"/>
        <color rgb="FFF8696B"/>
        <color rgb="FFFFEB84"/>
        <color rgb="FF63BE7B"/>
      </colorScale>
    </cfRule>
  </conditionalFormatting>
  <conditionalFormatting sqref="X8 T8 V8">
    <cfRule type="colorScale" priority="856">
      <colorScale>
        <cfvo type="num" val="1"/>
        <cfvo type="num" val="2"/>
        <cfvo type="num" val="3"/>
        <color rgb="FFF8696B"/>
        <color rgb="FFFFEB84"/>
        <color rgb="FF63BE7B"/>
      </colorScale>
    </cfRule>
  </conditionalFormatting>
  <conditionalFormatting sqref="T8">
    <cfRule type="colorScale" priority="855">
      <colorScale>
        <cfvo type="num" val="1"/>
        <cfvo type="num" val="2"/>
        <cfvo type="num" val="3"/>
        <color rgb="FFF8696B"/>
        <color rgb="FFFFEB84"/>
        <color rgb="FF63BE7B"/>
      </colorScale>
    </cfRule>
  </conditionalFormatting>
  <conditionalFormatting sqref="X8">
    <cfRule type="colorScale" priority="854">
      <colorScale>
        <cfvo type="num" val="1"/>
        <cfvo type="num" val="2"/>
        <cfvo type="num" val="3"/>
        <color rgb="FFF8696B"/>
        <color rgb="FFFFEB84"/>
        <color rgb="FF63BE7B"/>
      </colorScale>
    </cfRule>
  </conditionalFormatting>
  <conditionalFormatting sqref="V8">
    <cfRule type="colorScale" priority="853">
      <colorScale>
        <cfvo type="num" val="1"/>
        <cfvo type="num" val="2"/>
        <cfvo type="num" val="3"/>
        <color rgb="FFF8696B"/>
        <color rgb="FFFFEB84"/>
        <color rgb="FF63BE7B"/>
      </colorScale>
    </cfRule>
  </conditionalFormatting>
  <conditionalFormatting sqref="T8">
    <cfRule type="colorScale" priority="852">
      <colorScale>
        <cfvo type="num" val="1"/>
        <cfvo type="num" val="2"/>
        <cfvo type="num" val="3"/>
        <color rgb="FFF8696B"/>
        <color rgb="FFFFEB84"/>
        <color rgb="FF63BE7B"/>
      </colorScale>
    </cfRule>
  </conditionalFormatting>
  <conditionalFormatting sqref="T8">
    <cfRule type="colorScale" priority="851">
      <colorScale>
        <cfvo type="num" val="1"/>
        <cfvo type="num" val="2"/>
        <cfvo type="num" val="3"/>
        <color rgb="FFF8696B"/>
        <color rgb="FFFFEB84"/>
        <color rgb="FF63BE7B"/>
      </colorScale>
    </cfRule>
  </conditionalFormatting>
  <conditionalFormatting sqref="Y8">
    <cfRule type="colorScale" priority="850">
      <colorScale>
        <cfvo type="num" val="1"/>
        <cfvo type="num" val="2"/>
        <cfvo type="num" val="3"/>
        <color rgb="FFF8696B"/>
        <color rgb="FFFFEB84"/>
        <color rgb="FF63BE7B"/>
      </colorScale>
    </cfRule>
  </conditionalFormatting>
  <conditionalFormatting sqref="Y8">
    <cfRule type="colorScale" priority="849">
      <colorScale>
        <cfvo type="num" val="1"/>
        <cfvo type="num" val="2"/>
        <cfvo type="num" val="3"/>
        <color rgb="FFF8696B"/>
        <color rgb="FFFFEB84"/>
        <color rgb="FF63BE7B"/>
      </colorScale>
    </cfRule>
  </conditionalFormatting>
  <conditionalFormatting sqref="Y8">
    <cfRule type="colorScale" priority="848">
      <colorScale>
        <cfvo type="num" val="1"/>
        <cfvo type="num" val="2"/>
        <cfvo type="num" val="3"/>
        <color rgb="FFF8696B"/>
        <color rgb="FFFFEB84"/>
        <color rgb="FF63BE7B"/>
      </colorScale>
    </cfRule>
  </conditionalFormatting>
  <conditionalFormatting sqref="Y8">
    <cfRule type="colorScale" priority="847">
      <colorScale>
        <cfvo type="num" val="1"/>
        <cfvo type="num" val="2"/>
        <cfvo type="num" val="3"/>
        <color rgb="FFF8696B"/>
        <color rgb="FFFFEB84"/>
        <color rgb="FF63BE7B"/>
      </colorScale>
    </cfRule>
  </conditionalFormatting>
  <conditionalFormatting sqref="Y8">
    <cfRule type="colorScale" priority="846">
      <colorScale>
        <cfvo type="num" val="1"/>
        <cfvo type="num" val="2"/>
        <cfvo type="num" val="3"/>
        <color rgb="FFF8696B"/>
        <color rgb="FFFFEB84"/>
        <color rgb="FF63BE7B"/>
      </colorScale>
    </cfRule>
  </conditionalFormatting>
  <conditionalFormatting sqref="Y8">
    <cfRule type="colorScale" priority="845">
      <colorScale>
        <cfvo type="num" val="1"/>
        <cfvo type="num" val="2"/>
        <cfvo type="num" val="3"/>
        <color rgb="FFF8696B"/>
        <color rgb="FFFFEB84"/>
        <color rgb="FF63BE7B"/>
      </colorScale>
    </cfRule>
  </conditionalFormatting>
  <conditionalFormatting sqref="Y8">
    <cfRule type="colorScale" priority="844">
      <colorScale>
        <cfvo type="num" val="1"/>
        <cfvo type="num" val="2"/>
        <cfvo type="num" val="3"/>
        <color rgb="FFF8696B"/>
        <color rgb="FFFFEB84"/>
        <color rgb="FF63BE7B"/>
      </colorScale>
    </cfRule>
  </conditionalFormatting>
  <conditionalFormatting sqref="Y8">
    <cfRule type="colorScale" priority="843">
      <colorScale>
        <cfvo type="num" val="1"/>
        <cfvo type="num" val="2"/>
        <cfvo type="num" val="3"/>
        <color rgb="FFF8696B"/>
        <color rgb="FFFFEB84"/>
        <color rgb="FF63BE7B"/>
      </colorScale>
    </cfRule>
  </conditionalFormatting>
  <conditionalFormatting sqref="Y8">
    <cfRule type="colorScale" priority="842">
      <colorScale>
        <cfvo type="num" val="1"/>
        <cfvo type="num" val="2"/>
        <cfvo type="num" val="3"/>
        <color rgb="FFF8696B"/>
        <color rgb="FFFFEB84"/>
        <color rgb="FF63BE7B"/>
      </colorScale>
    </cfRule>
  </conditionalFormatting>
  <conditionalFormatting sqref="Y8">
    <cfRule type="colorScale" priority="841">
      <colorScale>
        <cfvo type="num" val="1"/>
        <cfvo type="num" val="2"/>
        <cfvo type="num" val="3"/>
        <color rgb="FFF8696B"/>
        <color rgb="FFFFEB84"/>
        <color rgb="FF63BE7B"/>
      </colorScale>
    </cfRule>
  </conditionalFormatting>
  <conditionalFormatting sqref="Y8">
    <cfRule type="colorScale" priority="840">
      <colorScale>
        <cfvo type="num" val="1"/>
        <cfvo type="num" val="2"/>
        <cfvo type="num" val="3"/>
        <color rgb="FFF8696B"/>
        <color rgb="FFFFEB84"/>
        <color rgb="FF63BE7B"/>
      </colorScale>
    </cfRule>
  </conditionalFormatting>
  <conditionalFormatting sqref="Y8">
    <cfRule type="colorScale" priority="839">
      <colorScale>
        <cfvo type="num" val="1"/>
        <cfvo type="num" val="2"/>
        <cfvo type="num" val="3"/>
        <color rgb="FFF8696B"/>
        <color rgb="FFFFEB84"/>
        <color rgb="FF63BE7B"/>
      </colorScale>
    </cfRule>
  </conditionalFormatting>
  <conditionalFormatting sqref="W8">
    <cfRule type="colorScale" priority="838">
      <colorScale>
        <cfvo type="num" val="1"/>
        <cfvo type="num" val="2"/>
        <cfvo type="num" val="3"/>
        <color rgb="FFF8696B"/>
        <color rgb="FFFFEB84"/>
        <color rgb="FF63BE7B"/>
      </colorScale>
    </cfRule>
  </conditionalFormatting>
  <conditionalFormatting sqref="W8">
    <cfRule type="colorScale" priority="837">
      <colorScale>
        <cfvo type="num" val="1"/>
        <cfvo type="num" val="2"/>
        <cfvo type="num" val="3"/>
        <color rgb="FFF8696B"/>
        <color rgb="FFFFEB84"/>
        <color rgb="FF63BE7B"/>
      </colorScale>
    </cfRule>
  </conditionalFormatting>
  <conditionalFormatting sqref="W8">
    <cfRule type="colorScale" priority="836">
      <colorScale>
        <cfvo type="num" val="1"/>
        <cfvo type="num" val="2"/>
        <cfvo type="num" val="3"/>
        <color rgb="FFF8696B"/>
        <color rgb="FFFFEB84"/>
        <color rgb="FF63BE7B"/>
      </colorScale>
    </cfRule>
  </conditionalFormatting>
  <conditionalFormatting sqref="W8">
    <cfRule type="colorScale" priority="835">
      <colorScale>
        <cfvo type="num" val="1"/>
        <cfvo type="num" val="2"/>
        <cfvo type="num" val="3"/>
        <color rgb="FFF8696B"/>
        <color rgb="FFFFEB84"/>
        <color rgb="FF63BE7B"/>
      </colorScale>
    </cfRule>
  </conditionalFormatting>
  <conditionalFormatting sqref="W8">
    <cfRule type="colorScale" priority="834">
      <colorScale>
        <cfvo type="num" val="1"/>
        <cfvo type="num" val="2"/>
        <cfvo type="num" val="3"/>
        <color rgb="FFF8696B"/>
        <color rgb="FFFFEB84"/>
        <color rgb="FF63BE7B"/>
      </colorScale>
    </cfRule>
  </conditionalFormatting>
  <conditionalFormatting sqref="Z8:AB8 AD8">
    <cfRule type="colorScale" priority="833">
      <colorScale>
        <cfvo type="num" val="1"/>
        <cfvo type="num" val="2"/>
        <cfvo type="num" val="3"/>
        <color rgb="FFF8696B"/>
        <color rgb="FFFFEB84"/>
        <color rgb="FF63BE7B"/>
      </colorScale>
    </cfRule>
  </conditionalFormatting>
  <conditionalFormatting sqref="Z8:AA8">
    <cfRule type="colorScale" priority="832">
      <colorScale>
        <cfvo type="num" val="1"/>
        <cfvo type="num" val="2"/>
        <cfvo type="num" val="3"/>
        <color rgb="FFF8696B"/>
        <color rgb="FFFFEB84"/>
        <color rgb="FF63BE7B"/>
      </colorScale>
    </cfRule>
  </conditionalFormatting>
  <conditionalFormatting sqref="AD8">
    <cfRule type="colorScale" priority="831">
      <colorScale>
        <cfvo type="num" val="1"/>
        <cfvo type="num" val="2"/>
        <cfvo type="num" val="3"/>
        <color rgb="FFF8696B"/>
        <color rgb="FFFFEB84"/>
        <color rgb="FF63BE7B"/>
      </colorScale>
    </cfRule>
  </conditionalFormatting>
  <conditionalFormatting sqref="AB8">
    <cfRule type="colorScale" priority="830">
      <colorScale>
        <cfvo type="num" val="1"/>
        <cfvo type="num" val="2"/>
        <cfvo type="num" val="3"/>
        <color rgb="FFF8696B"/>
        <color rgb="FFFFEB84"/>
        <color rgb="FF63BE7B"/>
      </colorScale>
    </cfRule>
  </conditionalFormatting>
  <conditionalFormatting sqref="Z8">
    <cfRule type="colorScale" priority="829">
      <colorScale>
        <cfvo type="num" val="1"/>
        <cfvo type="num" val="2"/>
        <cfvo type="num" val="3"/>
        <color rgb="FFF8696B"/>
        <color rgb="FFFFEB84"/>
        <color rgb="FF63BE7B"/>
      </colorScale>
    </cfRule>
  </conditionalFormatting>
  <conditionalFormatting sqref="Z8">
    <cfRule type="colorScale" priority="828">
      <colorScale>
        <cfvo type="num" val="1"/>
        <cfvo type="num" val="2"/>
        <cfvo type="num" val="3"/>
        <color rgb="FFF8696B"/>
        <color rgb="FFFFEB84"/>
        <color rgb="FF63BE7B"/>
      </colorScale>
    </cfRule>
  </conditionalFormatting>
  <conditionalFormatting sqref="AE8">
    <cfRule type="colorScale" priority="827">
      <colorScale>
        <cfvo type="num" val="1"/>
        <cfvo type="num" val="2"/>
        <cfvo type="num" val="3"/>
        <color rgb="FFF8696B"/>
        <color rgb="FFFFEB84"/>
        <color rgb="FF63BE7B"/>
      </colorScale>
    </cfRule>
  </conditionalFormatting>
  <conditionalFormatting sqref="AE8">
    <cfRule type="colorScale" priority="826">
      <colorScale>
        <cfvo type="num" val="1"/>
        <cfvo type="num" val="2"/>
        <cfvo type="num" val="3"/>
        <color rgb="FFF8696B"/>
        <color rgb="FFFFEB84"/>
        <color rgb="FF63BE7B"/>
      </colorScale>
    </cfRule>
  </conditionalFormatting>
  <conditionalFormatting sqref="AE8">
    <cfRule type="colorScale" priority="825">
      <colorScale>
        <cfvo type="num" val="1"/>
        <cfvo type="num" val="2"/>
        <cfvo type="num" val="3"/>
        <color rgb="FFF8696B"/>
        <color rgb="FFFFEB84"/>
        <color rgb="FF63BE7B"/>
      </colorScale>
    </cfRule>
  </conditionalFormatting>
  <conditionalFormatting sqref="AE8">
    <cfRule type="colorScale" priority="824">
      <colorScale>
        <cfvo type="num" val="1"/>
        <cfvo type="num" val="2"/>
        <cfvo type="num" val="3"/>
        <color rgb="FFF8696B"/>
        <color rgb="FFFFEB84"/>
        <color rgb="FF63BE7B"/>
      </colorScale>
    </cfRule>
  </conditionalFormatting>
  <conditionalFormatting sqref="AE8">
    <cfRule type="colorScale" priority="823">
      <colorScale>
        <cfvo type="num" val="1"/>
        <cfvo type="num" val="2"/>
        <cfvo type="num" val="3"/>
        <color rgb="FFF8696B"/>
        <color rgb="FFFFEB84"/>
        <color rgb="FF63BE7B"/>
      </colorScale>
    </cfRule>
  </conditionalFormatting>
  <conditionalFormatting sqref="AE8">
    <cfRule type="colorScale" priority="822">
      <colorScale>
        <cfvo type="num" val="1"/>
        <cfvo type="num" val="2"/>
        <cfvo type="num" val="3"/>
        <color rgb="FFF8696B"/>
        <color rgb="FFFFEB84"/>
        <color rgb="FF63BE7B"/>
      </colorScale>
    </cfRule>
  </conditionalFormatting>
  <conditionalFormatting sqref="AE8">
    <cfRule type="colorScale" priority="821">
      <colorScale>
        <cfvo type="num" val="1"/>
        <cfvo type="num" val="2"/>
        <cfvo type="num" val="3"/>
        <color rgb="FFF8696B"/>
        <color rgb="FFFFEB84"/>
        <color rgb="FF63BE7B"/>
      </colorScale>
    </cfRule>
  </conditionalFormatting>
  <conditionalFormatting sqref="AE8">
    <cfRule type="colorScale" priority="820">
      <colorScale>
        <cfvo type="num" val="1"/>
        <cfvo type="num" val="2"/>
        <cfvo type="num" val="3"/>
        <color rgb="FFF8696B"/>
        <color rgb="FFFFEB84"/>
        <color rgb="FF63BE7B"/>
      </colorScale>
    </cfRule>
  </conditionalFormatting>
  <conditionalFormatting sqref="AE8">
    <cfRule type="colorScale" priority="819">
      <colorScale>
        <cfvo type="num" val="1"/>
        <cfvo type="num" val="2"/>
        <cfvo type="num" val="3"/>
        <color rgb="FFF8696B"/>
        <color rgb="FFFFEB84"/>
        <color rgb="FF63BE7B"/>
      </colorScale>
    </cfRule>
  </conditionalFormatting>
  <conditionalFormatting sqref="AE8">
    <cfRule type="colorScale" priority="818">
      <colorScale>
        <cfvo type="num" val="1"/>
        <cfvo type="num" val="2"/>
        <cfvo type="num" val="3"/>
        <color rgb="FFF8696B"/>
        <color rgb="FFFFEB84"/>
        <color rgb="FF63BE7B"/>
      </colorScale>
    </cfRule>
  </conditionalFormatting>
  <conditionalFormatting sqref="AE8">
    <cfRule type="colorScale" priority="817">
      <colorScale>
        <cfvo type="num" val="1"/>
        <cfvo type="num" val="2"/>
        <cfvo type="num" val="3"/>
        <color rgb="FFF8696B"/>
        <color rgb="FFFFEB84"/>
        <color rgb="FF63BE7B"/>
      </colorScale>
    </cfRule>
  </conditionalFormatting>
  <conditionalFormatting sqref="AE8">
    <cfRule type="colorScale" priority="816">
      <colorScale>
        <cfvo type="num" val="1"/>
        <cfvo type="num" val="2"/>
        <cfvo type="num" val="3"/>
        <color rgb="FFF8696B"/>
        <color rgb="FFFFEB84"/>
        <color rgb="FF63BE7B"/>
      </colorScale>
    </cfRule>
  </conditionalFormatting>
  <conditionalFormatting sqref="AC8">
    <cfRule type="colorScale" priority="815">
      <colorScale>
        <cfvo type="num" val="1"/>
        <cfvo type="num" val="2"/>
        <cfvo type="num" val="3"/>
        <color rgb="FFF8696B"/>
        <color rgb="FFFFEB84"/>
        <color rgb="FF63BE7B"/>
      </colorScale>
    </cfRule>
  </conditionalFormatting>
  <conditionalFormatting sqref="AC8">
    <cfRule type="colorScale" priority="814">
      <colorScale>
        <cfvo type="num" val="1"/>
        <cfvo type="num" val="2"/>
        <cfvo type="num" val="3"/>
        <color rgb="FFF8696B"/>
        <color rgb="FFFFEB84"/>
        <color rgb="FF63BE7B"/>
      </colorScale>
    </cfRule>
  </conditionalFormatting>
  <conditionalFormatting sqref="AC8">
    <cfRule type="colorScale" priority="813">
      <colorScale>
        <cfvo type="num" val="1"/>
        <cfvo type="num" val="2"/>
        <cfvo type="num" val="3"/>
        <color rgb="FFF8696B"/>
        <color rgb="FFFFEB84"/>
        <color rgb="FF63BE7B"/>
      </colorScale>
    </cfRule>
  </conditionalFormatting>
  <conditionalFormatting sqref="AC8">
    <cfRule type="colorScale" priority="812">
      <colorScale>
        <cfvo type="num" val="1"/>
        <cfvo type="num" val="2"/>
        <cfvo type="num" val="3"/>
        <color rgb="FFF8696B"/>
        <color rgb="FFFFEB84"/>
        <color rgb="FF63BE7B"/>
      </colorScale>
    </cfRule>
  </conditionalFormatting>
  <conditionalFormatting sqref="AC8">
    <cfRule type="colorScale" priority="811">
      <colorScale>
        <cfvo type="num" val="1"/>
        <cfvo type="num" val="2"/>
        <cfvo type="num" val="3"/>
        <color rgb="FFF8696B"/>
        <color rgb="FFFFEB84"/>
        <color rgb="FF63BE7B"/>
      </colorScale>
    </cfRule>
  </conditionalFormatting>
  <conditionalFormatting sqref="AF10">
    <cfRule type="colorScale" priority="810">
      <colorScale>
        <cfvo type="num" val="1"/>
        <cfvo type="num" val="2"/>
        <cfvo type="num" val="3"/>
        <color rgb="FFF8696B"/>
        <color rgb="FFFFEB84"/>
        <color rgb="FF63BE7B"/>
      </colorScale>
    </cfRule>
  </conditionalFormatting>
  <conditionalFormatting sqref="AF10">
    <cfRule type="colorScale" priority="809">
      <colorScale>
        <cfvo type="num" val="1"/>
        <cfvo type="num" val="2"/>
        <cfvo type="num" val="3"/>
        <color rgb="FFF8696B"/>
        <color rgb="FFFFEB84"/>
        <color rgb="FF63BE7B"/>
      </colorScale>
    </cfRule>
  </conditionalFormatting>
  <conditionalFormatting sqref="AF10">
    <cfRule type="colorScale" priority="808">
      <colorScale>
        <cfvo type="num" val="1"/>
        <cfvo type="num" val="2"/>
        <cfvo type="num" val="3"/>
        <color rgb="FFF8696B"/>
        <color rgb="FFFFEB84"/>
        <color rgb="FF63BE7B"/>
      </colorScale>
    </cfRule>
  </conditionalFormatting>
  <conditionalFormatting sqref="AF10">
    <cfRule type="colorScale" priority="807">
      <colorScale>
        <cfvo type="num" val="1"/>
        <cfvo type="num" val="2"/>
        <cfvo type="num" val="3"/>
        <color rgb="FFF8696B"/>
        <color rgb="FFFFEB84"/>
        <color rgb="FF63BE7B"/>
      </colorScale>
    </cfRule>
  </conditionalFormatting>
  <conditionalFormatting sqref="M10 S10 Y10">
    <cfRule type="colorScale" priority="806">
      <colorScale>
        <cfvo type="num" val="1"/>
        <cfvo type="num" val="2"/>
        <cfvo type="num" val="3"/>
        <color rgb="FFF8696B"/>
        <color rgb="FFFFEB84"/>
        <color rgb="FF63BE7B"/>
      </colorScale>
    </cfRule>
  </conditionalFormatting>
  <conditionalFormatting sqref="L10">
    <cfRule type="colorScale" priority="805">
      <colorScale>
        <cfvo type="num" val="1"/>
        <cfvo type="num" val="2"/>
        <cfvo type="num" val="3"/>
        <color rgb="FFF8696B"/>
        <color rgb="FFFFEB84"/>
        <color rgb="FF63BE7B"/>
      </colorScale>
    </cfRule>
  </conditionalFormatting>
  <conditionalFormatting sqref="L10">
    <cfRule type="colorScale" priority="804">
      <colorScale>
        <cfvo type="num" val="1"/>
        <cfvo type="num" val="2"/>
        <cfvo type="num" val="3"/>
        <color rgb="FFF8696B"/>
        <color rgb="FFFFEB84"/>
        <color rgb="FF63BE7B"/>
      </colorScale>
    </cfRule>
  </conditionalFormatting>
  <conditionalFormatting sqref="M10">
    <cfRule type="colorScale" priority="803">
      <colorScale>
        <cfvo type="num" val="1"/>
        <cfvo type="num" val="2"/>
        <cfvo type="num" val="3"/>
        <color rgb="FFF8696B"/>
        <color rgb="FFFFEB84"/>
        <color rgb="FF63BE7B"/>
      </colorScale>
    </cfRule>
  </conditionalFormatting>
  <conditionalFormatting sqref="M10">
    <cfRule type="colorScale" priority="802">
      <colorScale>
        <cfvo type="num" val="1"/>
        <cfvo type="num" val="2"/>
        <cfvo type="num" val="3"/>
        <color rgb="FFF8696B"/>
        <color rgb="FFFFEB84"/>
        <color rgb="FF63BE7B"/>
      </colorScale>
    </cfRule>
  </conditionalFormatting>
  <conditionalFormatting sqref="M10">
    <cfRule type="colorScale" priority="801">
      <colorScale>
        <cfvo type="num" val="1"/>
        <cfvo type="num" val="2"/>
        <cfvo type="num" val="3"/>
        <color rgb="FFF8696B"/>
        <color rgb="FFFFEB84"/>
        <color rgb="FF63BE7B"/>
      </colorScale>
    </cfRule>
  </conditionalFormatting>
  <conditionalFormatting sqref="M10">
    <cfRule type="colorScale" priority="800">
      <colorScale>
        <cfvo type="num" val="1"/>
        <cfvo type="num" val="2"/>
        <cfvo type="num" val="3"/>
        <color rgb="FFF8696B"/>
        <color rgb="FFFFEB84"/>
        <color rgb="FF63BE7B"/>
      </colorScale>
    </cfRule>
  </conditionalFormatting>
  <conditionalFormatting sqref="M10">
    <cfRule type="colorScale" priority="799">
      <colorScale>
        <cfvo type="num" val="1"/>
        <cfvo type="num" val="2"/>
        <cfvo type="num" val="3"/>
        <color rgb="FFF8696B"/>
        <color rgb="FFFFEB84"/>
        <color rgb="FF63BE7B"/>
      </colorScale>
    </cfRule>
  </conditionalFormatting>
  <conditionalFormatting sqref="M10">
    <cfRule type="colorScale" priority="798">
      <colorScale>
        <cfvo type="num" val="1"/>
        <cfvo type="num" val="2"/>
        <cfvo type="num" val="3"/>
        <color rgb="FFF8696B"/>
        <color rgb="FFFFEB84"/>
        <color rgb="FF63BE7B"/>
      </colorScale>
    </cfRule>
  </conditionalFormatting>
  <conditionalFormatting sqref="M10">
    <cfRule type="colorScale" priority="797">
      <colorScale>
        <cfvo type="num" val="1"/>
        <cfvo type="num" val="2"/>
        <cfvo type="num" val="3"/>
        <color rgb="FFF8696B"/>
        <color rgb="FFFFEB84"/>
        <color rgb="FF63BE7B"/>
      </colorScale>
    </cfRule>
  </conditionalFormatting>
  <conditionalFormatting sqref="M10">
    <cfRule type="colorScale" priority="796">
      <colorScale>
        <cfvo type="num" val="1"/>
        <cfvo type="num" val="2"/>
        <cfvo type="num" val="3"/>
        <color rgb="FFF8696B"/>
        <color rgb="FFFFEB84"/>
        <color rgb="FF63BE7B"/>
      </colorScale>
    </cfRule>
  </conditionalFormatting>
  <conditionalFormatting sqref="M10">
    <cfRule type="colorScale" priority="795">
      <colorScale>
        <cfvo type="num" val="1"/>
        <cfvo type="num" val="2"/>
        <cfvo type="num" val="3"/>
        <color rgb="FFF8696B"/>
        <color rgb="FFFFEB84"/>
        <color rgb="FF63BE7B"/>
      </colorScale>
    </cfRule>
  </conditionalFormatting>
  <conditionalFormatting sqref="M10">
    <cfRule type="colorScale" priority="794">
      <colorScale>
        <cfvo type="num" val="1"/>
        <cfvo type="num" val="2"/>
        <cfvo type="num" val="3"/>
        <color rgb="FFF8696B"/>
        <color rgb="FFFFEB84"/>
        <color rgb="FF63BE7B"/>
      </colorScale>
    </cfRule>
  </conditionalFormatting>
  <conditionalFormatting sqref="M10">
    <cfRule type="colorScale" priority="793">
      <colorScale>
        <cfvo type="num" val="1"/>
        <cfvo type="num" val="2"/>
        <cfvo type="num" val="3"/>
        <color rgb="FFF8696B"/>
        <color rgb="FFFFEB84"/>
        <color rgb="FF63BE7B"/>
      </colorScale>
    </cfRule>
  </conditionalFormatting>
  <conditionalFormatting sqref="M10">
    <cfRule type="colorScale" priority="792">
      <colorScale>
        <cfvo type="num" val="1"/>
        <cfvo type="num" val="2"/>
        <cfvo type="num" val="3"/>
        <color rgb="FFF8696B"/>
        <color rgb="FFFFEB84"/>
        <color rgb="FF63BE7B"/>
      </colorScale>
    </cfRule>
  </conditionalFormatting>
  <conditionalFormatting sqref="K10">
    <cfRule type="colorScale" priority="791">
      <colorScale>
        <cfvo type="num" val="1"/>
        <cfvo type="num" val="2"/>
        <cfvo type="num" val="3"/>
        <color rgb="FFF8696B"/>
        <color rgb="FFFFEB84"/>
        <color rgb="FF63BE7B"/>
      </colorScale>
    </cfRule>
  </conditionalFormatting>
  <conditionalFormatting sqref="K10">
    <cfRule type="colorScale" priority="790">
      <colorScale>
        <cfvo type="num" val="1"/>
        <cfvo type="num" val="2"/>
        <cfvo type="num" val="3"/>
        <color rgb="FFF8696B"/>
        <color rgb="FFFFEB84"/>
        <color rgb="FF63BE7B"/>
      </colorScale>
    </cfRule>
  </conditionalFormatting>
  <conditionalFormatting sqref="K10">
    <cfRule type="colorScale" priority="789">
      <colorScale>
        <cfvo type="num" val="1"/>
        <cfvo type="num" val="2"/>
        <cfvo type="num" val="3"/>
        <color rgb="FFF8696B"/>
        <color rgb="FFFFEB84"/>
        <color rgb="FF63BE7B"/>
      </colorScale>
    </cfRule>
  </conditionalFormatting>
  <conditionalFormatting sqref="K10">
    <cfRule type="colorScale" priority="788">
      <colorScale>
        <cfvo type="num" val="1"/>
        <cfvo type="num" val="2"/>
        <cfvo type="num" val="3"/>
        <color rgb="FFF8696B"/>
        <color rgb="FFFFEB84"/>
        <color rgb="FF63BE7B"/>
      </colorScale>
    </cfRule>
  </conditionalFormatting>
  <conditionalFormatting sqref="K10">
    <cfRule type="colorScale" priority="787">
      <colorScale>
        <cfvo type="num" val="1"/>
        <cfvo type="num" val="2"/>
        <cfvo type="num" val="3"/>
        <color rgb="FFF8696B"/>
        <color rgb="FFFFEB84"/>
        <color rgb="FF63BE7B"/>
      </colorScale>
    </cfRule>
  </conditionalFormatting>
  <conditionalFormatting sqref="N10:O10">
    <cfRule type="colorScale" priority="786">
      <colorScale>
        <cfvo type="num" val="1"/>
        <cfvo type="num" val="2"/>
        <cfvo type="num" val="3"/>
        <color rgb="FFF8696B"/>
        <color rgb="FFFFEB84"/>
        <color rgb="FF63BE7B"/>
      </colorScale>
    </cfRule>
  </conditionalFormatting>
  <conditionalFormatting sqref="N10:O10">
    <cfRule type="colorScale" priority="785">
      <colorScale>
        <cfvo type="num" val="1"/>
        <cfvo type="num" val="2"/>
        <cfvo type="num" val="3"/>
        <color rgb="FFF8696B"/>
        <color rgb="FFFFEB84"/>
        <color rgb="FF63BE7B"/>
      </colorScale>
    </cfRule>
  </conditionalFormatting>
  <conditionalFormatting sqref="N10">
    <cfRule type="colorScale" priority="784">
      <colorScale>
        <cfvo type="num" val="1"/>
        <cfvo type="num" val="2"/>
        <cfvo type="num" val="3"/>
        <color rgb="FFF8696B"/>
        <color rgb="FFFFEB84"/>
        <color rgb="FF63BE7B"/>
      </colorScale>
    </cfRule>
  </conditionalFormatting>
  <conditionalFormatting sqref="N10">
    <cfRule type="colorScale" priority="783">
      <colorScale>
        <cfvo type="num" val="1"/>
        <cfvo type="num" val="2"/>
        <cfvo type="num" val="3"/>
        <color rgb="FFF8696B"/>
        <color rgb="FFFFEB84"/>
        <color rgb="FF63BE7B"/>
      </colorScale>
    </cfRule>
  </conditionalFormatting>
  <conditionalFormatting sqref="S10">
    <cfRule type="colorScale" priority="782">
      <colorScale>
        <cfvo type="num" val="1"/>
        <cfvo type="num" val="2"/>
        <cfvo type="num" val="3"/>
        <color rgb="FFF8696B"/>
        <color rgb="FFFFEB84"/>
        <color rgb="FF63BE7B"/>
      </colorScale>
    </cfRule>
  </conditionalFormatting>
  <conditionalFormatting sqref="S10">
    <cfRule type="colorScale" priority="781">
      <colorScale>
        <cfvo type="num" val="1"/>
        <cfvo type="num" val="2"/>
        <cfvo type="num" val="3"/>
        <color rgb="FFF8696B"/>
        <color rgb="FFFFEB84"/>
        <color rgb="FF63BE7B"/>
      </colorScale>
    </cfRule>
  </conditionalFormatting>
  <conditionalFormatting sqref="S10">
    <cfRule type="colorScale" priority="780">
      <colorScale>
        <cfvo type="num" val="1"/>
        <cfvo type="num" val="2"/>
        <cfvo type="num" val="3"/>
        <color rgb="FFF8696B"/>
        <color rgb="FFFFEB84"/>
        <color rgb="FF63BE7B"/>
      </colorScale>
    </cfRule>
  </conditionalFormatting>
  <conditionalFormatting sqref="S10">
    <cfRule type="colorScale" priority="779">
      <colorScale>
        <cfvo type="num" val="1"/>
        <cfvo type="num" val="2"/>
        <cfvo type="num" val="3"/>
        <color rgb="FFF8696B"/>
        <color rgb="FFFFEB84"/>
        <color rgb="FF63BE7B"/>
      </colorScale>
    </cfRule>
  </conditionalFormatting>
  <conditionalFormatting sqref="S10">
    <cfRule type="colorScale" priority="778">
      <colorScale>
        <cfvo type="num" val="1"/>
        <cfvo type="num" val="2"/>
        <cfvo type="num" val="3"/>
        <color rgb="FFF8696B"/>
        <color rgb="FFFFEB84"/>
        <color rgb="FF63BE7B"/>
      </colorScale>
    </cfRule>
  </conditionalFormatting>
  <conditionalFormatting sqref="S10">
    <cfRule type="colorScale" priority="777">
      <colorScale>
        <cfvo type="num" val="1"/>
        <cfvo type="num" val="2"/>
        <cfvo type="num" val="3"/>
        <color rgb="FFF8696B"/>
        <color rgb="FFFFEB84"/>
        <color rgb="FF63BE7B"/>
      </colorScale>
    </cfRule>
  </conditionalFormatting>
  <conditionalFormatting sqref="S10">
    <cfRule type="colorScale" priority="776">
      <colorScale>
        <cfvo type="num" val="1"/>
        <cfvo type="num" val="2"/>
        <cfvo type="num" val="3"/>
        <color rgb="FFF8696B"/>
        <color rgb="FFFFEB84"/>
        <color rgb="FF63BE7B"/>
      </colorScale>
    </cfRule>
  </conditionalFormatting>
  <conditionalFormatting sqref="S10">
    <cfRule type="colorScale" priority="775">
      <colorScale>
        <cfvo type="num" val="1"/>
        <cfvo type="num" val="2"/>
        <cfvo type="num" val="3"/>
        <color rgb="FFF8696B"/>
        <color rgb="FFFFEB84"/>
        <color rgb="FF63BE7B"/>
      </colorScale>
    </cfRule>
  </conditionalFormatting>
  <conditionalFormatting sqref="S10">
    <cfRule type="colorScale" priority="774">
      <colorScale>
        <cfvo type="num" val="1"/>
        <cfvo type="num" val="2"/>
        <cfvo type="num" val="3"/>
        <color rgb="FFF8696B"/>
        <color rgb="FFFFEB84"/>
        <color rgb="FF63BE7B"/>
      </colorScale>
    </cfRule>
  </conditionalFormatting>
  <conditionalFormatting sqref="S10">
    <cfRule type="colorScale" priority="773">
      <colorScale>
        <cfvo type="num" val="1"/>
        <cfvo type="num" val="2"/>
        <cfvo type="num" val="3"/>
        <color rgb="FFF8696B"/>
        <color rgb="FFFFEB84"/>
        <color rgb="FF63BE7B"/>
      </colorScale>
    </cfRule>
  </conditionalFormatting>
  <conditionalFormatting sqref="S10">
    <cfRule type="colorScale" priority="772">
      <colorScale>
        <cfvo type="num" val="1"/>
        <cfvo type="num" val="2"/>
        <cfvo type="num" val="3"/>
        <color rgb="FFF8696B"/>
        <color rgb="FFFFEB84"/>
        <color rgb="FF63BE7B"/>
      </colorScale>
    </cfRule>
  </conditionalFormatting>
  <conditionalFormatting sqref="S10">
    <cfRule type="colorScale" priority="771">
      <colorScale>
        <cfvo type="num" val="1"/>
        <cfvo type="num" val="2"/>
        <cfvo type="num" val="3"/>
        <color rgb="FFF8696B"/>
        <color rgb="FFFFEB84"/>
        <color rgb="FF63BE7B"/>
      </colorScale>
    </cfRule>
  </conditionalFormatting>
  <conditionalFormatting sqref="T10:V10 X10">
    <cfRule type="colorScale" priority="770">
      <colorScale>
        <cfvo type="num" val="1"/>
        <cfvo type="num" val="2"/>
        <cfvo type="num" val="3"/>
        <color rgb="FFF8696B"/>
        <color rgb="FFFFEB84"/>
        <color rgb="FF63BE7B"/>
      </colorScale>
    </cfRule>
  </conditionalFormatting>
  <conditionalFormatting sqref="T10:U10">
    <cfRule type="colorScale" priority="769">
      <colorScale>
        <cfvo type="num" val="1"/>
        <cfvo type="num" val="2"/>
        <cfvo type="num" val="3"/>
        <color rgb="FFF8696B"/>
        <color rgb="FFFFEB84"/>
        <color rgb="FF63BE7B"/>
      </colorScale>
    </cfRule>
  </conditionalFormatting>
  <conditionalFormatting sqref="X10">
    <cfRule type="colorScale" priority="768">
      <colorScale>
        <cfvo type="num" val="1"/>
        <cfvo type="num" val="2"/>
        <cfvo type="num" val="3"/>
        <color rgb="FFF8696B"/>
        <color rgb="FFFFEB84"/>
        <color rgb="FF63BE7B"/>
      </colorScale>
    </cfRule>
  </conditionalFormatting>
  <conditionalFormatting sqref="V10">
    <cfRule type="colorScale" priority="767">
      <colorScale>
        <cfvo type="num" val="1"/>
        <cfvo type="num" val="2"/>
        <cfvo type="num" val="3"/>
        <color rgb="FFF8696B"/>
        <color rgb="FFFFEB84"/>
        <color rgb="FF63BE7B"/>
      </colorScale>
    </cfRule>
  </conditionalFormatting>
  <conditionalFormatting sqref="T10">
    <cfRule type="colorScale" priority="766">
      <colorScale>
        <cfvo type="num" val="1"/>
        <cfvo type="num" val="2"/>
        <cfvo type="num" val="3"/>
        <color rgb="FFF8696B"/>
        <color rgb="FFFFEB84"/>
        <color rgb="FF63BE7B"/>
      </colorScale>
    </cfRule>
  </conditionalFormatting>
  <conditionalFormatting sqref="T10">
    <cfRule type="colorScale" priority="765">
      <colorScale>
        <cfvo type="num" val="1"/>
        <cfvo type="num" val="2"/>
        <cfvo type="num" val="3"/>
        <color rgb="FFF8696B"/>
        <color rgb="FFFFEB84"/>
        <color rgb="FF63BE7B"/>
      </colorScale>
    </cfRule>
  </conditionalFormatting>
  <conditionalFormatting sqref="Y10">
    <cfRule type="colorScale" priority="764">
      <colorScale>
        <cfvo type="num" val="1"/>
        <cfvo type="num" val="2"/>
        <cfvo type="num" val="3"/>
        <color rgb="FFF8696B"/>
        <color rgb="FFFFEB84"/>
        <color rgb="FF63BE7B"/>
      </colorScale>
    </cfRule>
  </conditionalFormatting>
  <conditionalFormatting sqref="Y10">
    <cfRule type="colorScale" priority="763">
      <colorScale>
        <cfvo type="num" val="1"/>
        <cfvo type="num" val="2"/>
        <cfvo type="num" val="3"/>
        <color rgb="FFF8696B"/>
        <color rgb="FFFFEB84"/>
        <color rgb="FF63BE7B"/>
      </colorScale>
    </cfRule>
  </conditionalFormatting>
  <conditionalFormatting sqref="Y10">
    <cfRule type="colorScale" priority="762">
      <colorScale>
        <cfvo type="num" val="1"/>
        <cfvo type="num" val="2"/>
        <cfvo type="num" val="3"/>
        <color rgb="FFF8696B"/>
        <color rgb="FFFFEB84"/>
        <color rgb="FF63BE7B"/>
      </colorScale>
    </cfRule>
  </conditionalFormatting>
  <conditionalFormatting sqref="Y10">
    <cfRule type="colorScale" priority="761">
      <colorScale>
        <cfvo type="num" val="1"/>
        <cfvo type="num" val="2"/>
        <cfvo type="num" val="3"/>
        <color rgb="FFF8696B"/>
        <color rgb="FFFFEB84"/>
        <color rgb="FF63BE7B"/>
      </colorScale>
    </cfRule>
  </conditionalFormatting>
  <conditionalFormatting sqref="Y10">
    <cfRule type="colorScale" priority="760">
      <colorScale>
        <cfvo type="num" val="1"/>
        <cfvo type="num" val="2"/>
        <cfvo type="num" val="3"/>
        <color rgb="FFF8696B"/>
        <color rgb="FFFFEB84"/>
        <color rgb="FF63BE7B"/>
      </colorScale>
    </cfRule>
  </conditionalFormatting>
  <conditionalFormatting sqref="Y10">
    <cfRule type="colorScale" priority="759">
      <colorScale>
        <cfvo type="num" val="1"/>
        <cfvo type="num" val="2"/>
        <cfvo type="num" val="3"/>
        <color rgb="FFF8696B"/>
        <color rgb="FFFFEB84"/>
        <color rgb="FF63BE7B"/>
      </colorScale>
    </cfRule>
  </conditionalFormatting>
  <conditionalFormatting sqref="Y10">
    <cfRule type="colorScale" priority="758">
      <colorScale>
        <cfvo type="num" val="1"/>
        <cfvo type="num" val="2"/>
        <cfvo type="num" val="3"/>
        <color rgb="FFF8696B"/>
        <color rgb="FFFFEB84"/>
        <color rgb="FF63BE7B"/>
      </colorScale>
    </cfRule>
  </conditionalFormatting>
  <conditionalFormatting sqref="Y10">
    <cfRule type="colorScale" priority="757">
      <colorScale>
        <cfvo type="num" val="1"/>
        <cfvo type="num" val="2"/>
        <cfvo type="num" val="3"/>
        <color rgb="FFF8696B"/>
        <color rgb="FFFFEB84"/>
        <color rgb="FF63BE7B"/>
      </colorScale>
    </cfRule>
  </conditionalFormatting>
  <conditionalFormatting sqref="Y10">
    <cfRule type="colorScale" priority="756">
      <colorScale>
        <cfvo type="num" val="1"/>
        <cfvo type="num" val="2"/>
        <cfvo type="num" val="3"/>
        <color rgb="FFF8696B"/>
        <color rgb="FFFFEB84"/>
        <color rgb="FF63BE7B"/>
      </colorScale>
    </cfRule>
  </conditionalFormatting>
  <conditionalFormatting sqref="Y10">
    <cfRule type="colorScale" priority="755">
      <colorScale>
        <cfvo type="num" val="1"/>
        <cfvo type="num" val="2"/>
        <cfvo type="num" val="3"/>
        <color rgb="FFF8696B"/>
        <color rgb="FFFFEB84"/>
        <color rgb="FF63BE7B"/>
      </colorScale>
    </cfRule>
  </conditionalFormatting>
  <conditionalFormatting sqref="Y10">
    <cfRule type="colorScale" priority="754">
      <colorScale>
        <cfvo type="num" val="1"/>
        <cfvo type="num" val="2"/>
        <cfvo type="num" val="3"/>
        <color rgb="FFF8696B"/>
        <color rgb="FFFFEB84"/>
        <color rgb="FF63BE7B"/>
      </colorScale>
    </cfRule>
  </conditionalFormatting>
  <conditionalFormatting sqref="Y10">
    <cfRule type="colorScale" priority="753">
      <colorScale>
        <cfvo type="num" val="1"/>
        <cfvo type="num" val="2"/>
        <cfvo type="num" val="3"/>
        <color rgb="FFF8696B"/>
        <color rgb="FFFFEB84"/>
        <color rgb="FF63BE7B"/>
      </colorScale>
    </cfRule>
  </conditionalFormatting>
  <conditionalFormatting sqref="Z10:AB10 AD10">
    <cfRule type="colorScale" priority="752">
      <colorScale>
        <cfvo type="num" val="1"/>
        <cfvo type="num" val="2"/>
        <cfvo type="num" val="3"/>
        <color rgb="FFF8696B"/>
        <color rgb="FFFFEB84"/>
        <color rgb="FF63BE7B"/>
      </colorScale>
    </cfRule>
  </conditionalFormatting>
  <conditionalFormatting sqref="Z10:AA10">
    <cfRule type="colorScale" priority="751">
      <colorScale>
        <cfvo type="num" val="1"/>
        <cfvo type="num" val="2"/>
        <cfvo type="num" val="3"/>
        <color rgb="FFF8696B"/>
        <color rgb="FFFFEB84"/>
        <color rgb="FF63BE7B"/>
      </colorScale>
    </cfRule>
  </conditionalFormatting>
  <conditionalFormatting sqref="AD10">
    <cfRule type="colorScale" priority="750">
      <colorScale>
        <cfvo type="num" val="1"/>
        <cfvo type="num" val="2"/>
        <cfvo type="num" val="3"/>
        <color rgb="FFF8696B"/>
        <color rgb="FFFFEB84"/>
        <color rgb="FF63BE7B"/>
      </colorScale>
    </cfRule>
  </conditionalFormatting>
  <conditionalFormatting sqref="AB10">
    <cfRule type="colorScale" priority="749">
      <colorScale>
        <cfvo type="num" val="1"/>
        <cfvo type="num" val="2"/>
        <cfvo type="num" val="3"/>
        <color rgb="FFF8696B"/>
        <color rgb="FFFFEB84"/>
        <color rgb="FF63BE7B"/>
      </colorScale>
    </cfRule>
  </conditionalFormatting>
  <conditionalFormatting sqref="Z10">
    <cfRule type="colorScale" priority="748">
      <colorScale>
        <cfvo type="num" val="1"/>
        <cfvo type="num" val="2"/>
        <cfvo type="num" val="3"/>
        <color rgb="FFF8696B"/>
        <color rgb="FFFFEB84"/>
        <color rgb="FF63BE7B"/>
      </colorScale>
    </cfRule>
  </conditionalFormatting>
  <conditionalFormatting sqref="Z10">
    <cfRule type="colorScale" priority="747">
      <colorScale>
        <cfvo type="num" val="1"/>
        <cfvo type="num" val="2"/>
        <cfvo type="num" val="3"/>
        <color rgb="FFF8696B"/>
        <color rgb="FFFFEB84"/>
        <color rgb="FF63BE7B"/>
      </colorScale>
    </cfRule>
  </conditionalFormatting>
  <conditionalFormatting sqref="AC10">
    <cfRule type="colorScale" priority="746">
      <colorScale>
        <cfvo type="num" val="1"/>
        <cfvo type="num" val="2"/>
        <cfvo type="num" val="3"/>
        <color rgb="FFF8696B"/>
        <color rgb="FFFFEB84"/>
        <color rgb="FF63BE7B"/>
      </colorScale>
    </cfRule>
  </conditionalFormatting>
  <conditionalFormatting sqref="AC10">
    <cfRule type="colorScale" priority="745">
      <colorScale>
        <cfvo type="num" val="1"/>
        <cfvo type="num" val="2"/>
        <cfvo type="num" val="3"/>
        <color rgb="FFF8696B"/>
        <color rgb="FFFFEB84"/>
        <color rgb="FF63BE7B"/>
      </colorScale>
    </cfRule>
  </conditionalFormatting>
  <conditionalFormatting sqref="AC10">
    <cfRule type="colorScale" priority="744">
      <colorScale>
        <cfvo type="num" val="1"/>
        <cfvo type="num" val="2"/>
        <cfvo type="num" val="3"/>
        <color rgb="FFF8696B"/>
        <color rgb="FFFFEB84"/>
        <color rgb="FF63BE7B"/>
      </colorScale>
    </cfRule>
  </conditionalFormatting>
  <conditionalFormatting sqref="AC10">
    <cfRule type="colorScale" priority="743">
      <colorScale>
        <cfvo type="num" val="1"/>
        <cfvo type="num" val="2"/>
        <cfvo type="num" val="3"/>
        <color rgb="FFF8696B"/>
        <color rgb="FFFFEB84"/>
        <color rgb="FF63BE7B"/>
      </colorScale>
    </cfRule>
  </conditionalFormatting>
  <conditionalFormatting sqref="AC10">
    <cfRule type="colorScale" priority="742">
      <colorScale>
        <cfvo type="num" val="1"/>
        <cfvo type="num" val="2"/>
        <cfvo type="num" val="3"/>
        <color rgb="FFF8696B"/>
        <color rgb="FFFFEB84"/>
        <color rgb="FF63BE7B"/>
      </colorScale>
    </cfRule>
  </conditionalFormatting>
  <conditionalFormatting sqref="O12:AE12">
    <cfRule type="colorScale" priority="741">
      <colorScale>
        <cfvo type="num" val="1"/>
        <cfvo type="num" val="2"/>
        <cfvo type="num" val="3"/>
        <color rgb="FFF8696B"/>
        <color rgb="FFFFEB84"/>
        <color rgb="FF63BE7B"/>
      </colorScale>
    </cfRule>
  </conditionalFormatting>
  <conditionalFormatting sqref="R12">
    <cfRule type="colorScale" priority="740">
      <colorScale>
        <cfvo type="num" val="1"/>
        <cfvo type="num" val="2"/>
        <cfvo type="num" val="3"/>
        <color rgb="FFF8696B"/>
        <color rgb="FFFFEB84"/>
        <color rgb="FF63BE7B"/>
      </colorScale>
    </cfRule>
  </conditionalFormatting>
  <conditionalFormatting sqref="O12">
    <cfRule type="colorScale" priority="739">
      <colorScale>
        <cfvo type="num" val="1"/>
        <cfvo type="num" val="2"/>
        <cfvo type="num" val="3"/>
        <color rgb="FFF8696B"/>
        <color rgb="FFFFEB84"/>
        <color rgb="FF63BE7B"/>
      </colorScale>
    </cfRule>
  </conditionalFormatting>
  <conditionalFormatting sqref="AD12">
    <cfRule type="colorScale" priority="738">
      <colorScale>
        <cfvo type="num" val="1"/>
        <cfvo type="num" val="2"/>
        <cfvo type="num" val="3"/>
        <color rgb="FFF8696B"/>
        <color rgb="FFFFEB84"/>
        <color rgb="FF63BE7B"/>
      </colorScale>
    </cfRule>
  </conditionalFormatting>
  <conditionalFormatting sqref="O12:P12">
    <cfRule type="colorScale" priority="737">
      <colorScale>
        <cfvo type="num" val="1"/>
        <cfvo type="num" val="2"/>
        <cfvo type="num" val="3"/>
        <color rgb="FFF8696B"/>
        <color rgb="FFFFEB84"/>
        <color rgb="FF63BE7B"/>
      </colorScale>
    </cfRule>
  </conditionalFormatting>
  <conditionalFormatting sqref="O12">
    <cfRule type="colorScale" priority="736">
      <colorScale>
        <cfvo type="num" val="1"/>
        <cfvo type="num" val="2"/>
        <cfvo type="num" val="3"/>
        <color rgb="FFF8696B"/>
        <color rgb="FFFFEB84"/>
        <color rgb="FF63BE7B"/>
      </colorScale>
    </cfRule>
  </conditionalFormatting>
  <conditionalFormatting sqref="O12:P12">
    <cfRule type="colorScale" priority="735">
      <colorScale>
        <cfvo type="num" val="1"/>
        <cfvo type="num" val="2"/>
        <cfvo type="num" val="3"/>
        <color rgb="FFF8696B"/>
        <color rgb="FFFFEB84"/>
        <color rgb="FF63BE7B"/>
      </colorScale>
    </cfRule>
  </conditionalFormatting>
  <conditionalFormatting sqref="AD12">
    <cfRule type="colorScale" priority="734">
      <colorScale>
        <cfvo type="num" val="1"/>
        <cfvo type="num" val="2"/>
        <cfvo type="num" val="3"/>
        <color rgb="FFF8696B"/>
        <color rgb="FFFFEB84"/>
        <color rgb="FF63BE7B"/>
      </colorScale>
    </cfRule>
  </conditionalFormatting>
  <conditionalFormatting sqref="E12">
    <cfRule type="colorScale" priority="733">
      <colorScale>
        <cfvo type="num" val="1"/>
        <cfvo type="num" val="2"/>
        <cfvo type="num" val="3"/>
        <color rgb="FFF8696B"/>
        <color rgb="FFFFEB84"/>
        <color rgb="FF63BE7B"/>
      </colorScale>
    </cfRule>
  </conditionalFormatting>
  <conditionalFormatting sqref="O12:P12">
    <cfRule type="colorScale" priority="732">
      <colorScale>
        <cfvo type="num" val="1"/>
        <cfvo type="num" val="2"/>
        <cfvo type="num" val="3"/>
        <color rgb="FFF8696B"/>
        <color rgb="FFFFEB84"/>
        <color rgb="FF63BE7B"/>
      </colorScale>
    </cfRule>
  </conditionalFormatting>
  <conditionalFormatting sqref="AD12">
    <cfRule type="colorScale" priority="731">
      <colorScale>
        <cfvo type="num" val="1"/>
        <cfvo type="num" val="2"/>
        <cfvo type="num" val="3"/>
        <color rgb="FFF8696B"/>
        <color rgb="FFFFEB84"/>
        <color rgb="FF63BE7B"/>
      </colorScale>
    </cfRule>
  </conditionalFormatting>
  <conditionalFormatting sqref="P12:Q12">
    <cfRule type="colorScale" priority="730">
      <colorScale>
        <cfvo type="num" val="1"/>
        <cfvo type="num" val="2"/>
        <cfvo type="num" val="3"/>
        <color rgb="FFF8696B"/>
        <color rgb="FFFFEB84"/>
        <color rgb="FF63BE7B"/>
      </colorScale>
    </cfRule>
  </conditionalFormatting>
  <conditionalFormatting sqref="O12:P12">
    <cfRule type="colorScale" priority="729">
      <colorScale>
        <cfvo type="num" val="1"/>
        <cfvo type="num" val="2"/>
        <cfvo type="num" val="3"/>
        <color rgb="FFF8696B"/>
        <color rgb="FFFFEB84"/>
        <color rgb="FF63BE7B"/>
      </colorScale>
    </cfRule>
  </conditionalFormatting>
  <conditionalFormatting sqref="O12">
    <cfRule type="colorScale" priority="728">
      <colorScale>
        <cfvo type="num" val="1"/>
        <cfvo type="num" val="2"/>
        <cfvo type="num" val="3"/>
        <color rgb="FFF8696B"/>
        <color rgb="FFFFEB84"/>
        <color rgb="FF63BE7B"/>
      </colorScale>
    </cfRule>
  </conditionalFormatting>
  <conditionalFormatting sqref="AD12">
    <cfRule type="colorScale" priority="727">
      <colorScale>
        <cfvo type="num" val="1"/>
        <cfvo type="num" val="2"/>
        <cfvo type="num" val="3"/>
        <color rgb="FFF8696B"/>
        <color rgb="FFFFEB84"/>
        <color rgb="FF63BE7B"/>
      </colorScale>
    </cfRule>
  </conditionalFormatting>
  <conditionalFormatting sqref="P12:Q12">
    <cfRule type="colorScale" priority="726">
      <colorScale>
        <cfvo type="num" val="1"/>
        <cfvo type="num" val="2"/>
        <cfvo type="num" val="3"/>
        <color rgb="FFF8696B"/>
        <color rgb="FFFFEB84"/>
        <color rgb="FF63BE7B"/>
      </colorScale>
    </cfRule>
  </conditionalFormatting>
  <conditionalFormatting sqref="O12:P12">
    <cfRule type="colorScale" priority="725">
      <colorScale>
        <cfvo type="num" val="1"/>
        <cfvo type="num" val="2"/>
        <cfvo type="num" val="3"/>
        <color rgb="FFF8696B"/>
        <color rgb="FFFFEB84"/>
        <color rgb="FF63BE7B"/>
      </colorScale>
    </cfRule>
  </conditionalFormatting>
  <conditionalFormatting sqref="P12:Q12">
    <cfRule type="colorScale" priority="724">
      <colorScale>
        <cfvo type="num" val="1"/>
        <cfvo type="num" val="2"/>
        <cfvo type="num" val="3"/>
        <color rgb="FFF8696B"/>
        <color rgb="FFFFEB84"/>
        <color rgb="FF63BE7B"/>
      </colorScale>
    </cfRule>
  </conditionalFormatting>
  <conditionalFormatting sqref="R12">
    <cfRule type="colorScale" priority="723">
      <colorScale>
        <cfvo type="num" val="1"/>
        <cfvo type="num" val="2"/>
        <cfvo type="num" val="3"/>
        <color rgb="FFF8696B"/>
        <color rgb="FFFFEB84"/>
        <color rgb="FF63BE7B"/>
      </colorScale>
    </cfRule>
  </conditionalFormatting>
  <conditionalFormatting sqref="P12:Q12">
    <cfRule type="colorScale" priority="722">
      <colorScale>
        <cfvo type="num" val="1"/>
        <cfvo type="num" val="2"/>
        <cfvo type="num" val="3"/>
        <color rgb="FFF8696B"/>
        <color rgb="FFFFEB84"/>
        <color rgb="FF63BE7B"/>
      </colorScale>
    </cfRule>
  </conditionalFormatting>
  <conditionalFormatting sqref="AB12">
    <cfRule type="colorScale" priority="721">
      <colorScale>
        <cfvo type="num" val="1"/>
        <cfvo type="num" val="2"/>
        <cfvo type="num" val="3"/>
        <color rgb="FFF8696B"/>
        <color rgb="FFFFEB84"/>
        <color rgb="FF63BE7B"/>
      </colorScale>
    </cfRule>
  </conditionalFormatting>
  <conditionalFormatting sqref="AD12">
    <cfRule type="colorScale" priority="720">
      <colorScale>
        <cfvo type="num" val="1"/>
        <cfvo type="num" val="2"/>
        <cfvo type="num" val="3"/>
        <color rgb="FFF8696B"/>
        <color rgb="FFFFEB84"/>
        <color rgb="FF63BE7B"/>
      </colorScale>
    </cfRule>
  </conditionalFormatting>
  <conditionalFormatting sqref="O12">
    <cfRule type="colorScale" priority="719">
      <colorScale>
        <cfvo type="num" val="1"/>
        <cfvo type="num" val="2"/>
        <cfvo type="num" val="3"/>
        <color rgb="FFF8696B"/>
        <color rgb="FFFFEB84"/>
        <color rgb="FF63BE7B"/>
      </colorScale>
    </cfRule>
  </conditionalFormatting>
  <conditionalFormatting sqref="AC12">
    <cfRule type="colorScale" priority="718">
      <colorScale>
        <cfvo type="num" val="1"/>
        <cfvo type="num" val="2"/>
        <cfvo type="num" val="3"/>
        <color rgb="FFF8696B"/>
        <color rgb="FFFFEB84"/>
        <color rgb="FF63BE7B"/>
      </colorScale>
    </cfRule>
  </conditionalFormatting>
  <conditionalFormatting sqref="AD12">
    <cfRule type="colorScale" priority="717">
      <colorScale>
        <cfvo type="num" val="1"/>
        <cfvo type="num" val="2"/>
        <cfvo type="num" val="3"/>
        <color rgb="FFF8696B"/>
        <color rgb="FFFFEB84"/>
        <color rgb="FF63BE7B"/>
      </colorScale>
    </cfRule>
  </conditionalFormatting>
  <conditionalFormatting sqref="AC12">
    <cfRule type="colorScale" priority="716">
      <colorScale>
        <cfvo type="num" val="1"/>
        <cfvo type="num" val="2"/>
        <cfvo type="num" val="3"/>
        <color rgb="FFF8696B"/>
        <color rgb="FFFFEB84"/>
        <color rgb="FF63BE7B"/>
      </colorScale>
    </cfRule>
  </conditionalFormatting>
  <conditionalFormatting sqref="AC12:AD12">
    <cfRule type="colorScale" priority="715">
      <colorScale>
        <cfvo type="num" val="1"/>
        <cfvo type="num" val="2"/>
        <cfvo type="num" val="3"/>
        <color rgb="FFF8696B"/>
        <color rgb="FFFFEB84"/>
        <color rgb="FF63BE7B"/>
      </colorScale>
    </cfRule>
  </conditionalFormatting>
  <conditionalFormatting sqref="O12:P12">
    <cfRule type="colorScale" priority="714">
      <colorScale>
        <cfvo type="num" val="1"/>
        <cfvo type="num" val="2"/>
        <cfvo type="num" val="3"/>
        <color rgb="FFF8696B"/>
        <color rgb="FFFFEB84"/>
        <color rgb="FF63BE7B"/>
      </colorScale>
    </cfRule>
  </conditionalFormatting>
  <conditionalFormatting sqref="O12:P12">
    <cfRule type="colorScale" priority="713">
      <colorScale>
        <cfvo type="num" val="1"/>
        <cfvo type="num" val="2"/>
        <cfvo type="num" val="3"/>
        <color rgb="FFF8696B"/>
        <color rgb="FFFFEB84"/>
        <color rgb="FF63BE7B"/>
      </colorScale>
    </cfRule>
  </conditionalFormatting>
  <conditionalFormatting sqref="O12:P12">
    <cfRule type="colorScale" priority="712">
      <colorScale>
        <cfvo type="num" val="1"/>
        <cfvo type="num" val="2"/>
        <cfvo type="num" val="3"/>
        <color rgb="FFF8696B"/>
        <color rgb="FFFFEB84"/>
        <color rgb="FF63BE7B"/>
      </colorScale>
    </cfRule>
  </conditionalFormatting>
  <conditionalFormatting sqref="O12:P12">
    <cfRule type="colorScale" priority="711">
      <colorScale>
        <cfvo type="num" val="1"/>
        <cfvo type="num" val="2"/>
        <cfvo type="num" val="3"/>
        <color rgb="FFF8696B"/>
        <color rgb="FFFFEB84"/>
        <color rgb="FF63BE7B"/>
      </colorScale>
    </cfRule>
  </conditionalFormatting>
  <conditionalFormatting sqref="O12:P12">
    <cfRule type="colorScale" priority="710">
      <colorScale>
        <cfvo type="num" val="1"/>
        <cfvo type="num" val="2"/>
        <cfvo type="num" val="3"/>
        <color rgb="FFF8696B"/>
        <color rgb="FFFFEB84"/>
        <color rgb="FF63BE7B"/>
      </colorScale>
    </cfRule>
  </conditionalFormatting>
  <conditionalFormatting sqref="AA12">
    <cfRule type="colorScale" priority="709">
      <colorScale>
        <cfvo type="num" val="1"/>
        <cfvo type="num" val="2"/>
        <cfvo type="num" val="3"/>
        <color rgb="FFF8696B"/>
        <color rgb="FFFFEB84"/>
        <color rgb="FF63BE7B"/>
      </colorScale>
    </cfRule>
  </conditionalFormatting>
  <conditionalFormatting sqref="AA12">
    <cfRule type="colorScale" priority="708">
      <colorScale>
        <cfvo type="num" val="1"/>
        <cfvo type="num" val="2"/>
        <cfvo type="num" val="3"/>
        <color rgb="FFF8696B"/>
        <color rgb="FFFFEB84"/>
        <color rgb="FF63BE7B"/>
      </colorScale>
    </cfRule>
  </conditionalFormatting>
  <conditionalFormatting sqref="AB12">
    <cfRule type="colorScale" priority="707">
      <colorScale>
        <cfvo type="num" val="1"/>
        <cfvo type="num" val="2"/>
        <cfvo type="num" val="3"/>
        <color rgb="FFF8696B"/>
        <color rgb="FFFFEB84"/>
        <color rgb="FF63BE7B"/>
      </colorScale>
    </cfRule>
  </conditionalFormatting>
  <conditionalFormatting sqref="AA12">
    <cfRule type="colorScale" priority="706">
      <colorScale>
        <cfvo type="num" val="1"/>
        <cfvo type="num" val="2"/>
        <cfvo type="num" val="3"/>
        <color rgb="FFF8696B"/>
        <color rgb="FFFFEB84"/>
        <color rgb="FF63BE7B"/>
      </colorScale>
    </cfRule>
  </conditionalFormatting>
  <conditionalFormatting sqref="AA12">
    <cfRule type="colorScale" priority="705">
      <colorScale>
        <cfvo type="num" val="1"/>
        <cfvo type="num" val="2"/>
        <cfvo type="num" val="3"/>
        <color rgb="FFF8696B"/>
        <color rgb="FFFFEB84"/>
        <color rgb="FF63BE7B"/>
      </colorScale>
    </cfRule>
  </conditionalFormatting>
  <conditionalFormatting sqref="AB12">
    <cfRule type="colorScale" priority="704">
      <colorScale>
        <cfvo type="num" val="1"/>
        <cfvo type="num" val="2"/>
        <cfvo type="num" val="3"/>
        <color rgb="FFF8696B"/>
        <color rgb="FFFFEB84"/>
        <color rgb="FF63BE7B"/>
      </colorScale>
    </cfRule>
  </conditionalFormatting>
  <conditionalFormatting sqref="AA12">
    <cfRule type="colorScale" priority="703">
      <colorScale>
        <cfvo type="num" val="1"/>
        <cfvo type="num" val="2"/>
        <cfvo type="num" val="3"/>
        <color rgb="FFF8696B"/>
        <color rgb="FFFFEB84"/>
        <color rgb="FF63BE7B"/>
      </colorScale>
    </cfRule>
  </conditionalFormatting>
  <conditionalFormatting sqref="O12:AE12">
    <cfRule type="colorScale" priority="702">
      <colorScale>
        <cfvo type="num" val="1"/>
        <cfvo type="num" val="2"/>
        <cfvo type="num" val="3"/>
        <color rgb="FFF8696B"/>
        <color rgb="FFFFEB84"/>
        <color rgb="FF63BE7B"/>
      </colorScale>
    </cfRule>
  </conditionalFormatting>
  <conditionalFormatting sqref="E12">
    <cfRule type="colorScale" priority="701">
      <colorScale>
        <cfvo type="num" val="1"/>
        <cfvo type="num" val="2"/>
        <cfvo type="num" val="3"/>
        <color rgb="FFF8696B"/>
        <color rgb="FFFFEB84"/>
        <color rgb="FF63BE7B"/>
      </colorScale>
    </cfRule>
  </conditionalFormatting>
  <conditionalFormatting sqref="P12:Q12">
    <cfRule type="colorScale" priority="700">
      <colorScale>
        <cfvo type="num" val="1"/>
        <cfvo type="num" val="2"/>
        <cfvo type="num" val="3"/>
        <color rgb="FFF8696B"/>
        <color rgb="FFFFEB84"/>
        <color rgb="FF63BE7B"/>
      </colorScale>
    </cfRule>
  </conditionalFormatting>
  <conditionalFormatting sqref="P12">
    <cfRule type="colorScale" priority="699">
      <colorScale>
        <cfvo type="num" val="1"/>
        <cfvo type="num" val="2"/>
        <cfvo type="num" val="3"/>
        <color rgb="FFF8696B"/>
        <color rgb="FFFFEB84"/>
        <color rgb="FF63BE7B"/>
      </colorScale>
    </cfRule>
  </conditionalFormatting>
  <conditionalFormatting sqref="Z12">
    <cfRule type="colorScale" priority="698">
      <colorScale>
        <cfvo type="num" val="1"/>
        <cfvo type="num" val="2"/>
        <cfvo type="num" val="3"/>
        <color rgb="FFF8696B"/>
        <color rgb="FFFFEB84"/>
        <color rgb="FF63BE7B"/>
      </colorScale>
    </cfRule>
  </conditionalFormatting>
  <conditionalFormatting sqref="Z12:AA12">
    <cfRule type="colorScale" priority="697">
      <colorScale>
        <cfvo type="num" val="1"/>
        <cfvo type="num" val="2"/>
        <cfvo type="num" val="3"/>
        <color rgb="FFF8696B"/>
        <color rgb="FFFFEB84"/>
        <color rgb="FF63BE7B"/>
      </colorScale>
    </cfRule>
  </conditionalFormatting>
  <conditionalFormatting sqref="AA12">
    <cfRule type="colorScale" priority="696">
      <colorScale>
        <cfvo type="num" val="1"/>
        <cfvo type="num" val="2"/>
        <cfvo type="num" val="3"/>
        <color rgb="FFF8696B"/>
        <color rgb="FFFFEB84"/>
        <color rgb="FF63BE7B"/>
      </colorScale>
    </cfRule>
  </conditionalFormatting>
  <conditionalFormatting sqref="Z12">
    <cfRule type="colorScale" priority="695">
      <colorScale>
        <cfvo type="num" val="1"/>
        <cfvo type="num" val="2"/>
        <cfvo type="num" val="3"/>
        <color rgb="FFF8696B"/>
        <color rgb="FFFFEB84"/>
        <color rgb="FF63BE7B"/>
      </colorScale>
    </cfRule>
  </conditionalFormatting>
  <conditionalFormatting sqref="AE12">
    <cfRule type="colorScale" priority="694">
      <colorScale>
        <cfvo type="num" val="1"/>
        <cfvo type="num" val="2"/>
        <cfvo type="num" val="3"/>
        <color rgb="FFF8696B"/>
        <color rgb="FFFFEB84"/>
        <color rgb="FF63BE7B"/>
      </colorScale>
    </cfRule>
  </conditionalFormatting>
  <conditionalFormatting sqref="AE12">
    <cfRule type="colorScale" priority="693">
      <colorScale>
        <cfvo type="num" val="1"/>
        <cfvo type="num" val="2"/>
        <cfvo type="num" val="3"/>
        <color rgb="FFF8696B"/>
        <color rgb="FFFFEB84"/>
        <color rgb="FF63BE7B"/>
      </colorScale>
    </cfRule>
  </conditionalFormatting>
  <conditionalFormatting sqref="AE12">
    <cfRule type="colorScale" priority="692">
      <colorScale>
        <cfvo type="num" val="1"/>
        <cfvo type="num" val="2"/>
        <cfvo type="num" val="3"/>
        <color rgb="FFF8696B"/>
        <color rgb="FFFFEB84"/>
        <color rgb="FF63BE7B"/>
      </colorScale>
    </cfRule>
  </conditionalFormatting>
  <conditionalFormatting sqref="Q12">
    <cfRule type="colorScale" priority="691">
      <colorScale>
        <cfvo type="num" val="1"/>
        <cfvo type="num" val="2"/>
        <cfvo type="num" val="3"/>
        <color rgb="FFF8696B"/>
        <color rgb="FFFFEB84"/>
        <color rgb="FF63BE7B"/>
      </colorScale>
    </cfRule>
  </conditionalFormatting>
  <conditionalFormatting sqref="O12:P12">
    <cfRule type="colorScale" priority="690">
      <colorScale>
        <cfvo type="num" val="1"/>
        <cfvo type="num" val="2"/>
        <cfvo type="num" val="3"/>
        <color rgb="FFF8696B"/>
        <color rgb="FFFFEB84"/>
        <color rgb="FF63BE7B"/>
      </colorScale>
    </cfRule>
  </conditionalFormatting>
  <conditionalFormatting sqref="Q12">
    <cfRule type="colorScale" priority="689">
      <colorScale>
        <cfvo type="num" val="1"/>
        <cfvo type="num" val="2"/>
        <cfvo type="num" val="3"/>
        <color rgb="FFF8696B"/>
        <color rgb="FFFFEB84"/>
        <color rgb="FF63BE7B"/>
      </colorScale>
    </cfRule>
  </conditionalFormatting>
  <conditionalFormatting sqref="Q12">
    <cfRule type="colorScale" priority="688">
      <colorScale>
        <cfvo type="num" val="1"/>
        <cfvo type="num" val="2"/>
        <cfvo type="num" val="3"/>
        <color rgb="FFF8696B"/>
        <color rgb="FFFFEB84"/>
        <color rgb="FF63BE7B"/>
      </colorScale>
    </cfRule>
  </conditionalFormatting>
  <conditionalFormatting sqref="Y12">
    <cfRule type="colorScale" priority="687">
      <colorScale>
        <cfvo type="num" val="1"/>
        <cfvo type="num" val="2"/>
        <cfvo type="num" val="3"/>
        <color rgb="FFF8696B"/>
        <color rgb="FFFFEB84"/>
        <color rgb="FF63BE7B"/>
      </colorScale>
    </cfRule>
  </conditionalFormatting>
  <conditionalFormatting sqref="Y12">
    <cfRule type="colorScale" priority="686">
      <colorScale>
        <cfvo type="num" val="1"/>
        <cfvo type="num" val="2"/>
        <cfvo type="num" val="3"/>
        <color rgb="FFF8696B"/>
        <color rgb="FFFFEB84"/>
        <color rgb="FF63BE7B"/>
      </colorScale>
    </cfRule>
  </conditionalFormatting>
  <conditionalFormatting sqref="Y12">
    <cfRule type="colorScale" priority="685">
      <colorScale>
        <cfvo type="num" val="1"/>
        <cfvo type="num" val="2"/>
        <cfvo type="num" val="3"/>
        <color rgb="FFF8696B"/>
        <color rgb="FFFFEB84"/>
        <color rgb="FF63BE7B"/>
      </colorScale>
    </cfRule>
  </conditionalFormatting>
  <conditionalFormatting sqref="AC12">
    <cfRule type="colorScale" priority="684">
      <colorScale>
        <cfvo type="num" val="1"/>
        <cfvo type="num" val="2"/>
        <cfvo type="num" val="3"/>
        <color rgb="FFF8696B"/>
        <color rgb="FFFFEB84"/>
        <color rgb="FF63BE7B"/>
      </colorScale>
    </cfRule>
  </conditionalFormatting>
  <conditionalFormatting sqref="AA12:AB12">
    <cfRule type="colorScale" priority="683">
      <colorScale>
        <cfvo type="num" val="1"/>
        <cfvo type="num" val="2"/>
        <cfvo type="num" val="3"/>
        <color rgb="FFF8696B"/>
        <color rgb="FFFFEB84"/>
        <color rgb="FF63BE7B"/>
      </colorScale>
    </cfRule>
  </conditionalFormatting>
  <conditionalFormatting sqref="AC12">
    <cfRule type="colorScale" priority="682">
      <colorScale>
        <cfvo type="num" val="1"/>
        <cfvo type="num" val="2"/>
        <cfvo type="num" val="3"/>
        <color rgb="FFF8696B"/>
        <color rgb="FFFFEB84"/>
        <color rgb="FF63BE7B"/>
      </colorScale>
    </cfRule>
  </conditionalFormatting>
  <conditionalFormatting sqref="AC12">
    <cfRule type="colorScale" priority="681">
      <colorScale>
        <cfvo type="num" val="1"/>
        <cfvo type="num" val="2"/>
        <cfvo type="num" val="3"/>
        <color rgb="FFF8696B"/>
        <color rgb="FFFFEB84"/>
        <color rgb="FF63BE7B"/>
      </colorScale>
    </cfRule>
  </conditionalFormatting>
  <conditionalFormatting sqref="Y12:Z12">
    <cfRule type="colorScale" priority="680">
      <colorScale>
        <cfvo type="num" val="1"/>
        <cfvo type="num" val="2"/>
        <cfvo type="num" val="3"/>
        <color rgb="FFF8696B"/>
        <color rgb="FFFFEB84"/>
        <color rgb="FF63BE7B"/>
      </colorScale>
    </cfRule>
  </conditionalFormatting>
  <conditionalFormatting sqref="Y12">
    <cfRule type="colorScale" priority="679">
      <colorScale>
        <cfvo type="num" val="1"/>
        <cfvo type="num" val="2"/>
        <cfvo type="num" val="3"/>
        <color rgb="FFF8696B"/>
        <color rgb="FFFFEB84"/>
        <color rgb="FF63BE7B"/>
      </colorScale>
    </cfRule>
  </conditionalFormatting>
  <conditionalFormatting sqref="Y12">
    <cfRule type="colorScale" priority="678">
      <colorScale>
        <cfvo type="num" val="1"/>
        <cfvo type="num" val="2"/>
        <cfvo type="num" val="3"/>
        <color rgb="FFF8696B"/>
        <color rgb="FFFFEB84"/>
        <color rgb="FF63BE7B"/>
      </colorScale>
    </cfRule>
  </conditionalFormatting>
  <conditionalFormatting sqref="L12">
    <cfRule type="colorScale" priority="677">
      <colorScale>
        <cfvo type="num" val="1"/>
        <cfvo type="num" val="2"/>
        <cfvo type="num" val="3"/>
        <color rgb="FFF8696B"/>
        <color rgb="FFFFEB84"/>
        <color rgb="FF63BE7B"/>
      </colorScale>
    </cfRule>
  </conditionalFormatting>
  <conditionalFormatting sqref="L12">
    <cfRule type="colorScale" priority="676">
      <colorScale>
        <cfvo type="num" val="1"/>
        <cfvo type="num" val="2"/>
        <cfvo type="num" val="3"/>
        <color rgb="FFF8696B"/>
        <color rgb="FFFFEB84"/>
        <color rgb="FF63BE7B"/>
      </colorScale>
    </cfRule>
  </conditionalFormatting>
  <conditionalFormatting sqref="P12">
    <cfRule type="colorScale" priority="675">
      <colorScale>
        <cfvo type="num" val="1"/>
        <cfvo type="num" val="2"/>
        <cfvo type="num" val="3"/>
        <color rgb="FFF8696B"/>
        <color rgb="FFFFEB84"/>
        <color rgb="FF63BE7B"/>
      </colorScale>
    </cfRule>
  </conditionalFormatting>
  <conditionalFormatting sqref="O12">
    <cfRule type="colorScale" priority="674">
      <colorScale>
        <cfvo type="num" val="1"/>
        <cfvo type="num" val="2"/>
        <cfvo type="num" val="3"/>
        <color rgb="FFF8696B"/>
        <color rgb="FFFFEB84"/>
        <color rgb="FF63BE7B"/>
      </colorScale>
    </cfRule>
  </conditionalFormatting>
  <conditionalFormatting sqref="P12">
    <cfRule type="colorScale" priority="673">
      <colorScale>
        <cfvo type="num" val="1"/>
        <cfvo type="num" val="2"/>
        <cfvo type="num" val="3"/>
        <color rgb="FFF8696B"/>
        <color rgb="FFFFEB84"/>
        <color rgb="FF63BE7B"/>
      </colorScale>
    </cfRule>
  </conditionalFormatting>
  <conditionalFormatting sqref="P12">
    <cfRule type="colorScale" priority="672">
      <colorScale>
        <cfvo type="num" val="1"/>
        <cfvo type="num" val="2"/>
        <cfvo type="num" val="3"/>
        <color rgb="FFF8696B"/>
        <color rgb="FFFFEB84"/>
        <color rgb="FF63BE7B"/>
      </colorScale>
    </cfRule>
  </conditionalFormatting>
  <conditionalFormatting sqref="O12">
    <cfRule type="colorScale" priority="671">
      <colorScale>
        <cfvo type="num" val="1"/>
        <cfvo type="num" val="2"/>
        <cfvo type="num" val="3"/>
        <color rgb="FFF8696B"/>
        <color rgb="FFFFEB84"/>
        <color rgb="FF63BE7B"/>
      </colorScale>
    </cfRule>
  </conditionalFormatting>
  <conditionalFormatting sqref="R12">
    <cfRule type="colorScale" priority="670">
      <colorScale>
        <cfvo type="num" val="1"/>
        <cfvo type="num" val="2"/>
        <cfvo type="num" val="3"/>
        <color rgb="FFF8696B"/>
        <color rgb="FFFFEB84"/>
        <color rgb="FF63BE7B"/>
      </colorScale>
    </cfRule>
  </conditionalFormatting>
  <conditionalFormatting sqref="Q12">
    <cfRule type="colorScale" priority="669">
      <colorScale>
        <cfvo type="num" val="1"/>
        <cfvo type="num" val="2"/>
        <cfvo type="num" val="3"/>
        <color rgb="FFF8696B"/>
        <color rgb="FFFFEB84"/>
        <color rgb="FF63BE7B"/>
      </colorScale>
    </cfRule>
  </conditionalFormatting>
  <conditionalFormatting sqref="R12">
    <cfRule type="colorScale" priority="668">
      <colorScale>
        <cfvo type="num" val="1"/>
        <cfvo type="num" val="2"/>
        <cfvo type="num" val="3"/>
        <color rgb="FFF8696B"/>
        <color rgb="FFFFEB84"/>
        <color rgb="FF63BE7B"/>
      </colorScale>
    </cfRule>
  </conditionalFormatting>
  <conditionalFormatting sqref="R12">
    <cfRule type="colorScale" priority="667">
      <colorScale>
        <cfvo type="num" val="1"/>
        <cfvo type="num" val="2"/>
        <cfvo type="num" val="3"/>
        <color rgb="FFF8696B"/>
        <color rgb="FFFFEB84"/>
        <color rgb="FF63BE7B"/>
      </colorScale>
    </cfRule>
  </conditionalFormatting>
  <conditionalFormatting sqref="Q12">
    <cfRule type="colorScale" priority="666">
      <colorScale>
        <cfvo type="num" val="1"/>
        <cfvo type="num" val="2"/>
        <cfvo type="num" val="3"/>
        <color rgb="FFF8696B"/>
        <color rgb="FFFFEB84"/>
        <color rgb="FF63BE7B"/>
      </colorScale>
    </cfRule>
  </conditionalFormatting>
  <conditionalFormatting sqref="T12">
    <cfRule type="colorScale" priority="665">
      <colorScale>
        <cfvo type="num" val="1"/>
        <cfvo type="num" val="2"/>
        <cfvo type="num" val="3"/>
        <color rgb="FFF8696B"/>
        <color rgb="FFFFEB84"/>
        <color rgb="FF63BE7B"/>
      </colorScale>
    </cfRule>
  </conditionalFormatting>
  <conditionalFormatting sqref="S12">
    <cfRule type="colorScale" priority="664">
      <colorScale>
        <cfvo type="num" val="1"/>
        <cfvo type="num" val="2"/>
        <cfvo type="num" val="3"/>
        <color rgb="FFF8696B"/>
        <color rgb="FFFFEB84"/>
        <color rgb="FF63BE7B"/>
      </colorScale>
    </cfRule>
  </conditionalFormatting>
  <conditionalFormatting sqref="T12">
    <cfRule type="colorScale" priority="663">
      <colorScale>
        <cfvo type="num" val="1"/>
        <cfvo type="num" val="2"/>
        <cfvo type="num" val="3"/>
        <color rgb="FFF8696B"/>
        <color rgb="FFFFEB84"/>
        <color rgb="FF63BE7B"/>
      </colorScale>
    </cfRule>
  </conditionalFormatting>
  <conditionalFormatting sqref="T12">
    <cfRule type="colorScale" priority="662">
      <colorScale>
        <cfvo type="num" val="1"/>
        <cfvo type="num" val="2"/>
        <cfvo type="num" val="3"/>
        <color rgb="FFF8696B"/>
        <color rgb="FFFFEB84"/>
        <color rgb="FF63BE7B"/>
      </colorScale>
    </cfRule>
  </conditionalFormatting>
  <conditionalFormatting sqref="S12">
    <cfRule type="colorScale" priority="661">
      <colorScale>
        <cfvo type="num" val="1"/>
        <cfvo type="num" val="2"/>
        <cfvo type="num" val="3"/>
        <color rgb="FFF8696B"/>
        <color rgb="FFFFEB84"/>
        <color rgb="FF63BE7B"/>
      </colorScale>
    </cfRule>
  </conditionalFormatting>
  <conditionalFormatting sqref="V12">
    <cfRule type="colorScale" priority="660">
      <colorScale>
        <cfvo type="num" val="1"/>
        <cfvo type="num" val="2"/>
        <cfvo type="num" val="3"/>
        <color rgb="FFF8696B"/>
        <color rgb="FFFFEB84"/>
        <color rgb="FF63BE7B"/>
      </colorScale>
    </cfRule>
  </conditionalFormatting>
  <conditionalFormatting sqref="U12">
    <cfRule type="colorScale" priority="659">
      <colorScale>
        <cfvo type="num" val="1"/>
        <cfvo type="num" val="2"/>
        <cfvo type="num" val="3"/>
        <color rgb="FFF8696B"/>
        <color rgb="FFFFEB84"/>
        <color rgb="FF63BE7B"/>
      </colorScale>
    </cfRule>
  </conditionalFormatting>
  <conditionalFormatting sqref="V12">
    <cfRule type="colorScale" priority="658">
      <colorScale>
        <cfvo type="num" val="1"/>
        <cfvo type="num" val="2"/>
        <cfvo type="num" val="3"/>
        <color rgb="FFF8696B"/>
        <color rgb="FFFFEB84"/>
        <color rgb="FF63BE7B"/>
      </colorScale>
    </cfRule>
  </conditionalFormatting>
  <conditionalFormatting sqref="V12">
    <cfRule type="colorScale" priority="657">
      <colorScale>
        <cfvo type="num" val="1"/>
        <cfvo type="num" val="2"/>
        <cfvo type="num" val="3"/>
        <color rgb="FFF8696B"/>
        <color rgb="FFFFEB84"/>
        <color rgb="FF63BE7B"/>
      </colorScale>
    </cfRule>
  </conditionalFormatting>
  <conditionalFormatting sqref="U12">
    <cfRule type="colorScale" priority="656">
      <colorScale>
        <cfvo type="num" val="1"/>
        <cfvo type="num" val="2"/>
        <cfvo type="num" val="3"/>
        <color rgb="FFF8696B"/>
        <color rgb="FFFFEB84"/>
        <color rgb="FF63BE7B"/>
      </colorScale>
    </cfRule>
  </conditionalFormatting>
  <conditionalFormatting sqref="X12">
    <cfRule type="colorScale" priority="655">
      <colorScale>
        <cfvo type="num" val="1"/>
        <cfvo type="num" val="2"/>
        <cfvo type="num" val="3"/>
        <color rgb="FFF8696B"/>
        <color rgb="FFFFEB84"/>
        <color rgb="FF63BE7B"/>
      </colorScale>
    </cfRule>
  </conditionalFormatting>
  <conditionalFormatting sqref="W12">
    <cfRule type="colorScale" priority="654">
      <colorScale>
        <cfvo type="num" val="1"/>
        <cfvo type="num" val="2"/>
        <cfvo type="num" val="3"/>
        <color rgb="FFF8696B"/>
        <color rgb="FFFFEB84"/>
        <color rgb="FF63BE7B"/>
      </colorScale>
    </cfRule>
  </conditionalFormatting>
  <conditionalFormatting sqref="X12">
    <cfRule type="colorScale" priority="653">
      <colorScale>
        <cfvo type="num" val="1"/>
        <cfvo type="num" val="2"/>
        <cfvo type="num" val="3"/>
        <color rgb="FFF8696B"/>
        <color rgb="FFFFEB84"/>
        <color rgb="FF63BE7B"/>
      </colorScale>
    </cfRule>
  </conditionalFormatting>
  <conditionalFormatting sqref="X12">
    <cfRule type="colorScale" priority="652">
      <colorScale>
        <cfvo type="num" val="1"/>
        <cfvo type="num" val="2"/>
        <cfvo type="num" val="3"/>
        <color rgb="FFF8696B"/>
        <color rgb="FFFFEB84"/>
        <color rgb="FF63BE7B"/>
      </colorScale>
    </cfRule>
  </conditionalFormatting>
  <conditionalFormatting sqref="W12">
    <cfRule type="colorScale" priority="651">
      <colorScale>
        <cfvo type="num" val="1"/>
        <cfvo type="num" val="2"/>
        <cfvo type="num" val="3"/>
        <color rgb="FFF8696B"/>
        <color rgb="FFFFEB84"/>
        <color rgb="FF63BE7B"/>
      </colorScale>
    </cfRule>
  </conditionalFormatting>
  <conditionalFormatting sqref="Z12">
    <cfRule type="colorScale" priority="650">
      <colorScale>
        <cfvo type="num" val="1"/>
        <cfvo type="num" val="2"/>
        <cfvo type="num" val="3"/>
        <color rgb="FFF8696B"/>
        <color rgb="FFFFEB84"/>
        <color rgb="FF63BE7B"/>
      </colorScale>
    </cfRule>
  </conditionalFormatting>
  <conditionalFormatting sqref="Y12">
    <cfRule type="colorScale" priority="649">
      <colorScale>
        <cfvo type="num" val="1"/>
        <cfvo type="num" val="2"/>
        <cfvo type="num" val="3"/>
        <color rgb="FFF8696B"/>
        <color rgb="FFFFEB84"/>
        <color rgb="FF63BE7B"/>
      </colorScale>
    </cfRule>
  </conditionalFormatting>
  <conditionalFormatting sqref="Z12">
    <cfRule type="colorScale" priority="648">
      <colorScale>
        <cfvo type="num" val="1"/>
        <cfvo type="num" val="2"/>
        <cfvo type="num" val="3"/>
        <color rgb="FFF8696B"/>
        <color rgb="FFFFEB84"/>
        <color rgb="FF63BE7B"/>
      </colorScale>
    </cfRule>
  </conditionalFormatting>
  <conditionalFormatting sqref="Z12">
    <cfRule type="colorScale" priority="647">
      <colorScale>
        <cfvo type="num" val="1"/>
        <cfvo type="num" val="2"/>
        <cfvo type="num" val="3"/>
        <color rgb="FFF8696B"/>
        <color rgb="FFFFEB84"/>
        <color rgb="FF63BE7B"/>
      </colorScale>
    </cfRule>
  </conditionalFormatting>
  <conditionalFormatting sqref="Y12">
    <cfRule type="colorScale" priority="646">
      <colorScale>
        <cfvo type="num" val="1"/>
        <cfvo type="num" val="2"/>
        <cfvo type="num" val="3"/>
        <color rgb="FFF8696B"/>
        <color rgb="FFFFEB84"/>
        <color rgb="FF63BE7B"/>
      </colorScale>
    </cfRule>
  </conditionalFormatting>
  <conditionalFormatting sqref="AB12">
    <cfRule type="colorScale" priority="645">
      <colorScale>
        <cfvo type="num" val="1"/>
        <cfvo type="num" val="2"/>
        <cfvo type="num" val="3"/>
        <color rgb="FFF8696B"/>
        <color rgb="FFFFEB84"/>
        <color rgb="FF63BE7B"/>
      </colorScale>
    </cfRule>
  </conditionalFormatting>
  <conditionalFormatting sqref="AA12">
    <cfRule type="colorScale" priority="644">
      <colorScale>
        <cfvo type="num" val="1"/>
        <cfvo type="num" val="2"/>
        <cfvo type="num" val="3"/>
        <color rgb="FFF8696B"/>
        <color rgb="FFFFEB84"/>
        <color rgb="FF63BE7B"/>
      </colorScale>
    </cfRule>
  </conditionalFormatting>
  <conditionalFormatting sqref="AB12">
    <cfRule type="colorScale" priority="643">
      <colorScale>
        <cfvo type="num" val="1"/>
        <cfvo type="num" val="2"/>
        <cfvo type="num" val="3"/>
        <color rgb="FFF8696B"/>
        <color rgb="FFFFEB84"/>
        <color rgb="FF63BE7B"/>
      </colorScale>
    </cfRule>
  </conditionalFormatting>
  <conditionalFormatting sqref="AB12">
    <cfRule type="colorScale" priority="642">
      <colorScale>
        <cfvo type="num" val="1"/>
        <cfvo type="num" val="2"/>
        <cfvo type="num" val="3"/>
        <color rgb="FFF8696B"/>
        <color rgb="FFFFEB84"/>
        <color rgb="FF63BE7B"/>
      </colorScale>
    </cfRule>
  </conditionalFormatting>
  <conditionalFormatting sqref="AA12">
    <cfRule type="colorScale" priority="641">
      <colorScale>
        <cfvo type="num" val="1"/>
        <cfvo type="num" val="2"/>
        <cfvo type="num" val="3"/>
        <color rgb="FFF8696B"/>
        <color rgb="FFFFEB84"/>
        <color rgb="FF63BE7B"/>
      </colorScale>
    </cfRule>
  </conditionalFormatting>
  <conditionalFormatting sqref="AD12">
    <cfRule type="colorScale" priority="640">
      <colorScale>
        <cfvo type="num" val="1"/>
        <cfvo type="num" val="2"/>
        <cfvo type="num" val="3"/>
        <color rgb="FFF8696B"/>
        <color rgb="FFFFEB84"/>
        <color rgb="FF63BE7B"/>
      </colorScale>
    </cfRule>
  </conditionalFormatting>
  <conditionalFormatting sqref="AC12">
    <cfRule type="colorScale" priority="639">
      <colorScale>
        <cfvo type="num" val="1"/>
        <cfvo type="num" val="2"/>
        <cfvo type="num" val="3"/>
        <color rgb="FFF8696B"/>
        <color rgb="FFFFEB84"/>
        <color rgb="FF63BE7B"/>
      </colorScale>
    </cfRule>
  </conditionalFormatting>
  <conditionalFormatting sqref="AD12">
    <cfRule type="colorScale" priority="638">
      <colorScale>
        <cfvo type="num" val="1"/>
        <cfvo type="num" val="2"/>
        <cfvo type="num" val="3"/>
        <color rgb="FFF8696B"/>
        <color rgb="FFFFEB84"/>
        <color rgb="FF63BE7B"/>
      </colorScale>
    </cfRule>
  </conditionalFormatting>
  <conditionalFormatting sqref="AD12">
    <cfRule type="colorScale" priority="637">
      <colorScale>
        <cfvo type="num" val="1"/>
        <cfvo type="num" val="2"/>
        <cfvo type="num" val="3"/>
        <color rgb="FFF8696B"/>
        <color rgb="FFFFEB84"/>
        <color rgb="FF63BE7B"/>
      </colorScale>
    </cfRule>
  </conditionalFormatting>
  <conditionalFormatting sqref="AC12">
    <cfRule type="colorScale" priority="636">
      <colorScale>
        <cfvo type="num" val="1"/>
        <cfvo type="num" val="2"/>
        <cfvo type="num" val="3"/>
        <color rgb="FFF8696B"/>
        <color rgb="FFFFEB84"/>
        <color rgb="FF63BE7B"/>
      </colorScale>
    </cfRule>
  </conditionalFormatting>
  <conditionalFormatting sqref="AE12">
    <cfRule type="colorScale" priority="635">
      <colorScale>
        <cfvo type="num" val="1"/>
        <cfvo type="num" val="2"/>
        <cfvo type="num" val="3"/>
        <color rgb="FFF8696B"/>
        <color rgb="FFFFEB84"/>
        <color rgb="FF63BE7B"/>
      </colorScale>
    </cfRule>
  </conditionalFormatting>
  <conditionalFormatting sqref="AE12">
    <cfRule type="colorScale" priority="634">
      <colorScale>
        <cfvo type="num" val="1"/>
        <cfvo type="num" val="2"/>
        <cfvo type="num" val="3"/>
        <color rgb="FFF8696B"/>
        <color rgb="FFFFEB84"/>
        <color rgb="FF63BE7B"/>
      </colorScale>
    </cfRule>
  </conditionalFormatting>
  <conditionalFormatting sqref="I7">
    <cfRule type="colorScale" priority="633">
      <colorScale>
        <cfvo type="num" val="1"/>
        <cfvo type="num" val="2"/>
        <cfvo type="num" val="3"/>
        <color rgb="FFF8696B"/>
        <color rgb="FFFFEB84"/>
        <color rgb="FF63BE7B"/>
      </colorScale>
    </cfRule>
  </conditionalFormatting>
  <conditionalFormatting sqref="I9">
    <cfRule type="colorScale" priority="632">
      <colorScale>
        <cfvo type="num" val="1"/>
        <cfvo type="num" val="2"/>
        <cfvo type="num" val="3"/>
        <color rgb="FFF8696B"/>
        <color rgb="FFFFEB84"/>
        <color rgb="FF63BE7B"/>
      </colorScale>
    </cfRule>
  </conditionalFormatting>
  <conditionalFormatting sqref="K9">
    <cfRule type="colorScale" priority="631">
      <colorScale>
        <cfvo type="num" val="1"/>
        <cfvo type="num" val="2"/>
        <cfvo type="num" val="3"/>
        <color rgb="FFF8696B"/>
        <color rgb="FFFFEB84"/>
        <color rgb="FF63BE7B"/>
      </colorScale>
    </cfRule>
  </conditionalFormatting>
  <conditionalFormatting sqref="M9">
    <cfRule type="colorScale" priority="630">
      <colorScale>
        <cfvo type="num" val="1"/>
        <cfvo type="num" val="2"/>
        <cfvo type="num" val="3"/>
        <color rgb="FFF8696B"/>
        <color rgb="FFFFEB84"/>
        <color rgb="FF63BE7B"/>
      </colorScale>
    </cfRule>
  </conditionalFormatting>
  <conditionalFormatting sqref="O9">
    <cfRule type="colorScale" priority="629">
      <colorScale>
        <cfvo type="num" val="1"/>
        <cfvo type="num" val="2"/>
        <cfvo type="num" val="3"/>
        <color rgb="FFF8696B"/>
        <color rgb="FFFFEB84"/>
        <color rgb="FF63BE7B"/>
      </colorScale>
    </cfRule>
  </conditionalFormatting>
  <conditionalFormatting sqref="Q9">
    <cfRule type="colorScale" priority="628">
      <colorScale>
        <cfvo type="num" val="1"/>
        <cfvo type="num" val="2"/>
        <cfvo type="num" val="3"/>
        <color rgb="FFF8696B"/>
        <color rgb="FFFFEB84"/>
        <color rgb="FF63BE7B"/>
      </colorScale>
    </cfRule>
  </conditionalFormatting>
  <conditionalFormatting sqref="S9">
    <cfRule type="colorScale" priority="627">
      <colorScale>
        <cfvo type="num" val="1"/>
        <cfvo type="num" val="2"/>
        <cfvo type="num" val="3"/>
        <color rgb="FFF8696B"/>
        <color rgb="FFFFEB84"/>
        <color rgb="FF63BE7B"/>
      </colorScale>
    </cfRule>
  </conditionalFormatting>
  <conditionalFormatting sqref="U9">
    <cfRule type="colorScale" priority="626">
      <colorScale>
        <cfvo type="num" val="1"/>
        <cfvo type="num" val="2"/>
        <cfvo type="num" val="3"/>
        <color rgb="FFF8696B"/>
        <color rgb="FFFFEB84"/>
        <color rgb="FF63BE7B"/>
      </colorScale>
    </cfRule>
  </conditionalFormatting>
  <conditionalFormatting sqref="W9">
    <cfRule type="colorScale" priority="625">
      <colorScale>
        <cfvo type="num" val="1"/>
        <cfvo type="num" val="2"/>
        <cfvo type="num" val="3"/>
        <color rgb="FFF8696B"/>
        <color rgb="FFFFEB84"/>
        <color rgb="FF63BE7B"/>
      </colorScale>
    </cfRule>
  </conditionalFormatting>
  <conditionalFormatting sqref="Y9">
    <cfRule type="colorScale" priority="624">
      <colorScale>
        <cfvo type="num" val="1"/>
        <cfvo type="num" val="2"/>
        <cfvo type="num" val="3"/>
        <color rgb="FFF8696B"/>
        <color rgb="FFFFEB84"/>
        <color rgb="FF63BE7B"/>
      </colorScale>
    </cfRule>
  </conditionalFormatting>
  <conditionalFormatting sqref="AA9">
    <cfRule type="colorScale" priority="623">
      <colorScale>
        <cfvo type="num" val="1"/>
        <cfvo type="num" val="2"/>
        <cfvo type="num" val="3"/>
        <color rgb="FFF8696B"/>
        <color rgb="FFFFEB84"/>
        <color rgb="FF63BE7B"/>
      </colorScale>
    </cfRule>
  </conditionalFormatting>
  <conditionalFormatting sqref="AC9">
    <cfRule type="colorScale" priority="622">
      <colorScale>
        <cfvo type="num" val="1"/>
        <cfvo type="num" val="2"/>
        <cfvo type="num" val="3"/>
        <color rgb="FFF8696B"/>
        <color rgb="FFFFEB84"/>
        <color rgb="FF63BE7B"/>
      </colorScale>
    </cfRule>
  </conditionalFormatting>
  <conditionalFormatting sqref="AE9">
    <cfRule type="colorScale" priority="621">
      <colorScale>
        <cfvo type="num" val="1"/>
        <cfvo type="num" val="2"/>
        <cfvo type="num" val="3"/>
        <color rgb="FFF8696B"/>
        <color rgb="FFFFEB84"/>
        <color rgb="FF63BE7B"/>
      </colorScale>
    </cfRule>
  </conditionalFormatting>
  <conditionalFormatting sqref="J15 J13">
    <cfRule type="colorScale" priority="620">
      <colorScale>
        <cfvo type="num" val="1"/>
        <cfvo type="num" val="2"/>
        <cfvo type="num" val="3"/>
        <color rgb="FFF8696B"/>
        <color rgb="FFFFEB84"/>
        <color rgb="FF63BE7B"/>
      </colorScale>
    </cfRule>
  </conditionalFormatting>
  <conditionalFormatting sqref="N4">
    <cfRule type="colorScale" priority="619">
      <colorScale>
        <cfvo type="num" val="1"/>
        <cfvo type="num" val="2"/>
        <cfvo type="num" val="3"/>
        <color rgb="FFF8696B"/>
        <color rgb="FFFFEB84"/>
        <color rgb="FF63BE7B"/>
      </colorScale>
    </cfRule>
  </conditionalFormatting>
  <conditionalFormatting sqref="N4">
    <cfRule type="colorScale" priority="618">
      <colorScale>
        <cfvo type="num" val="1"/>
        <cfvo type="num" val="2"/>
        <cfvo type="num" val="3"/>
        <color rgb="FFF8696B"/>
        <color rgb="FFFFEB84"/>
        <color rgb="FF63BE7B"/>
      </colorScale>
    </cfRule>
  </conditionalFormatting>
  <conditionalFormatting sqref="O4">
    <cfRule type="colorScale" priority="617">
      <colorScale>
        <cfvo type="num" val="1"/>
        <cfvo type="num" val="2"/>
        <cfvo type="num" val="3"/>
        <color rgb="FFF8696B"/>
        <color rgb="FFFFEB84"/>
        <color rgb="FF63BE7B"/>
      </colorScale>
    </cfRule>
  </conditionalFormatting>
  <conditionalFormatting sqref="N4">
    <cfRule type="colorScale" priority="616">
      <colorScale>
        <cfvo type="num" val="1"/>
        <cfvo type="num" val="2"/>
        <cfvo type="num" val="3"/>
        <color rgb="FFF8696B"/>
        <color rgb="FFFFEB84"/>
        <color rgb="FF63BE7B"/>
      </colorScale>
    </cfRule>
  </conditionalFormatting>
  <conditionalFormatting sqref="O4">
    <cfRule type="colorScale" priority="615">
      <colorScale>
        <cfvo type="num" val="1"/>
        <cfvo type="num" val="2"/>
        <cfvo type="num" val="3"/>
        <color rgb="FFF8696B"/>
        <color rgb="FFFFEB84"/>
        <color rgb="FF63BE7B"/>
      </colorScale>
    </cfRule>
  </conditionalFormatting>
  <conditionalFormatting sqref="N4">
    <cfRule type="colorScale" priority="614">
      <colorScale>
        <cfvo type="num" val="1"/>
        <cfvo type="num" val="2"/>
        <cfvo type="num" val="3"/>
        <color rgb="FFF8696B"/>
        <color rgb="FFFFEB84"/>
        <color rgb="FF63BE7B"/>
      </colorScale>
    </cfRule>
  </conditionalFormatting>
  <conditionalFormatting sqref="O4">
    <cfRule type="colorScale" priority="613">
      <colorScale>
        <cfvo type="num" val="1"/>
        <cfvo type="num" val="2"/>
        <cfvo type="num" val="3"/>
        <color rgb="FFF8696B"/>
        <color rgb="FFFFEB84"/>
        <color rgb="FF63BE7B"/>
      </colorScale>
    </cfRule>
  </conditionalFormatting>
  <conditionalFormatting sqref="O4">
    <cfRule type="colorScale" priority="612">
      <colorScale>
        <cfvo type="num" val="1"/>
        <cfvo type="num" val="2"/>
        <cfvo type="num" val="3"/>
        <color rgb="FFF8696B"/>
        <color rgb="FFFFEB84"/>
        <color rgb="FF63BE7B"/>
      </colorScale>
    </cfRule>
  </conditionalFormatting>
  <conditionalFormatting sqref="O4">
    <cfRule type="colorScale" priority="611">
      <colorScale>
        <cfvo type="num" val="1"/>
        <cfvo type="num" val="2"/>
        <cfvo type="num" val="3"/>
        <color rgb="FFF8696B"/>
        <color rgb="FFFFEB84"/>
        <color rgb="FF63BE7B"/>
      </colorScale>
    </cfRule>
  </conditionalFormatting>
  <conditionalFormatting sqref="O4">
    <cfRule type="colorScale" priority="610">
      <colorScale>
        <cfvo type="num" val="1"/>
        <cfvo type="num" val="2"/>
        <cfvo type="num" val="3"/>
        <color rgb="FFF8696B"/>
        <color rgb="FFFFEB84"/>
        <color rgb="FF63BE7B"/>
      </colorScale>
    </cfRule>
  </conditionalFormatting>
  <conditionalFormatting sqref="O4">
    <cfRule type="colorScale" priority="609">
      <colorScale>
        <cfvo type="num" val="1"/>
        <cfvo type="num" val="2"/>
        <cfvo type="num" val="3"/>
        <color rgb="FFF8696B"/>
        <color rgb="FFFFEB84"/>
        <color rgb="FF63BE7B"/>
      </colorScale>
    </cfRule>
  </conditionalFormatting>
  <conditionalFormatting sqref="O4">
    <cfRule type="colorScale" priority="608">
      <colorScale>
        <cfvo type="num" val="1"/>
        <cfvo type="num" val="2"/>
        <cfvo type="num" val="3"/>
        <color rgb="FFF8696B"/>
        <color rgb="FFFFEB84"/>
        <color rgb="FF63BE7B"/>
      </colorScale>
    </cfRule>
  </conditionalFormatting>
  <conditionalFormatting sqref="O4">
    <cfRule type="colorScale" priority="607">
      <colorScale>
        <cfvo type="num" val="1"/>
        <cfvo type="num" val="2"/>
        <cfvo type="num" val="3"/>
        <color rgb="FFF8696B"/>
        <color rgb="FFFFEB84"/>
        <color rgb="FF63BE7B"/>
      </colorScale>
    </cfRule>
  </conditionalFormatting>
  <conditionalFormatting sqref="N4">
    <cfRule type="colorScale" priority="606">
      <colorScale>
        <cfvo type="num" val="1"/>
        <cfvo type="num" val="2"/>
        <cfvo type="num" val="3"/>
        <color rgb="FFF8696B"/>
        <color rgb="FFFFEB84"/>
        <color rgb="FF63BE7B"/>
      </colorScale>
    </cfRule>
  </conditionalFormatting>
  <conditionalFormatting sqref="O4">
    <cfRule type="colorScale" priority="605">
      <colorScale>
        <cfvo type="num" val="1"/>
        <cfvo type="num" val="2"/>
        <cfvo type="num" val="3"/>
        <color rgb="FFF8696B"/>
        <color rgb="FFFFEB84"/>
        <color rgb="FF63BE7B"/>
      </colorScale>
    </cfRule>
  </conditionalFormatting>
  <conditionalFormatting sqref="O4">
    <cfRule type="colorScale" priority="604">
      <colorScale>
        <cfvo type="num" val="1"/>
        <cfvo type="num" val="2"/>
        <cfvo type="num" val="3"/>
        <color rgb="FFF8696B"/>
        <color rgb="FFFFEB84"/>
        <color rgb="FF63BE7B"/>
      </colorScale>
    </cfRule>
  </conditionalFormatting>
  <conditionalFormatting sqref="O4">
    <cfRule type="colorScale" priority="603">
      <colorScale>
        <cfvo type="num" val="1"/>
        <cfvo type="num" val="2"/>
        <cfvo type="num" val="3"/>
        <color rgb="FFF8696B"/>
        <color rgb="FFFFEB84"/>
        <color rgb="FF63BE7B"/>
      </colorScale>
    </cfRule>
  </conditionalFormatting>
  <conditionalFormatting sqref="U4">
    <cfRule type="colorScale" priority="602">
      <colorScale>
        <cfvo type="num" val="1"/>
        <cfvo type="num" val="2"/>
        <cfvo type="num" val="3"/>
        <color rgb="FFF8696B"/>
        <color rgb="FFFFEB84"/>
        <color rgb="FF63BE7B"/>
      </colorScale>
    </cfRule>
  </conditionalFormatting>
  <conditionalFormatting sqref="U4">
    <cfRule type="colorScale" priority="601">
      <colorScale>
        <cfvo type="num" val="1"/>
        <cfvo type="num" val="2"/>
        <cfvo type="num" val="3"/>
        <color rgb="FFF8696B"/>
        <color rgb="FFFFEB84"/>
        <color rgb="FF63BE7B"/>
      </colorScale>
    </cfRule>
  </conditionalFormatting>
  <conditionalFormatting sqref="V4">
    <cfRule type="colorScale" priority="600">
      <colorScale>
        <cfvo type="num" val="1"/>
        <cfvo type="num" val="2"/>
        <cfvo type="num" val="3"/>
        <color rgb="FFF8696B"/>
        <color rgb="FFFFEB84"/>
        <color rgb="FF63BE7B"/>
      </colorScale>
    </cfRule>
  </conditionalFormatting>
  <conditionalFormatting sqref="U4">
    <cfRule type="colorScale" priority="599">
      <colorScale>
        <cfvo type="num" val="1"/>
        <cfvo type="num" val="2"/>
        <cfvo type="num" val="3"/>
        <color rgb="FFF8696B"/>
        <color rgb="FFFFEB84"/>
        <color rgb="FF63BE7B"/>
      </colorScale>
    </cfRule>
  </conditionalFormatting>
  <conditionalFormatting sqref="V4">
    <cfRule type="colorScale" priority="598">
      <colorScale>
        <cfvo type="num" val="1"/>
        <cfvo type="num" val="2"/>
        <cfvo type="num" val="3"/>
        <color rgb="FFF8696B"/>
        <color rgb="FFFFEB84"/>
        <color rgb="FF63BE7B"/>
      </colorScale>
    </cfRule>
  </conditionalFormatting>
  <conditionalFormatting sqref="U4">
    <cfRule type="colorScale" priority="597">
      <colorScale>
        <cfvo type="num" val="1"/>
        <cfvo type="num" val="2"/>
        <cfvo type="num" val="3"/>
        <color rgb="FFF8696B"/>
        <color rgb="FFFFEB84"/>
        <color rgb="FF63BE7B"/>
      </colorScale>
    </cfRule>
  </conditionalFormatting>
  <conditionalFormatting sqref="V4">
    <cfRule type="colorScale" priority="596">
      <colorScale>
        <cfvo type="num" val="1"/>
        <cfvo type="num" val="2"/>
        <cfvo type="num" val="3"/>
        <color rgb="FFF8696B"/>
        <color rgb="FFFFEB84"/>
        <color rgb="FF63BE7B"/>
      </colorScale>
    </cfRule>
  </conditionalFormatting>
  <conditionalFormatting sqref="V4">
    <cfRule type="colorScale" priority="595">
      <colorScale>
        <cfvo type="num" val="1"/>
        <cfvo type="num" val="2"/>
        <cfvo type="num" val="3"/>
        <color rgb="FFF8696B"/>
        <color rgb="FFFFEB84"/>
        <color rgb="FF63BE7B"/>
      </colorScale>
    </cfRule>
  </conditionalFormatting>
  <conditionalFormatting sqref="V4">
    <cfRule type="colorScale" priority="594">
      <colorScale>
        <cfvo type="num" val="1"/>
        <cfvo type="num" val="2"/>
        <cfvo type="num" val="3"/>
        <color rgb="FFF8696B"/>
        <color rgb="FFFFEB84"/>
        <color rgb="FF63BE7B"/>
      </colorScale>
    </cfRule>
  </conditionalFormatting>
  <conditionalFormatting sqref="V4">
    <cfRule type="colorScale" priority="593">
      <colorScale>
        <cfvo type="num" val="1"/>
        <cfvo type="num" val="2"/>
        <cfvo type="num" val="3"/>
        <color rgb="FFF8696B"/>
        <color rgb="FFFFEB84"/>
        <color rgb="FF63BE7B"/>
      </colorScale>
    </cfRule>
  </conditionalFormatting>
  <conditionalFormatting sqref="V4">
    <cfRule type="colorScale" priority="592">
      <colorScale>
        <cfvo type="num" val="1"/>
        <cfvo type="num" val="2"/>
        <cfvo type="num" val="3"/>
        <color rgb="FFF8696B"/>
        <color rgb="FFFFEB84"/>
        <color rgb="FF63BE7B"/>
      </colorScale>
    </cfRule>
  </conditionalFormatting>
  <conditionalFormatting sqref="V4">
    <cfRule type="colorScale" priority="591">
      <colorScale>
        <cfvo type="num" val="1"/>
        <cfvo type="num" val="2"/>
        <cfvo type="num" val="3"/>
        <color rgb="FFF8696B"/>
        <color rgb="FFFFEB84"/>
        <color rgb="FF63BE7B"/>
      </colorScale>
    </cfRule>
  </conditionalFormatting>
  <conditionalFormatting sqref="V4">
    <cfRule type="colorScale" priority="590">
      <colorScale>
        <cfvo type="num" val="1"/>
        <cfvo type="num" val="2"/>
        <cfvo type="num" val="3"/>
        <color rgb="FFF8696B"/>
        <color rgb="FFFFEB84"/>
        <color rgb="FF63BE7B"/>
      </colorScale>
    </cfRule>
  </conditionalFormatting>
  <conditionalFormatting sqref="U4">
    <cfRule type="colorScale" priority="589">
      <colorScale>
        <cfvo type="num" val="1"/>
        <cfvo type="num" val="2"/>
        <cfvo type="num" val="3"/>
        <color rgb="FFF8696B"/>
        <color rgb="FFFFEB84"/>
        <color rgb="FF63BE7B"/>
      </colorScale>
    </cfRule>
  </conditionalFormatting>
  <conditionalFormatting sqref="V4">
    <cfRule type="colorScale" priority="588">
      <colorScale>
        <cfvo type="num" val="1"/>
        <cfvo type="num" val="2"/>
        <cfvo type="num" val="3"/>
        <color rgb="FFF8696B"/>
        <color rgb="FFFFEB84"/>
        <color rgb="FF63BE7B"/>
      </colorScale>
    </cfRule>
  </conditionalFormatting>
  <conditionalFormatting sqref="V4">
    <cfRule type="colorScale" priority="587">
      <colorScale>
        <cfvo type="num" val="1"/>
        <cfvo type="num" val="2"/>
        <cfvo type="num" val="3"/>
        <color rgb="FFF8696B"/>
        <color rgb="FFFFEB84"/>
        <color rgb="FF63BE7B"/>
      </colorScale>
    </cfRule>
  </conditionalFormatting>
  <conditionalFormatting sqref="V4">
    <cfRule type="colorScale" priority="586">
      <colorScale>
        <cfvo type="num" val="1"/>
        <cfvo type="num" val="2"/>
        <cfvo type="num" val="3"/>
        <color rgb="FFF8696B"/>
        <color rgb="FFFFEB84"/>
        <color rgb="FF63BE7B"/>
      </colorScale>
    </cfRule>
  </conditionalFormatting>
  <conditionalFormatting sqref="AB4">
    <cfRule type="colorScale" priority="585">
      <colorScale>
        <cfvo type="num" val="1"/>
        <cfvo type="num" val="2"/>
        <cfvo type="num" val="3"/>
        <color rgb="FFF8696B"/>
        <color rgb="FFFFEB84"/>
        <color rgb="FF63BE7B"/>
      </colorScale>
    </cfRule>
  </conditionalFormatting>
  <conditionalFormatting sqref="AB4">
    <cfRule type="colorScale" priority="584">
      <colorScale>
        <cfvo type="num" val="1"/>
        <cfvo type="num" val="2"/>
        <cfvo type="num" val="3"/>
        <color rgb="FFF8696B"/>
        <color rgb="FFFFEB84"/>
        <color rgb="FF63BE7B"/>
      </colorScale>
    </cfRule>
  </conditionalFormatting>
  <conditionalFormatting sqref="AC4">
    <cfRule type="colorScale" priority="583">
      <colorScale>
        <cfvo type="num" val="1"/>
        <cfvo type="num" val="2"/>
        <cfvo type="num" val="3"/>
        <color rgb="FFF8696B"/>
        <color rgb="FFFFEB84"/>
        <color rgb="FF63BE7B"/>
      </colorScale>
    </cfRule>
  </conditionalFormatting>
  <conditionalFormatting sqref="AB4">
    <cfRule type="colorScale" priority="582">
      <colorScale>
        <cfvo type="num" val="1"/>
        <cfvo type="num" val="2"/>
        <cfvo type="num" val="3"/>
        <color rgb="FFF8696B"/>
        <color rgb="FFFFEB84"/>
        <color rgb="FF63BE7B"/>
      </colorScale>
    </cfRule>
  </conditionalFormatting>
  <conditionalFormatting sqref="AC4">
    <cfRule type="colorScale" priority="581">
      <colorScale>
        <cfvo type="num" val="1"/>
        <cfvo type="num" val="2"/>
        <cfvo type="num" val="3"/>
        <color rgb="FFF8696B"/>
        <color rgb="FFFFEB84"/>
        <color rgb="FF63BE7B"/>
      </colorScale>
    </cfRule>
  </conditionalFormatting>
  <conditionalFormatting sqref="AB4">
    <cfRule type="colorScale" priority="580">
      <colorScale>
        <cfvo type="num" val="1"/>
        <cfvo type="num" val="2"/>
        <cfvo type="num" val="3"/>
        <color rgb="FFF8696B"/>
        <color rgb="FFFFEB84"/>
        <color rgb="FF63BE7B"/>
      </colorScale>
    </cfRule>
  </conditionalFormatting>
  <conditionalFormatting sqref="AC4">
    <cfRule type="colorScale" priority="579">
      <colorScale>
        <cfvo type="num" val="1"/>
        <cfvo type="num" val="2"/>
        <cfvo type="num" val="3"/>
        <color rgb="FFF8696B"/>
        <color rgb="FFFFEB84"/>
        <color rgb="FF63BE7B"/>
      </colorScale>
    </cfRule>
  </conditionalFormatting>
  <conditionalFormatting sqref="AC4">
    <cfRule type="colorScale" priority="578">
      <colorScale>
        <cfvo type="num" val="1"/>
        <cfvo type="num" val="2"/>
        <cfvo type="num" val="3"/>
        <color rgb="FFF8696B"/>
        <color rgb="FFFFEB84"/>
        <color rgb="FF63BE7B"/>
      </colorScale>
    </cfRule>
  </conditionalFormatting>
  <conditionalFormatting sqref="AC4">
    <cfRule type="colorScale" priority="577">
      <colorScale>
        <cfvo type="num" val="1"/>
        <cfvo type="num" val="2"/>
        <cfvo type="num" val="3"/>
        <color rgb="FFF8696B"/>
        <color rgb="FFFFEB84"/>
        <color rgb="FF63BE7B"/>
      </colorScale>
    </cfRule>
  </conditionalFormatting>
  <conditionalFormatting sqref="AC4">
    <cfRule type="colorScale" priority="576">
      <colorScale>
        <cfvo type="num" val="1"/>
        <cfvo type="num" val="2"/>
        <cfvo type="num" val="3"/>
        <color rgb="FFF8696B"/>
        <color rgb="FFFFEB84"/>
        <color rgb="FF63BE7B"/>
      </colorScale>
    </cfRule>
  </conditionalFormatting>
  <conditionalFormatting sqref="AC4">
    <cfRule type="colorScale" priority="575">
      <colorScale>
        <cfvo type="num" val="1"/>
        <cfvo type="num" val="2"/>
        <cfvo type="num" val="3"/>
        <color rgb="FFF8696B"/>
        <color rgb="FFFFEB84"/>
        <color rgb="FF63BE7B"/>
      </colorScale>
    </cfRule>
  </conditionalFormatting>
  <conditionalFormatting sqref="AC4">
    <cfRule type="colorScale" priority="574">
      <colorScale>
        <cfvo type="num" val="1"/>
        <cfvo type="num" val="2"/>
        <cfvo type="num" val="3"/>
        <color rgb="FFF8696B"/>
        <color rgb="FFFFEB84"/>
        <color rgb="FF63BE7B"/>
      </colorScale>
    </cfRule>
  </conditionalFormatting>
  <conditionalFormatting sqref="AC4">
    <cfRule type="colorScale" priority="573">
      <colorScale>
        <cfvo type="num" val="1"/>
        <cfvo type="num" val="2"/>
        <cfvo type="num" val="3"/>
        <color rgb="FFF8696B"/>
        <color rgb="FFFFEB84"/>
        <color rgb="FF63BE7B"/>
      </colorScale>
    </cfRule>
  </conditionalFormatting>
  <conditionalFormatting sqref="AB4">
    <cfRule type="colorScale" priority="572">
      <colorScale>
        <cfvo type="num" val="1"/>
        <cfvo type="num" val="2"/>
        <cfvo type="num" val="3"/>
        <color rgb="FFF8696B"/>
        <color rgb="FFFFEB84"/>
        <color rgb="FF63BE7B"/>
      </colorScale>
    </cfRule>
  </conditionalFormatting>
  <conditionalFormatting sqref="AC4">
    <cfRule type="colorScale" priority="571">
      <colorScale>
        <cfvo type="num" val="1"/>
        <cfvo type="num" val="2"/>
        <cfvo type="num" val="3"/>
        <color rgb="FFF8696B"/>
        <color rgb="FFFFEB84"/>
        <color rgb="FF63BE7B"/>
      </colorScale>
    </cfRule>
  </conditionalFormatting>
  <conditionalFormatting sqref="AC4">
    <cfRule type="colorScale" priority="570">
      <colorScale>
        <cfvo type="num" val="1"/>
        <cfvo type="num" val="2"/>
        <cfvo type="num" val="3"/>
        <color rgb="FFF8696B"/>
        <color rgb="FFFFEB84"/>
        <color rgb="FF63BE7B"/>
      </colorScale>
    </cfRule>
  </conditionalFormatting>
  <conditionalFormatting sqref="AC4">
    <cfRule type="colorScale" priority="569">
      <colorScale>
        <cfvo type="num" val="1"/>
        <cfvo type="num" val="2"/>
        <cfvo type="num" val="3"/>
        <color rgb="FFF8696B"/>
        <color rgb="FFFFEB84"/>
        <color rgb="FF63BE7B"/>
      </colorScale>
    </cfRule>
  </conditionalFormatting>
  <conditionalFormatting sqref="AF14 B14 Y14:AA14">
    <cfRule type="colorScale" priority="568">
      <colorScale>
        <cfvo type="num" val="1"/>
        <cfvo type="num" val="2"/>
        <cfvo type="num" val="3"/>
        <color rgb="FFF8696B"/>
        <color rgb="FFFFEB84"/>
        <color rgb="FF63BE7B"/>
      </colorScale>
    </cfRule>
  </conditionalFormatting>
  <conditionalFormatting sqref="B14">
    <cfRule type="colorScale" priority="567">
      <colorScale>
        <cfvo type="num" val="1"/>
        <cfvo type="num" val="2"/>
        <cfvo type="num" val="3"/>
        <color rgb="FFF8696B"/>
        <color rgb="FFFFEB84"/>
        <color rgb="FF63BE7B"/>
      </colorScale>
    </cfRule>
  </conditionalFormatting>
  <conditionalFormatting sqref="B14">
    <cfRule type="colorScale" priority="566">
      <colorScale>
        <cfvo type="num" val="1"/>
        <cfvo type="num" val="2"/>
        <cfvo type="num" val="3"/>
        <color rgb="FFF8696B"/>
        <color rgb="FFFFEB84"/>
        <color rgb="FF63BE7B"/>
      </colorScale>
    </cfRule>
  </conditionalFormatting>
  <conditionalFormatting sqref="J14">
    <cfRule type="colorScale" priority="565">
      <colorScale>
        <cfvo type="num" val="1"/>
        <cfvo type="num" val="2"/>
        <cfvo type="num" val="3"/>
        <color rgb="FFF8696B"/>
        <color rgb="FFFFEB84"/>
        <color rgb="FF63BE7B"/>
      </colorScale>
    </cfRule>
  </conditionalFormatting>
  <conditionalFormatting sqref="C14:H14 J14:L14 V14 X14:AD14 AF14 N14:R14 T14">
    <cfRule type="colorScale" priority="564">
      <colorScale>
        <cfvo type="num" val="1"/>
        <cfvo type="num" val="2"/>
        <cfvo type="num" val="3"/>
        <color rgb="FFF8696B"/>
        <color rgb="FFFFEB84"/>
        <color rgb="FF63BE7B"/>
      </colorScale>
    </cfRule>
  </conditionalFormatting>
  <conditionalFormatting sqref="R14">
    <cfRule type="colorScale" priority="563">
      <colorScale>
        <cfvo type="num" val="1"/>
        <cfvo type="num" val="2"/>
        <cfvo type="num" val="3"/>
        <color rgb="FFF8696B"/>
        <color rgb="FFFFEB84"/>
        <color rgb="FF63BE7B"/>
      </colorScale>
    </cfRule>
  </conditionalFormatting>
  <conditionalFormatting sqref="F14">
    <cfRule type="colorScale" priority="562">
      <colorScale>
        <cfvo type="num" val="1"/>
        <cfvo type="num" val="2"/>
        <cfvo type="num" val="3"/>
        <color rgb="FFF8696B"/>
        <color rgb="FFFFEB84"/>
        <color rgb="FF63BE7B"/>
      </colorScale>
    </cfRule>
  </conditionalFormatting>
  <conditionalFormatting sqref="O14:R14">
    <cfRule type="colorScale" priority="561">
      <colorScale>
        <cfvo type="num" val="1"/>
        <cfvo type="num" val="2"/>
        <cfvo type="num" val="3"/>
        <color rgb="FFF8696B"/>
        <color rgb="FFFFEB84"/>
        <color rgb="FF63BE7B"/>
      </colorScale>
    </cfRule>
  </conditionalFormatting>
  <conditionalFormatting sqref="AD14">
    <cfRule type="colorScale" priority="560">
      <colorScale>
        <cfvo type="num" val="1"/>
        <cfvo type="num" val="2"/>
        <cfvo type="num" val="3"/>
        <color rgb="FFF8696B"/>
        <color rgb="FFFFEB84"/>
        <color rgb="FF63BE7B"/>
      </colorScale>
    </cfRule>
  </conditionalFormatting>
  <conditionalFormatting sqref="O14:R14">
    <cfRule type="colorScale" priority="559">
      <colorScale>
        <cfvo type="num" val="1"/>
        <cfvo type="num" val="2"/>
        <cfvo type="num" val="3"/>
        <color rgb="FFF8696B"/>
        <color rgb="FFFFEB84"/>
        <color rgb="FF63BE7B"/>
      </colorScale>
    </cfRule>
  </conditionalFormatting>
  <conditionalFormatting sqref="O14:R14">
    <cfRule type="colorScale" priority="558">
      <colorScale>
        <cfvo type="num" val="1"/>
        <cfvo type="num" val="2"/>
        <cfvo type="num" val="3"/>
        <color rgb="FFF8696B"/>
        <color rgb="FFFFEB84"/>
        <color rgb="FF63BE7B"/>
      </colorScale>
    </cfRule>
  </conditionalFormatting>
  <conditionalFormatting sqref="O14:R14">
    <cfRule type="colorScale" priority="557">
      <colorScale>
        <cfvo type="num" val="1"/>
        <cfvo type="num" val="2"/>
        <cfvo type="num" val="3"/>
        <color rgb="FFF8696B"/>
        <color rgb="FFFFEB84"/>
        <color rgb="FF63BE7B"/>
      </colorScale>
    </cfRule>
  </conditionalFormatting>
  <conditionalFormatting sqref="AD14">
    <cfRule type="colorScale" priority="556">
      <colorScale>
        <cfvo type="num" val="1"/>
        <cfvo type="num" val="2"/>
        <cfvo type="num" val="3"/>
        <color rgb="FFF8696B"/>
        <color rgb="FFFFEB84"/>
        <color rgb="FF63BE7B"/>
      </colorScale>
    </cfRule>
  </conditionalFormatting>
  <conditionalFormatting sqref="E14">
    <cfRule type="colorScale" priority="555">
      <colorScale>
        <cfvo type="num" val="1"/>
        <cfvo type="num" val="2"/>
        <cfvo type="num" val="3"/>
        <color rgb="FFF8696B"/>
        <color rgb="FFFFEB84"/>
        <color rgb="FF63BE7B"/>
      </colorScale>
    </cfRule>
  </conditionalFormatting>
  <conditionalFormatting sqref="G14">
    <cfRule type="colorScale" priority="554">
      <colorScale>
        <cfvo type="num" val="1"/>
        <cfvo type="num" val="2"/>
        <cfvo type="num" val="3"/>
        <color rgb="FFF8696B"/>
        <color rgb="FFFFEB84"/>
        <color rgb="FF63BE7B"/>
      </colorScale>
    </cfRule>
  </conditionalFormatting>
  <conditionalFormatting sqref="O14:R14">
    <cfRule type="colorScale" priority="553">
      <colorScale>
        <cfvo type="num" val="1"/>
        <cfvo type="num" val="2"/>
        <cfvo type="num" val="3"/>
        <color rgb="FFF8696B"/>
        <color rgb="FFFFEB84"/>
        <color rgb="FF63BE7B"/>
      </colorScale>
    </cfRule>
  </conditionalFormatting>
  <conditionalFormatting sqref="AD14">
    <cfRule type="colorScale" priority="552">
      <colorScale>
        <cfvo type="num" val="1"/>
        <cfvo type="num" val="2"/>
        <cfvo type="num" val="3"/>
        <color rgb="FFF8696B"/>
        <color rgb="FFFFEB84"/>
        <color rgb="FF63BE7B"/>
      </colorScale>
    </cfRule>
  </conditionalFormatting>
  <conditionalFormatting sqref="F14">
    <cfRule type="colorScale" priority="551">
      <colorScale>
        <cfvo type="num" val="1"/>
        <cfvo type="num" val="2"/>
        <cfvo type="num" val="3"/>
        <color rgb="FFF8696B"/>
        <color rgb="FFFFEB84"/>
        <color rgb="FF63BE7B"/>
      </colorScale>
    </cfRule>
  </conditionalFormatting>
  <conditionalFormatting sqref="P14:Q14">
    <cfRule type="colorScale" priority="550">
      <colorScale>
        <cfvo type="num" val="1"/>
        <cfvo type="num" val="2"/>
        <cfvo type="num" val="3"/>
        <color rgb="FFF8696B"/>
        <color rgb="FFFFEB84"/>
        <color rgb="FF63BE7B"/>
      </colorScale>
    </cfRule>
  </conditionalFormatting>
  <conditionalFormatting sqref="F14">
    <cfRule type="colorScale" priority="549">
      <colorScale>
        <cfvo type="num" val="1"/>
        <cfvo type="num" val="2"/>
        <cfvo type="num" val="3"/>
        <color rgb="FFF8696B"/>
        <color rgb="FFFFEB84"/>
        <color rgb="FF63BE7B"/>
      </colorScale>
    </cfRule>
  </conditionalFormatting>
  <conditionalFormatting sqref="O14:R14">
    <cfRule type="colorScale" priority="548">
      <colorScale>
        <cfvo type="num" val="1"/>
        <cfvo type="num" val="2"/>
        <cfvo type="num" val="3"/>
        <color rgb="FFF8696B"/>
        <color rgb="FFFFEB84"/>
        <color rgb="FF63BE7B"/>
      </colorScale>
    </cfRule>
  </conditionalFormatting>
  <conditionalFormatting sqref="O14:R14">
    <cfRule type="colorScale" priority="547">
      <colorScale>
        <cfvo type="num" val="1"/>
        <cfvo type="num" val="2"/>
        <cfvo type="num" val="3"/>
        <color rgb="FFF8696B"/>
        <color rgb="FFFFEB84"/>
        <color rgb="FF63BE7B"/>
      </colorScale>
    </cfRule>
  </conditionalFormatting>
  <conditionalFormatting sqref="AD14">
    <cfRule type="colorScale" priority="546">
      <colorScale>
        <cfvo type="num" val="1"/>
        <cfvo type="num" val="2"/>
        <cfvo type="num" val="3"/>
        <color rgb="FFF8696B"/>
        <color rgb="FFFFEB84"/>
        <color rgb="FF63BE7B"/>
      </colorScale>
    </cfRule>
  </conditionalFormatting>
  <conditionalFormatting sqref="H14">
    <cfRule type="colorScale" priority="545">
      <colorScale>
        <cfvo type="num" val="1"/>
        <cfvo type="num" val="2"/>
        <cfvo type="num" val="3"/>
        <color rgb="FFF8696B"/>
        <color rgb="FFFFEB84"/>
        <color rgb="FF63BE7B"/>
      </colorScale>
    </cfRule>
  </conditionalFormatting>
  <conditionalFormatting sqref="P14:Q14">
    <cfRule type="colorScale" priority="544">
      <colorScale>
        <cfvo type="num" val="1"/>
        <cfvo type="num" val="2"/>
        <cfvo type="num" val="3"/>
        <color rgb="FFF8696B"/>
        <color rgb="FFFFEB84"/>
        <color rgb="FF63BE7B"/>
      </colorScale>
    </cfRule>
  </conditionalFormatting>
  <conditionalFormatting sqref="O14:R14">
    <cfRule type="colorScale" priority="543">
      <colorScale>
        <cfvo type="num" val="1"/>
        <cfvo type="num" val="2"/>
        <cfvo type="num" val="3"/>
        <color rgb="FFF8696B"/>
        <color rgb="FFFFEB84"/>
        <color rgb="FF63BE7B"/>
      </colorScale>
    </cfRule>
  </conditionalFormatting>
  <conditionalFormatting sqref="P14:Q14">
    <cfRule type="colorScale" priority="542">
      <colorScale>
        <cfvo type="num" val="1"/>
        <cfvo type="num" val="2"/>
        <cfvo type="num" val="3"/>
        <color rgb="FFF8696B"/>
        <color rgb="FFFFEB84"/>
        <color rgb="FF63BE7B"/>
      </colorScale>
    </cfRule>
  </conditionalFormatting>
  <conditionalFormatting sqref="R14">
    <cfRule type="colorScale" priority="541">
      <colorScale>
        <cfvo type="num" val="1"/>
        <cfvo type="num" val="2"/>
        <cfvo type="num" val="3"/>
        <color rgb="FFF8696B"/>
        <color rgb="FFFFEB84"/>
        <color rgb="FF63BE7B"/>
      </colorScale>
    </cfRule>
  </conditionalFormatting>
  <conditionalFormatting sqref="P14:Q14">
    <cfRule type="colorScale" priority="540">
      <colorScale>
        <cfvo type="num" val="1"/>
        <cfvo type="num" val="2"/>
        <cfvo type="num" val="3"/>
        <color rgb="FFF8696B"/>
        <color rgb="FFFFEB84"/>
        <color rgb="FF63BE7B"/>
      </colorScale>
    </cfRule>
  </conditionalFormatting>
  <conditionalFormatting sqref="AB14">
    <cfRule type="colorScale" priority="539">
      <colorScale>
        <cfvo type="num" val="1"/>
        <cfvo type="num" val="2"/>
        <cfvo type="num" val="3"/>
        <color rgb="FFF8696B"/>
        <color rgb="FFFFEB84"/>
        <color rgb="FF63BE7B"/>
      </colorScale>
    </cfRule>
  </conditionalFormatting>
  <conditionalFormatting sqref="AD14">
    <cfRule type="colorScale" priority="538">
      <colorScale>
        <cfvo type="num" val="1"/>
        <cfvo type="num" val="2"/>
        <cfvo type="num" val="3"/>
        <color rgb="FFF8696B"/>
        <color rgb="FFFFEB84"/>
        <color rgb="FF63BE7B"/>
      </colorScale>
    </cfRule>
  </conditionalFormatting>
  <conditionalFormatting sqref="C14:D14">
    <cfRule type="colorScale" priority="537">
      <colorScale>
        <cfvo type="num" val="1"/>
        <cfvo type="num" val="2"/>
        <cfvo type="num" val="3"/>
        <color rgb="FFF8696B"/>
        <color rgb="FFFFEB84"/>
        <color rgb="FF63BE7B"/>
      </colorScale>
    </cfRule>
  </conditionalFormatting>
  <conditionalFormatting sqref="H14">
    <cfRule type="colorScale" priority="536">
      <colorScale>
        <cfvo type="num" val="1"/>
        <cfvo type="num" val="2"/>
        <cfvo type="num" val="3"/>
        <color rgb="FFF8696B"/>
        <color rgb="FFFFEB84"/>
        <color rgb="FF63BE7B"/>
      </colorScale>
    </cfRule>
  </conditionalFormatting>
  <conditionalFormatting sqref="O14:R14">
    <cfRule type="colorScale" priority="535">
      <colorScale>
        <cfvo type="num" val="1"/>
        <cfvo type="num" val="2"/>
        <cfvo type="num" val="3"/>
        <color rgb="FFF8696B"/>
        <color rgb="FFFFEB84"/>
        <color rgb="FF63BE7B"/>
      </colorScale>
    </cfRule>
  </conditionalFormatting>
  <conditionalFormatting sqref="AC14">
    <cfRule type="colorScale" priority="534">
      <colorScale>
        <cfvo type="num" val="1"/>
        <cfvo type="num" val="2"/>
        <cfvo type="num" val="3"/>
        <color rgb="FFF8696B"/>
        <color rgb="FFFFEB84"/>
        <color rgb="FF63BE7B"/>
      </colorScale>
    </cfRule>
  </conditionalFormatting>
  <conditionalFormatting sqref="AD14">
    <cfRule type="colorScale" priority="533">
      <colorScale>
        <cfvo type="num" val="1"/>
        <cfvo type="num" val="2"/>
        <cfvo type="num" val="3"/>
        <color rgb="FFF8696B"/>
        <color rgb="FFFFEB84"/>
        <color rgb="FF63BE7B"/>
      </colorScale>
    </cfRule>
  </conditionalFormatting>
  <conditionalFormatting sqref="AC14">
    <cfRule type="colorScale" priority="532">
      <colorScale>
        <cfvo type="num" val="1"/>
        <cfvo type="num" val="2"/>
        <cfvo type="num" val="3"/>
        <color rgb="FFF8696B"/>
        <color rgb="FFFFEB84"/>
        <color rgb="FF63BE7B"/>
      </colorScale>
    </cfRule>
  </conditionalFormatting>
  <conditionalFormatting sqref="AC14:AD14">
    <cfRule type="colorScale" priority="531">
      <colorScale>
        <cfvo type="num" val="1"/>
        <cfvo type="num" val="2"/>
        <cfvo type="num" val="3"/>
        <color rgb="FFF8696B"/>
        <color rgb="FFFFEB84"/>
        <color rgb="FF63BE7B"/>
      </colorScale>
    </cfRule>
  </conditionalFormatting>
  <conditionalFormatting sqref="O14:R14">
    <cfRule type="colorScale" priority="530">
      <colorScale>
        <cfvo type="num" val="1"/>
        <cfvo type="num" val="2"/>
        <cfvo type="num" val="3"/>
        <color rgb="FFF8696B"/>
        <color rgb="FFFFEB84"/>
        <color rgb="FF63BE7B"/>
      </colorScale>
    </cfRule>
  </conditionalFormatting>
  <conditionalFormatting sqref="O14:R14">
    <cfRule type="colorScale" priority="529">
      <colorScale>
        <cfvo type="num" val="1"/>
        <cfvo type="num" val="2"/>
        <cfvo type="num" val="3"/>
        <color rgb="FFF8696B"/>
        <color rgb="FFFFEB84"/>
        <color rgb="FF63BE7B"/>
      </colorScale>
    </cfRule>
  </conditionalFormatting>
  <conditionalFormatting sqref="O14:R14">
    <cfRule type="colorScale" priority="528">
      <colorScale>
        <cfvo type="num" val="1"/>
        <cfvo type="num" val="2"/>
        <cfvo type="num" val="3"/>
        <color rgb="FFF8696B"/>
        <color rgb="FFFFEB84"/>
        <color rgb="FF63BE7B"/>
      </colorScale>
    </cfRule>
  </conditionalFormatting>
  <conditionalFormatting sqref="O14:R14">
    <cfRule type="colorScale" priority="527">
      <colorScale>
        <cfvo type="num" val="1"/>
        <cfvo type="num" val="2"/>
        <cfvo type="num" val="3"/>
        <color rgb="FFF8696B"/>
        <color rgb="FFFFEB84"/>
        <color rgb="FF63BE7B"/>
      </colorScale>
    </cfRule>
  </conditionalFormatting>
  <conditionalFormatting sqref="O14:R14">
    <cfRule type="colorScale" priority="526">
      <colorScale>
        <cfvo type="num" val="1"/>
        <cfvo type="num" val="2"/>
        <cfvo type="num" val="3"/>
        <color rgb="FFF8696B"/>
        <color rgb="FFFFEB84"/>
        <color rgb="FF63BE7B"/>
      </colorScale>
    </cfRule>
  </conditionalFormatting>
  <conditionalFormatting sqref="AA14">
    <cfRule type="colorScale" priority="525">
      <colorScale>
        <cfvo type="num" val="1"/>
        <cfvo type="num" val="2"/>
        <cfvo type="num" val="3"/>
        <color rgb="FFF8696B"/>
        <color rgb="FFFFEB84"/>
        <color rgb="FF63BE7B"/>
      </colorScale>
    </cfRule>
  </conditionalFormatting>
  <conditionalFormatting sqref="AA14">
    <cfRule type="colorScale" priority="524">
      <colorScale>
        <cfvo type="num" val="1"/>
        <cfvo type="num" val="2"/>
        <cfvo type="num" val="3"/>
        <color rgb="FFF8696B"/>
        <color rgb="FFFFEB84"/>
        <color rgb="FF63BE7B"/>
      </colorScale>
    </cfRule>
  </conditionalFormatting>
  <conditionalFormatting sqref="AB14">
    <cfRule type="colorScale" priority="523">
      <colorScale>
        <cfvo type="num" val="1"/>
        <cfvo type="num" val="2"/>
        <cfvo type="num" val="3"/>
        <color rgb="FFF8696B"/>
        <color rgb="FFFFEB84"/>
        <color rgb="FF63BE7B"/>
      </colorScale>
    </cfRule>
  </conditionalFormatting>
  <conditionalFormatting sqref="AA14">
    <cfRule type="colorScale" priority="522">
      <colorScale>
        <cfvo type="num" val="1"/>
        <cfvo type="num" val="2"/>
        <cfvo type="num" val="3"/>
        <color rgb="FFF8696B"/>
        <color rgb="FFFFEB84"/>
        <color rgb="FF63BE7B"/>
      </colorScale>
    </cfRule>
  </conditionalFormatting>
  <conditionalFormatting sqref="AA14">
    <cfRule type="colorScale" priority="521">
      <colorScale>
        <cfvo type="num" val="1"/>
        <cfvo type="num" val="2"/>
        <cfvo type="num" val="3"/>
        <color rgb="FFF8696B"/>
        <color rgb="FFFFEB84"/>
        <color rgb="FF63BE7B"/>
      </colorScale>
    </cfRule>
  </conditionalFormatting>
  <conditionalFormatting sqref="AB14">
    <cfRule type="colorScale" priority="520">
      <colorScale>
        <cfvo type="num" val="1"/>
        <cfvo type="num" val="2"/>
        <cfvo type="num" val="3"/>
        <color rgb="FFF8696B"/>
        <color rgb="FFFFEB84"/>
        <color rgb="FF63BE7B"/>
      </colorScale>
    </cfRule>
  </conditionalFormatting>
  <conditionalFormatting sqref="AA14">
    <cfRule type="colorScale" priority="519">
      <colorScale>
        <cfvo type="num" val="1"/>
        <cfvo type="num" val="2"/>
        <cfvo type="num" val="3"/>
        <color rgb="FFF8696B"/>
        <color rgb="FFFFEB84"/>
        <color rgb="FF63BE7B"/>
      </colorScale>
    </cfRule>
  </conditionalFormatting>
  <conditionalFormatting sqref="E14:H14 J14:L14 V14 X14:AD14 AF14 N14:R14 T14">
    <cfRule type="colorScale" priority="518">
      <colorScale>
        <cfvo type="num" val="1"/>
        <cfvo type="num" val="2"/>
        <cfvo type="num" val="3"/>
        <color rgb="FFF8696B"/>
        <color rgb="FFFFEB84"/>
        <color rgb="FF63BE7B"/>
      </colorScale>
    </cfRule>
  </conditionalFormatting>
  <conditionalFormatting sqref="E14">
    <cfRule type="colorScale" priority="517">
      <colorScale>
        <cfvo type="num" val="1"/>
        <cfvo type="num" val="2"/>
        <cfvo type="num" val="3"/>
        <color rgb="FFF8696B"/>
        <color rgb="FFFFEB84"/>
        <color rgb="FF63BE7B"/>
      </colorScale>
    </cfRule>
  </conditionalFormatting>
  <conditionalFormatting sqref="P14:Q14">
    <cfRule type="colorScale" priority="516">
      <colorScale>
        <cfvo type="num" val="1"/>
        <cfvo type="num" val="2"/>
        <cfvo type="num" val="3"/>
        <color rgb="FFF8696B"/>
        <color rgb="FFFFEB84"/>
        <color rgb="FF63BE7B"/>
      </colorScale>
    </cfRule>
  </conditionalFormatting>
  <conditionalFormatting sqref="P14">
    <cfRule type="colorScale" priority="515">
      <colorScale>
        <cfvo type="num" val="1"/>
        <cfvo type="num" val="2"/>
        <cfvo type="num" val="3"/>
        <color rgb="FFF8696B"/>
        <color rgb="FFFFEB84"/>
        <color rgb="FF63BE7B"/>
      </colorScale>
    </cfRule>
  </conditionalFormatting>
  <conditionalFormatting sqref="Z14">
    <cfRule type="colorScale" priority="514">
      <colorScale>
        <cfvo type="num" val="1"/>
        <cfvo type="num" val="2"/>
        <cfvo type="num" val="3"/>
        <color rgb="FFF8696B"/>
        <color rgb="FFFFEB84"/>
        <color rgb="FF63BE7B"/>
      </colorScale>
    </cfRule>
  </conditionalFormatting>
  <conditionalFormatting sqref="Z14:AA14">
    <cfRule type="colorScale" priority="513">
      <colorScale>
        <cfvo type="num" val="1"/>
        <cfvo type="num" val="2"/>
        <cfvo type="num" val="3"/>
        <color rgb="FFF8696B"/>
        <color rgb="FFFFEB84"/>
        <color rgb="FF63BE7B"/>
      </colorScale>
    </cfRule>
  </conditionalFormatting>
  <conditionalFormatting sqref="AA14">
    <cfRule type="colorScale" priority="512">
      <colorScale>
        <cfvo type="num" val="1"/>
        <cfvo type="num" val="2"/>
        <cfvo type="num" val="3"/>
        <color rgb="FFF8696B"/>
        <color rgb="FFFFEB84"/>
        <color rgb="FF63BE7B"/>
      </colorScale>
    </cfRule>
  </conditionalFormatting>
  <conditionalFormatting sqref="Z14">
    <cfRule type="colorScale" priority="511">
      <colorScale>
        <cfvo type="num" val="1"/>
        <cfvo type="num" val="2"/>
        <cfvo type="num" val="3"/>
        <color rgb="FFF8696B"/>
        <color rgb="FFFFEB84"/>
        <color rgb="FF63BE7B"/>
      </colorScale>
    </cfRule>
  </conditionalFormatting>
  <conditionalFormatting sqref="AF14">
    <cfRule type="colorScale" priority="510">
      <colorScale>
        <cfvo type="num" val="1"/>
        <cfvo type="num" val="2"/>
        <cfvo type="num" val="3"/>
        <color rgb="FFF8696B"/>
        <color rgb="FFFFEB84"/>
        <color rgb="FF63BE7B"/>
      </colorScale>
    </cfRule>
  </conditionalFormatting>
  <conditionalFormatting sqref="AF14">
    <cfRule type="colorScale" priority="509">
      <colorScale>
        <cfvo type="num" val="1"/>
        <cfvo type="num" val="2"/>
        <cfvo type="num" val="3"/>
        <color rgb="FFF8696B"/>
        <color rgb="FFFFEB84"/>
        <color rgb="FF63BE7B"/>
      </colorScale>
    </cfRule>
  </conditionalFormatting>
  <conditionalFormatting sqref="G14:H14">
    <cfRule type="colorScale" priority="508">
      <colorScale>
        <cfvo type="num" val="1"/>
        <cfvo type="num" val="2"/>
        <cfvo type="num" val="3"/>
        <color rgb="FFF8696B"/>
        <color rgb="FFFFEB84"/>
        <color rgb="FF63BE7B"/>
      </colorScale>
    </cfRule>
  </conditionalFormatting>
  <conditionalFormatting sqref="Q14">
    <cfRule type="colorScale" priority="507">
      <colorScale>
        <cfvo type="num" val="1"/>
        <cfvo type="num" val="2"/>
        <cfvo type="num" val="3"/>
        <color rgb="FFF8696B"/>
        <color rgb="FFFFEB84"/>
        <color rgb="FF63BE7B"/>
      </colorScale>
    </cfRule>
  </conditionalFormatting>
  <conditionalFormatting sqref="O14:R14">
    <cfRule type="colorScale" priority="506">
      <colorScale>
        <cfvo type="num" val="1"/>
        <cfvo type="num" val="2"/>
        <cfvo type="num" val="3"/>
        <color rgb="FFF8696B"/>
        <color rgb="FFFFEB84"/>
        <color rgb="FF63BE7B"/>
      </colorScale>
    </cfRule>
  </conditionalFormatting>
  <conditionalFormatting sqref="Q14">
    <cfRule type="colorScale" priority="505">
      <colorScale>
        <cfvo type="num" val="1"/>
        <cfvo type="num" val="2"/>
        <cfvo type="num" val="3"/>
        <color rgb="FFF8696B"/>
        <color rgb="FFFFEB84"/>
        <color rgb="FF63BE7B"/>
      </colorScale>
    </cfRule>
  </conditionalFormatting>
  <conditionalFormatting sqref="Q14">
    <cfRule type="colorScale" priority="504">
      <colorScale>
        <cfvo type="num" val="1"/>
        <cfvo type="num" val="2"/>
        <cfvo type="num" val="3"/>
        <color rgb="FFF8696B"/>
        <color rgb="FFFFEB84"/>
        <color rgb="FF63BE7B"/>
      </colorScale>
    </cfRule>
  </conditionalFormatting>
  <conditionalFormatting sqref="Y14">
    <cfRule type="colorScale" priority="503">
      <colorScale>
        <cfvo type="num" val="1"/>
        <cfvo type="num" val="2"/>
        <cfvo type="num" val="3"/>
        <color rgb="FFF8696B"/>
        <color rgb="FFFFEB84"/>
        <color rgb="FF63BE7B"/>
      </colorScale>
    </cfRule>
  </conditionalFormatting>
  <conditionalFormatting sqref="Y14">
    <cfRule type="colorScale" priority="502">
      <colorScale>
        <cfvo type="num" val="1"/>
        <cfvo type="num" val="2"/>
        <cfvo type="num" val="3"/>
        <color rgb="FFF8696B"/>
        <color rgb="FFFFEB84"/>
        <color rgb="FF63BE7B"/>
      </colorScale>
    </cfRule>
  </conditionalFormatting>
  <conditionalFormatting sqref="Y14">
    <cfRule type="colorScale" priority="501">
      <colorScale>
        <cfvo type="num" val="1"/>
        <cfvo type="num" val="2"/>
        <cfvo type="num" val="3"/>
        <color rgb="FFF8696B"/>
        <color rgb="FFFFEB84"/>
        <color rgb="FF63BE7B"/>
      </colorScale>
    </cfRule>
  </conditionalFormatting>
  <conditionalFormatting sqref="AC14">
    <cfRule type="colorScale" priority="500">
      <colorScale>
        <cfvo type="num" val="1"/>
        <cfvo type="num" val="2"/>
        <cfvo type="num" val="3"/>
        <color rgb="FFF8696B"/>
        <color rgb="FFFFEB84"/>
        <color rgb="FF63BE7B"/>
      </colorScale>
    </cfRule>
  </conditionalFormatting>
  <conditionalFormatting sqref="AA14:AB14">
    <cfRule type="colorScale" priority="499">
      <colorScale>
        <cfvo type="num" val="1"/>
        <cfvo type="num" val="2"/>
        <cfvo type="num" val="3"/>
        <color rgb="FFF8696B"/>
        <color rgb="FFFFEB84"/>
        <color rgb="FF63BE7B"/>
      </colorScale>
    </cfRule>
  </conditionalFormatting>
  <conditionalFormatting sqref="AC14">
    <cfRule type="colorScale" priority="498">
      <colorScale>
        <cfvo type="num" val="1"/>
        <cfvo type="num" val="2"/>
        <cfvo type="num" val="3"/>
        <color rgb="FFF8696B"/>
        <color rgb="FFFFEB84"/>
        <color rgb="FF63BE7B"/>
      </colorScale>
    </cfRule>
  </conditionalFormatting>
  <conditionalFormatting sqref="AC14">
    <cfRule type="colorScale" priority="497">
      <colorScale>
        <cfvo type="num" val="1"/>
        <cfvo type="num" val="2"/>
        <cfvo type="num" val="3"/>
        <color rgb="FFF8696B"/>
        <color rgb="FFFFEB84"/>
        <color rgb="FF63BE7B"/>
      </colorScale>
    </cfRule>
  </conditionalFormatting>
  <conditionalFormatting sqref="Y14:Z14">
    <cfRule type="colorScale" priority="496">
      <colorScale>
        <cfvo type="num" val="1"/>
        <cfvo type="num" val="2"/>
        <cfvo type="num" val="3"/>
        <color rgb="FFF8696B"/>
        <color rgb="FFFFEB84"/>
        <color rgb="FF63BE7B"/>
      </colorScale>
    </cfRule>
  </conditionalFormatting>
  <conditionalFormatting sqref="Y14">
    <cfRule type="colorScale" priority="495">
      <colorScale>
        <cfvo type="num" val="1"/>
        <cfvo type="num" val="2"/>
        <cfvo type="num" val="3"/>
        <color rgb="FFF8696B"/>
        <color rgb="FFFFEB84"/>
        <color rgb="FF63BE7B"/>
      </colorScale>
    </cfRule>
  </conditionalFormatting>
  <conditionalFormatting sqref="Y14">
    <cfRule type="colorScale" priority="494">
      <colorScale>
        <cfvo type="num" val="1"/>
        <cfvo type="num" val="2"/>
        <cfvo type="num" val="3"/>
        <color rgb="FFF8696B"/>
        <color rgb="FFFFEB84"/>
        <color rgb="FF63BE7B"/>
      </colorScale>
    </cfRule>
  </conditionalFormatting>
  <conditionalFormatting sqref="H14">
    <cfRule type="colorScale" priority="493">
      <colorScale>
        <cfvo type="num" val="1"/>
        <cfvo type="num" val="2"/>
        <cfvo type="num" val="3"/>
        <color rgb="FFF8696B"/>
        <color rgb="FFFFEB84"/>
        <color rgb="FF63BE7B"/>
      </colorScale>
    </cfRule>
  </conditionalFormatting>
  <conditionalFormatting sqref="G14">
    <cfRule type="colorScale" priority="492">
      <colorScale>
        <cfvo type="num" val="1"/>
        <cfvo type="num" val="2"/>
        <cfvo type="num" val="3"/>
        <color rgb="FFF8696B"/>
        <color rgb="FFFFEB84"/>
        <color rgb="FF63BE7B"/>
      </colorScale>
    </cfRule>
  </conditionalFormatting>
  <conditionalFormatting sqref="H14">
    <cfRule type="colorScale" priority="491">
      <colorScale>
        <cfvo type="num" val="1"/>
        <cfvo type="num" val="2"/>
        <cfvo type="num" val="3"/>
        <color rgb="FFF8696B"/>
        <color rgb="FFFFEB84"/>
        <color rgb="FF63BE7B"/>
      </colorScale>
    </cfRule>
  </conditionalFormatting>
  <conditionalFormatting sqref="H14">
    <cfRule type="colorScale" priority="490">
      <colorScale>
        <cfvo type="num" val="1"/>
        <cfvo type="num" val="2"/>
        <cfvo type="num" val="3"/>
        <color rgb="FFF8696B"/>
        <color rgb="FFFFEB84"/>
        <color rgb="FF63BE7B"/>
      </colorScale>
    </cfRule>
  </conditionalFormatting>
  <conditionalFormatting sqref="G14">
    <cfRule type="colorScale" priority="489">
      <colorScale>
        <cfvo type="num" val="1"/>
        <cfvo type="num" val="2"/>
        <cfvo type="num" val="3"/>
        <color rgb="FFF8696B"/>
        <color rgb="FFFFEB84"/>
        <color rgb="FF63BE7B"/>
      </colorScale>
    </cfRule>
  </conditionalFormatting>
  <conditionalFormatting sqref="J14">
    <cfRule type="colorScale" priority="488">
      <colorScale>
        <cfvo type="num" val="1"/>
        <cfvo type="num" val="2"/>
        <cfvo type="num" val="3"/>
        <color rgb="FFF8696B"/>
        <color rgb="FFFFEB84"/>
        <color rgb="FF63BE7B"/>
      </colorScale>
    </cfRule>
  </conditionalFormatting>
  <conditionalFormatting sqref="J14">
    <cfRule type="colorScale" priority="487">
      <colorScale>
        <cfvo type="num" val="1"/>
        <cfvo type="num" val="2"/>
        <cfvo type="num" val="3"/>
        <color rgb="FFF8696B"/>
        <color rgb="FFFFEB84"/>
        <color rgb="FF63BE7B"/>
      </colorScale>
    </cfRule>
  </conditionalFormatting>
  <conditionalFormatting sqref="J14">
    <cfRule type="colorScale" priority="486">
      <colorScale>
        <cfvo type="num" val="1"/>
        <cfvo type="num" val="2"/>
        <cfvo type="num" val="3"/>
        <color rgb="FFF8696B"/>
        <color rgb="FFFFEB84"/>
        <color rgb="FF63BE7B"/>
      </colorScale>
    </cfRule>
  </conditionalFormatting>
  <conditionalFormatting sqref="L14">
    <cfRule type="colorScale" priority="485">
      <colorScale>
        <cfvo type="num" val="1"/>
        <cfvo type="num" val="2"/>
        <cfvo type="num" val="3"/>
        <color rgb="FFF8696B"/>
        <color rgb="FFFFEB84"/>
        <color rgb="FF63BE7B"/>
      </colorScale>
    </cfRule>
  </conditionalFormatting>
  <conditionalFormatting sqref="K14">
    <cfRule type="colorScale" priority="484">
      <colorScale>
        <cfvo type="num" val="1"/>
        <cfvo type="num" val="2"/>
        <cfvo type="num" val="3"/>
        <color rgb="FFF8696B"/>
        <color rgb="FFFFEB84"/>
        <color rgb="FF63BE7B"/>
      </colorScale>
    </cfRule>
  </conditionalFormatting>
  <conditionalFormatting sqref="L14">
    <cfRule type="colorScale" priority="483">
      <colorScale>
        <cfvo type="num" val="1"/>
        <cfvo type="num" val="2"/>
        <cfvo type="num" val="3"/>
        <color rgb="FFF8696B"/>
        <color rgb="FFFFEB84"/>
        <color rgb="FF63BE7B"/>
      </colorScale>
    </cfRule>
  </conditionalFormatting>
  <conditionalFormatting sqref="L14">
    <cfRule type="colorScale" priority="482">
      <colorScale>
        <cfvo type="num" val="1"/>
        <cfvo type="num" val="2"/>
        <cfvo type="num" val="3"/>
        <color rgb="FFF8696B"/>
        <color rgb="FFFFEB84"/>
        <color rgb="FF63BE7B"/>
      </colorScale>
    </cfRule>
  </conditionalFormatting>
  <conditionalFormatting sqref="K14">
    <cfRule type="colorScale" priority="481">
      <colorScale>
        <cfvo type="num" val="1"/>
        <cfvo type="num" val="2"/>
        <cfvo type="num" val="3"/>
        <color rgb="FFF8696B"/>
        <color rgb="FFFFEB84"/>
        <color rgb="FF63BE7B"/>
      </colorScale>
    </cfRule>
  </conditionalFormatting>
  <conditionalFormatting sqref="N14">
    <cfRule type="colorScale" priority="480">
      <colorScale>
        <cfvo type="num" val="1"/>
        <cfvo type="num" val="2"/>
        <cfvo type="num" val="3"/>
        <color rgb="FFF8696B"/>
        <color rgb="FFFFEB84"/>
        <color rgb="FF63BE7B"/>
      </colorScale>
    </cfRule>
  </conditionalFormatting>
  <conditionalFormatting sqref="N14">
    <cfRule type="colorScale" priority="479">
      <colorScale>
        <cfvo type="num" val="1"/>
        <cfvo type="num" val="2"/>
        <cfvo type="num" val="3"/>
        <color rgb="FFF8696B"/>
        <color rgb="FFFFEB84"/>
        <color rgb="FF63BE7B"/>
      </colorScale>
    </cfRule>
  </conditionalFormatting>
  <conditionalFormatting sqref="N14">
    <cfRule type="colorScale" priority="478">
      <colorScale>
        <cfvo type="num" val="1"/>
        <cfvo type="num" val="2"/>
        <cfvo type="num" val="3"/>
        <color rgb="FFF8696B"/>
        <color rgb="FFFFEB84"/>
        <color rgb="FF63BE7B"/>
      </colorScale>
    </cfRule>
  </conditionalFormatting>
  <conditionalFormatting sqref="P14">
    <cfRule type="colorScale" priority="477">
      <colorScale>
        <cfvo type="num" val="1"/>
        <cfvo type="num" val="2"/>
        <cfvo type="num" val="3"/>
        <color rgb="FFF8696B"/>
        <color rgb="FFFFEB84"/>
        <color rgb="FF63BE7B"/>
      </colorScale>
    </cfRule>
  </conditionalFormatting>
  <conditionalFormatting sqref="O14:R14">
    <cfRule type="colorScale" priority="476">
      <colorScale>
        <cfvo type="num" val="1"/>
        <cfvo type="num" val="2"/>
        <cfvo type="num" val="3"/>
        <color rgb="FFF8696B"/>
        <color rgb="FFFFEB84"/>
        <color rgb="FF63BE7B"/>
      </colorScale>
    </cfRule>
  </conditionalFormatting>
  <conditionalFormatting sqref="P14">
    <cfRule type="colorScale" priority="475">
      <colorScale>
        <cfvo type="num" val="1"/>
        <cfvo type="num" val="2"/>
        <cfvo type="num" val="3"/>
        <color rgb="FFF8696B"/>
        <color rgb="FFFFEB84"/>
        <color rgb="FF63BE7B"/>
      </colorScale>
    </cfRule>
  </conditionalFormatting>
  <conditionalFormatting sqref="P14">
    <cfRule type="colorScale" priority="474">
      <colorScale>
        <cfvo type="num" val="1"/>
        <cfvo type="num" val="2"/>
        <cfvo type="num" val="3"/>
        <color rgb="FFF8696B"/>
        <color rgb="FFFFEB84"/>
        <color rgb="FF63BE7B"/>
      </colorScale>
    </cfRule>
  </conditionalFormatting>
  <conditionalFormatting sqref="O14:R14">
    <cfRule type="colorScale" priority="473">
      <colorScale>
        <cfvo type="num" val="1"/>
        <cfvo type="num" val="2"/>
        <cfvo type="num" val="3"/>
        <color rgb="FFF8696B"/>
        <color rgb="FFFFEB84"/>
        <color rgb="FF63BE7B"/>
      </colorScale>
    </cfRule>
  </conditionalFormatting>
  <conditionalFormatting sqref="R14">
    <cfRule type="colorScale" priority="472">
      <colorScale>
        <cfvo type="num" val="1"/>
        <cfvo type="num" val="2"/>
        <cfvo type="num" val="3"/>
        <color rgb="FFF8696B"/>
        <color rgb="FFFFEB84"/>
        <color rgb="FF63BE7B"/>
      </colorScale>
    </cfRule>
  </conditionalFormatting>
  <conditionalFormatting sqref="Q14">
    <cfRule type="colorScale" priority="471">
      <colorScale>
        <cfvo type="num" val="1"/>
        <cfvo type="num" val="2"/>
        <cfvo type="num" val="3"/>
        <color rgb="FFF8696B"/>
        <color rgb="FFFFEB84"/>
        <color rgb="FF63BE7B"/>
      </colorScale>
    </cfRule>
  </conditionalFormatting>
  <conditionalFormatting sqref="R14">
    <cfRule type="colorScale" priority="470">
      <colorScale>
        <cfvo type="num" val="1"/>
        <cfvo type="num" val="2"/>
        <cfvo type="num" val="3"/>
        <color rgb="FFF8696B"/>
        <color rgb="FFFFEB84"/>
        <color rgb="FF63BE7B"/>
      </colorScale>
    </cfRule>
  </conditionalFormatting>
  <conditionalFormatting sqref="R14">
    <cfRule type="colorScale" priority="469">
      <colorScale>
        <cfvo type="num" val="1"/>
        <cfvo type="num" val="2"/>
        <cfvo type="num" val="3"/>
        <color rgb="FFF8696B"/>
        <color rgb="FFFFEB84"/>
        <color rgb="FF63BE7B"/>
      </colorScale>
    </cfRule>
  </conditionalFormatting>
  <conditionalFormatting sqref="Q14">
    <cfRule type="colorScale" priority="468">
      <colorScale>
        <cfvo type="num" val="1"/>
        <cfvo type="num" val="2"/>
        <cfvo type="num" val="3"/>
        <color rgb="FFF8696B"/>
        <color rgb="FFFFEB84"/>
        <color rgb="FF63BE7B"/>
      </colorScale>
    </cfRule>
  </conditionalFormatting>
  <conditionalFormatting sqref="T14">
    <cfRule type="colorScale" priority="467">
      <colorScale>
        <cfvo type="num" val="1"/>
        <cfvo type="num" val="2"/>
        <cfvo type="num" val="3"/>
        <color rgb="FFF8696B"/>
        <color rgb="FFFFEB84"/>
        <color rgb="FF63BE7B"/>
      </colorScale>
    </cfRule>
  </conditionalFormatting>
  <conditionalFormatting sqref="T14">
    <cfRule type="colorScale" priority="466">
      <colorScale>
        <cfvo type="num" val="1"/>
        <cfvo type="num" val="2"/>
        <cfvo type="num" val="3"/>
        <color rgb="FFF8696B"/>
        <color rgb="FFFFEB84"/>
        <color rgb="FF63BE7B"/>
      </colorScale>
    </cfRule>
  </conditionalFormatting>
  <conditionalFormatting sqref="T14">
    <cfRule type="colorScale" priority="465">
      <colorScale>
        <cfvo type="num" val="1"/>
        <cfvo type="num" val="2"/>
        <cfvo type="num" val="3"/>
        <color rgb="FFF8696B"/>
        <color rgb="FFFFEB84"/>
        <color rgb="FF63BE7B"/>
      </colorScale>
    </cfRule>
  </conditionalFormatting>
  <conditionalFormatting sqref="V14">
    <cfRule type="colorScale" priority="464">
      <colorScale>
        <cfvo type="num" val="1"/>
        <cfvo type="num" val="2"/>
        <cfvo type="num" val="3"/>
        <color rgb="FFF8696B"/>
        <color rgb="FFFFEB84"/>
        <color rgb="FF63BE7B"/>
      </colorScale>
    </cfRule>
  </conditionalFormatting>
  <conditionalFormatting sqref="V14">
    <cfRule type="colorScale" priority="463">
      <colorScale>
        <cfvo type="num" val="1"/>
        <cfvo type="num" val="2"/>
        <cfvo type="num" val="3"/>
        <color rgb="FFF8696B"/>
        <color rgb="FFFFEB84"/>
        <color rgb="FF63BE7B"/>
      </colorScale>
    </cfRule>
  </conditionalFormatting>
  <conditionalFormatting sqref="V14">
    <cfRule type="colorScale" priority="462">
      <colorScale>
        <cfvo type="num" val="1"/>
        <cfvo type="num" val="2"/>
        <cfvo type="num" val="3"/>
        <color rgb="FFF8696B"/>
        <color rgb="FFFFEB84"/>
        <color rgb="FF63BE7B"/>
      </colorScale>
    </cfRule>
  </conditionalFormatting>
  <conditionalFormatting sqref="X14">
    <cfRule type="colorScale" priority="461">
      <colorScale>
        <cfvo type="num" val="1"/>
        <cfvo type="num" val="2"/>
        <cfvo type="num" val="3"/>
        <color rgb="FFF8696B"/>
        <color rgb="FFFFEB84"/>
        <color rgb="FF63BE7B"/>
      </colorScale>
    </cfRule>
  </conditionalFormatting>
  <conditionalFormatting sqref="X14">
    <cfRule type="colorScale" priority="460">
      <colorScale>
        <cfvo type="num" val="1"/>
        <cfvo type="num" val="2"/>
        <cfvo type="num" val="3"/>
        <color rgb="FFF8696B"/>
        <color rgb="FFFFEB84"/>
        <color rgb="FF63BE7B"/>
      </colorScale>
    </cfRule>
  </conditionalFormatting>
  <conditionalFormatting sqref="X14">
    <cfRule type="colorScale" priority="459">
      <colorScale>
        <cfvo type="num" val="1"/>
        <cfvo type="num" val="2"/>
        <cfvo type="num" val="3"/>
        <color rgb="FFF8696B"/>
        <color rgb="FFFFEB84"/>
        <color rgb="FF63BE7B"/>
      </colorScale>
    </cfRule>
  </conditionalFormatting>
  <conditionalFormatting sqref="Z14">
    <cfRule type="colorScale" priority="458">
      <colorScale>
        <cfvo type="num" val="1"/>
        <cfvo type="num" val="2"/>
        <cfvo type="num" val="3"/>
        <color rgb="FFF8696B"/>
        <color rgb="FFFFEB84"/>
        <color rgb="FF63BE7B"/>
      </colorScale>
    </cfRule>
  </conditionalFormatting>
  <conditionalFormatting sqref="Y14">
    <cfRule type="colorScale" priority="457">
      <colorScale>
        <cfvo type="num" val="1"/>
        <cfvo type="num" val="2"/>
        <cfvo type="num" val="3"/>
        <color rgb="FFF8696B"/>
        <color rgb="FFFFEB84"/>
        <color rgb="FF63BE7B"/>
      </colorScale>
    </cfRule>
  </conditionalFormatting>
  <conditionalFormatting sqref="Z14">
    <cfRule type="colorScale" priority="456">
      <colorScale>
        <cfvo type="num" val="1"/>
        <cfvo type="num" val="2"/>
        <cfvo type="num" val="3"/>
        <color rgb="FFF8696B"/>
        <color rgb="FFFFEB84"/>
        <color rgb="FF63BE7B"/>
      </colorScale>
    </cfRule>
  </conditionalFormatting>
  <conditionalFormatting sqref="Z14">
    <cfRule type="colorScale" priority="455">
      <colorScale>
        <cfvo type="num" val="1"/>
        <cfvo type="num" val="2"/>
        <cfvo type="num" val="3"/>
        <color rgb="FFF8696B"/>
        <color rgb="FFFFEB84"/>
        <color rgb="FF63BE7B"/>
      </colorScale>
    </cfRule>
  </conditionalFormatting>
  <conditionalFormatting sqref="Y14">
    <cfRule type="colorScale" priority="454">
      <colorScale>
        <cfvo type="num" val="1"/>
        <cfvo type="num" val="2"/>
        <cfvo type="num" val="3"/>
        <color rgb="FFF8696B"/>
        <color rgb="FFFFEB84"/>
        <color rgb="FF63BE7B"/>
      </colorScale>
    </cfRule>
  </conditionalFormatting>
  <conditionalFormatting sqref="AB14">
    <cfRule type="colorScale" priority="453">
      <colorScale>
        <cfvo type="num" val="1"/>
        <cfvo type="num" val="2"/>
        <cfvo type="num" val="3"/>
        <color rgb="FFF8696B"/>
        <color rgb="FFFFEB84"/>
        <color rgb="FF63BE7B"/>
      </colorScale>
    </cfRule>
  </conditionalFormatting>
  <conditionalFormatting sqref="AA14">
    <cfRule type="colorScale" priority="452">
      <colorScale>
        <cfvo type="num" val="1"/>
        <cfvo type="num" val="2"/>
        <cfvo type="num" val="3"/>
        <color rgb="FFF8696B"/>
        <color rgb="FFFFEB84"/>
        <color rgb="FF63BE7B"/>
      </colorScale>
    </cfRule>
  </conditionalFormatting>
  <conditionalFormatting sqref="AB14">
    <cfRule type="colorScale" priority="451">
      <colorScale>
        <cfvo type="num" val="1"/>
        <cfvo type="num" val="2"/>
        <cfvo type="num" val="3"/>
        <color rgb="FFF8696B"/>
        <color rgb="FFFFEB84"/>
        <color rgb="FF63BE7B"/>
      </colorScale>
    </cfRule>
  </conditionalFormatting>
  <conditionalFormatting sqref="AB14">
    <cfRule type="colorScale" priority="450">
      <colorScale>
        <cfvo type="num" val="1"/>
        <cfvo type="num" val="2"/>
        <cfvo type="num" val="3"/>
        <color rgb="FFF8696B"/>
        <color rgb="FFFFEB84"/>
        <color rgb="FF63BE7B"/>
      </colorScale>
    </cfRule>
  </conditionalFormatting>
  <conditionalFormatting sqref="AA14">
    <cfRule type="colorScale" priority="449">
      <colorScale>
        <cfvo type="num" val="1"/>
        <cfvo type="num" val="2"/>
        <cfvo type="num" val="3"/>
        <color rgb="FFF8696B"/>
        <color rgb="FFFFEB84"/>
        <color rgb="FF63BE7B"/>
      </colorScale>
    </cfRule>
  </conditionalFormatting>
  <conditionalFormatting sqref="AD14">
    <cfRule type="colorScale" priority="448">
      <colorScale>
        <cfvo type="num" val="1"/>
        <cfvo type="num" val="2"/>
        <cfvo type="num" val="3"/>
        <color rgb="FFF8696B"/>
        <color rgb="FFFFEB84"/>
        <color rgb="FF63BE7B"/>
      </colorScale>
    </cfRule>
  </conditionalFormatting>
  <conditionalFormatting sqref="AC14">
    <cfRule type="colorScale" priority="447">
      <colorScale>
        <cfvo type="num" val="1"/>
        <cfvo type="num" val="2"/>
        <cfvo type="num" val="3"/>
        <color rgb="FFF8696B"/>
        <color rgb="FFFFEB84"/>
        <color rgb="FF63BE7B"/>
      </colorScale>
    </cfRule>
  </conditionalFormatting>
  <conditionalFormatting sqref="AD14">
    <cfRule type="colorScale" priority="446">
      <colorScale>
        <cfvo type="num" val="1"/>
        <cfvo type="num" val="2"/>
        <cfvo type="num" val="3"/>
        <color rgb="FFF8696B"/>
        <color rgb="FFFFEB84"/>
        <color rgb="FF63BE7B"/>
      </colorScale>
    </cfRule>
  </conditionalFormatting>
  <conditionalFormatting sqref="AD14">
    <cfRule type="colorScale" priority="445">
      <colorScale>
        <cfvo type="num" val="1"/>
        <cfvo type="num" val="2"/>
        <cfvo type="num" val="3"/>
        <color rgb="FFF8696B"/>
        <color rgb="FFFFEB84"/>
        <color rgb="FF63BE7B"/>
      </colorScale>
    </cfRule>
  </conditionalFormatting>
  <conditionalFormatting sqref="AC14">
    <cfRule type="colorScale" priority="444">
      <colorScale>
        <cfvo type="num" val="1"/>
        <cfvo type="num" val="2"/>
        <cfvo type="num" val="3"/>
        <color rgb="FFF8696B"/>
        <color rgb="FFFFEB84"/>
        <color rgb="FF63BE7B"/>
      </colorScale>
    </cfRule>
  </conditionalFormatting>
  <conditionalFormatting sqref="AF14">
    <cfRule type="colorScale" priority="443">
      <colorScale>
        <cfvo type="num" val="1"/>
        <cfvo type="num" val="2"/>
        <cfvo type="num" val="3"/>
        <color rgb="FFF8696B"/>
        <color rgb="FFFFEB84"/>
        <color rgb="FF63BE7B"/>
      </colorScale>
    </cfRule>
  </conditionalFormatting>
  <conditionalFormatting sqref="AF14">
    <cfRule type="colorScale" priority="442">
      <colorScale>
        <cfvo type="num" val="1"/>
        <cfvo type="num" val="2"/>
        <cfvo type="num" val="3"/>
        <color rgb="FFF8696B"/>
        <color rgb="FFFFEB84"/>
        <color rgb="FF63BE7B"/>
      </colorScale>
    </cfRule>
  </conditionalFormatting>
  <conditionalFormatting sqref="AF14">
    <cfRule type="colorScale" priority="441">
      <colorScale>
        <cfvo type="num" val="1"/>
        <cfvo type="num" val="2"/>
        <cfvo type="num" val="3"/>
        <color rgb="FFF8696B"/>
        <color rgb="FFFFEB84"/>
        <color rgb="FF63BE7B"/>
      </colorScale>
    </cfRule>
  </conditionalFormatting>
  <conditionalFormatting sqref="O12">
    <cfRule type="colorScale" priority="440">
      <colorScale>
        <cfvo type="num" val="1"/>
        <cfvo type="num" val="2"/>
        <cfvo type="num" val="3"/>
        <color rgb="FFF8696B"/>
        <color rgb="FFFFEB84"/>
        <color rgb="FF63BE7B"/>
      </colorScale>
    </cfRule>
  </conditionalFormatting>
  <conditionalFormatting sqref="O12">
    <cfRule type="colorScale" priority="439">
      <colorScale>
        <cfvo type="num" val="1"/>
        <cfvo type="num" val="2"/>
        <cfvo type="num" val="3"/>
        <color rgb="FFF8696B"/>
        <color rgb="FFFFEB84"/>
        <color rgb="FF63BE7B"/>
      </colorScale>
    </cfRule>
  </conditionalFormatting>
  <conditionalFormatting sqref="O12">
    <cfRule type="colorScale" priority="438">
      <colorScale>
        <cfvo type="num" val="1"/>
        <cfvo type="num" val="2"/>
        <cfvo type="num" val="3"/>
        <color rgb="FFF8696B"/>
        <color rgb="FFFFEB84"/>
        <color rgb="FF63BE7B"/>
      </colorScale>
    </cfRule>
  </conditionalFormatting>
  <conditionalFormatting sqref="O12">
    <cfRule type="colorScale" priority="437">
      <colorScale>
        <cfvo type="num" val="1"/>
        <cfvo type="num" val="2"/>
        <cfvo type="num" val="3"/>
        <color rgb="FFF8696B"/>
        <color rgb="FFFFEB84"/>
        <color rgb="FF63BE7B"/>
      </colorScale>
    </cfRule>
  </conditionalFormatting>
  <conditionalFormatting sqref="N4">
    <cfRule type="colorScale" priority="436">
      <colorScale>
        <cfvo type="num" val="1"/>
        <cfvo type="num" val="2"/>
        <cfvo type="num" val="3"/>
        <color rgb="FFF8696B"/>
        <color rgb="FFFFEB84"/>
        <color rgb="FF63BE7B"/>
      </colorScale>
    </cfRule>
  </conditionalFormatting>
  <conditionalFormatting sqref="N4">
    <cfRule type="colorScale" priority="435">
      <colorScale>
        <cfvo type="num" val="1"/>
        <cfvo type="num" val="2"/>
        <cfvo type="num" val="3"/>
        <color rgb="FFF8696B"/>
        <color rgb="FFFFEB84"/>
        <color rgb="FF63BE7B"/>
      </colorScale>
    </cfRule>
  </conditionalFormatting>
  <conditionalFormatting sqref="L4:P4">
    <cfRule type="colorScale" priority="434">
      <colorScale>
        <cfvo type="num" val="1"/>
        <cfvo type="num" val="2"/>
        <cfvo type="num" val="3"/>
        <color rgb="FFF8696B"/>
        <color rgb="FFFFEB84"/>
        <color rgb="FF63BE7B"/>
      </colorScale>
    </cfRule>
  </conditionalFormatting>
  <conditionalFormatting sqref="K4:P4">
    <cfRule type="colorScale" priority="433">
      <colorScale>
        <cfvo type="num" val="1"/>
        <cfvo type="num" val="2"/>
        <cfvo type="num" val="3"/>
        <color rgb="FFF8696B"/>
        <color rgb="FFFFEB84"/>
        <color rgb="FF63BE7B"/>
      </colorScale>
    </cfRule>
  </conditionalFormatting>
  <conditionalFormatting sqref="O4">
    <cfRule type="colorScale" priority="432">
      <colorScale>
        <cfvo type="num" val="1"/>
        <cfvo type="num" val="2"/>
        <cfvo type="num" val="3"/>
        <color rgb="FFF8696B"/>
        <color rgb="FFFFEB84"/>
        <color rgb="FF63BE7B"/>
      </colorScale>
    </cfRule>
  </conditionalFormatting>
  <conditionalFormatting sqref="N4">
    <cfRule type="colorScale" priority="431">
      <colorScale>
        <cfvo type="num" val="1"/>
        <cfvo type="num" val="2"/>
        <cfvo type="num" val="3"/>
        <color rgb="FFF8696B"/>
        <color rgb="FFFFEB84"/>
        <color rgb="FF63BE7B"/>
      </colorScale>
    </cfRule>
  </conditionalFormatting>
  <conditionalFormatting sqref="O4">
    <cfRule type="colorScale" priority="430">
      <colorScale>
        <cfvo type="num" val="1"/>
        <cfvo type="num" val="2"/>
        <cfvo type="num" val="3"/>
        <color rgb="FFF8696B"/>
        <color rgb="FFFFEB84"/>
        <color rgb="FF63BE7B"/>
      </colorScale>
    </cfRule>
  </conditionalFormatting>
  <conditionalFormatting sqref="N4">
    <cfRule type="colorScale" priority="429">
      <colorScale>
        <cfvo type="num" val="1"/>
        <cfvo type="num" val="2"/>
        <cfvo type="num" val="3"/>
        <color rgb="FFF8696B"/>
        <color rgb="FFFFEB84"/>
        <color rgb="FF63BE7B"/>
      </colorScale>
    </cfRule>
  </conditionalFormatting>
  <conditionalFormatting sqref="O4">
    <cfRule type="colorScale" priority="428">
      <colorScale>
        <cfvo type="num" val="1"/>
        <cfvo type="num" val="2"/>
        <cfvo type="num" val="3"/>
        <color rgb="FFF8696B"/>
        <color rgb="FFFFEB84"/>
        <color rgb="FF63BE7B"/>
      </colorScale>
    </cfRule>
  </conditionalFormatting>
  <conditionalFormatting sqref="O4">
    <cfRule type="colorScale" priority="427">
      <colorScale>
        <cfvo type="num" val="1"/>
        <cfvo type="num" val="2"/>
        <cfvo type="num" val="3"/>
        <color rgb="FFF8696B"/>
        <color rgb="FFFFEB84"/>
        <color rgb="FF63BE7B"/>
      </colorScale>
    </cfRule>
  </conditionalFormatting>
  <conditionalFormatting sqref="O4">
    <cfRule type="colorScale" priority="426">
      <colorScale>
        <cfvo type="num" val="1"/>
        <cfvo type="num" val="2"/>
        <cfvo type="num" val="3"/>
        <color rgb="FFF8696B"/>
        <color rgb="FFFFEB84"/>
        <color rgb="FF63BE7B"/>
      </colorScale>
    </cfRule>
  </conditionalFormatting>
  <conditionalFormatting sqref="O4">
    <cfRule type="colorScale" priority="425">
      <colorScale>
        <cfvo type="num" val="1"/>
        <cfvo type="num" val="2"/>
        <cfvo type="num" val="3"/>
        <color rgb="FFF8696B"/>
        <color rgb="FFFFEB84"/>
        <color rgb="FF63BE7B"/>
      </colorScale>
    </cfRule>
  </conditionalFormatting>
  <conditionalFormatting sqref="O4">
    <cfRule type="colorScale" priority="424">
      <colorScale>
        <cfvo type="num" val="1"/>
        <cfvo type="num" val="2"/>
        <cfvo type="num" val="3"/>
        <color rgb="FFF8696B"/>
        <color rgb="FFFFEB84"/>
        <color rgb="FF63BE7B"/>
      </colorScale>
    </cfRule>
  </conditionalFormatting>
  <conditionalFormatting sqref="O4">
    <cfRule type="colorScale" priority="423">
      <colorScale>
        <cfvo type="num" val="1"/>
        <cfvo type="num" val="2"/>
        <cfvo type="num" val="3"/>
        <color rgb="FFF8696B"/>
        <color rgb="FFFFEB84"/>
        <color rgb="FF63BE7B"/>
      </colorScale>
    </cfRule>
  </conditionalFormatting>
  <conditionalFormatting sqref="O4">
    <cfRule type="colorScale" priority="422">
      <colorScale>
        <cfvo type="num" val="1"/>
        <cfvo type="num" val="2"/>
        <cfvo type="num" val="3"/>
        <color rgb="FFF8696B"/>
        <color rgb="FFFFEB84"/>
        <color rgb="FF63BE7B"/>
      </colorScale>
    </cfRule>
  </conditionalFormatting>
  <conditionalFormatting sqref="N4">
    <cfRule type="colorScale" priority="421">
      <colorScale>
        <cfvo type="num" val="1"/>
        <cfvo type="num" val="2"/>
        <cfvo type="num" val="3"/>
        <color rgb="FFF8696B"/>
        <color rgb="FFFFEB84"/>
        <color rgb="FF63BE7B"/>
      </colorScale>
    </cfRule>
  </conditionalFormatting>
  <conditionalFormatting sqref="O4">
    <cfRule type="colorScale" priority="420">
      <colorScale>
        <cfvo type="num" val="1"/>
        <cfvo type="num" val="2"/>
        <cfvo type="num" val="3"/>
        <color rgb="FFF8696B"/>
        <color rgb="FFFFEB84"/>
        <color rgb="FF63BE7B"/>
      </colorScale>
    </cfRule>
  </conditionalFormatting>
  <conditionalFormatting sqref="O4">
    <cfRule type="colorScale" priority="419">
      <colorScale>
        <cfvo type="num" val="1"/>
        <cfvo type="num" val="2"/>
        <cfvo type="num" val="3"/>
        <color rgb="FFF8696B"/>
        <color rgb="FFFFEB84"/>
        <color rgb="FF63BE7B"/>
      </colorScale>
    </cfRule>
  </conditionalFormatting>
  <conditionalFormatting sqref="O4">
    <cfRule type="colorScale" priority="418">
      <colorScale>
        <cfvo type="num" val="1"/>
        <cfvo type="num" val="2"/>
        <cfvo type="num" val="3"/>
        <color rgb="FFF8696B"/>
        <color rgb="FFFFEB84"/>
        <color rgb="FF63BE7B"/>
      </colorScale>
    </cfRule>
  </conditionalFormatting>
  <conditionalFormatting sqref="U4">
    <cfRule type="colorScale" priority="417">
      <colorScale>
        <cfvo type="num" val="1"/>
        <cfvo type="num" val="2"/>
        <cfvo type="num" val="3"/>
        <color rgb="FFF8696B"/>
        <color rgb="FFFFEB84"/>
        <color rgb="FF63BE7B"/>
      </colorScale>
    </cfRule>
  </conditionalFormatting>
  <conditionalFormatting sqref="U4">
    <cfRule type="colorScale" priority="416">
      <colorScale>
        <cfvo type="num" val="1"/>
        <cfvo type="num" val="2"/>
        <cfvo type="num" val="3"/>
        <color rgb="FFF8696B"/>
        <color rgb="FFFFEB84"/>
        <color rgb="FF63BE7B"/>
      </colorScale>
    </cfRule>
  </conditionalFormatting>
  <conditionalFormatting sqref="S4:W4">
    <cfRule type="colorScale" priority="415">
      <colorScale>
        <cfvo type="num" val="1"/>
        <cfvo type="num" val="2"/>
        <cfvo type="num" val="3"/>
        <color rgb="FFF8696B"/>
        <color rgb="FFFFEB84"/>
        <color rgb="FF63BE7B"/>
      </colorScale>
    </cfRule>
  </conditionalFormatting>
  <conditionalFormatting sqref="R4:W4">
    <cfRule type="colorScale" priority="414">
      <colorScale>
        <cfvo type="num" val="1"/>
        <cfvo type="num" val="2"/>
        <cfvo type="num" val="3"/>
        <color rgb="FFF8696B"/>
        <color rgb="FFFFEB84"/>
        <color rgb="FF63BE7B"/>
      </colorScale>
    </cfRule>
  </conditionalFormatting>
  <conditionalFormatting sqref="V4">
    <cfRule type="colorScale" priority="413">
      <colorScale>
        <cfvo type="num" val="1"/>
        <cfvo type="num" val="2"/>
        <cfvo type="num" val="3"/>
        <color rgb="FFF8696B"/>
        <color rgb="FFFFEB84"/>
        <color rgb="FF63BE7B"/>
      </colorScale>
    </cfRule>
  </conditionalFormatting>
  <conditionalFormatting sqref="U4">
    <cfRule type="colorScale" priority="412">
      <colorScale>
        <cfvo type="num" val="1"/>
        <cfvo type="num" val="2"/>
        <cfvo type="num" val="3"/>
        <color rgb="FFF8696B"/>
        <color rgb="FFFFEB84"/>
        <color rgb="FF63BE7B"/>
      </colorScale>
    </cfRule>
  </conditionalFormatting>
  <conditionalFormatting sqref="V4">
    <cfRule type="colorScale" priority="411">
      <colorScale>
        <cfvo type="num" val="1"/>
        <cfvo type="num" val="2"/>
        <cfvo type="num" val="3"/>
        <color rgb="FFF8696B"/>
        <color rgb="FFFFEB84"/>
        <color rgb="FF63BE7B"/>
      </colorScale>
    </cfRule>
  </conditionalFormatting>
  <conditionalFormatting sqref="U4">
    <cfRule type="colorScale" priority="410">
      <colorScale>
        <cfvo type="num" val="1"/>
        <cfvo type="num" val="2"/>
        <cfvo type="num" val="3"/>
        <color rgb="FFF8696B"/>
        <color rgb="FFFFEB84"/>
        <color rgb="FF63BE7B"/>
      </colorScale>
    </cfRule>
  </conditionalFormatting>
  <conditionalFormatting sqref="V4">
    <cfRule type="colorScale" priority="409">
      <colorScale>
        <cfvo type="num" val="1"/>
        <cfvo type="num" val="2"/>
        <cfvo type="num" val="3"/>
        <color rgb="FFF8696B"/>
        <color rgb="FFFFEB84"/>
        <color rgb="FF63BE7B"/>
      </colorScale>
    </cfRule>
  </conditionalFormatting>
  <conditionalFormatting sqref="V4">
    <cfRule type="colorScale" priority="408">
      <colorScale>
        <cfvo type="num" val="1"/>
        <cfvo type="num" val="2"/>
        <cfvo type="num" val="3"/>
        <color rgb="FFF8696B"/>
        <color rgb="FFFFEB84"/>
        <color rgb="FF63BE7B"/>
      </colorScale>
    </cfRule>
  </conditionalFormatting>
  <conditionalFormatting sqref="V4">
    <cfRule type="colorScale" priority="407">
      <colorScale>
        <cfvo type="num" val="1"/>
        <cfvo type="num" val="2"/>
        <cfvo type="num" val="3"/>
        <color rgb="FFF8696B"/>
        <color rgb="FFFFEB84"/>
        <color rgb="FF63BE7B"/>
      </colorScale>
    </cfRule>
  </conditionalFormatting>
  <conditionalFormatting sqref="V4">
    <cfRule type="colorScale" priority="406">
      <colorScale>
        <cfvo type="num" val="1"/>
        <cfvo type="num" val="2"/>
        <cfvo type="num" val="3"/>
        <color rgb="FFF8696B"/>
        <color rgb="FFFFEB84"/>
        <color rgb="FF63BE7B"/>
      </colorScale>
    </cfRule>
  </conditionalFormatting>
  <conditionalFormatting sqref="V4">
    <cfRule type="colorScale" priority="405">
      <colorScale>
        <cfvo type="num" val="1"/>
        <cfvo type="num" val="2"/>
        <cfvo type="num" val="3"/>
        <color rgb="FFF8696B"/>
        <color rgb="FFFFEB84"/>
        <color rgb="FF63BE7B"/>
      </colorScale>
    </cfRule>
  </conditionalFormatting>
  <conditionalFormatting sqref="V4">
    <cfRule type="colorScale" priority="404">
      <colorScale>
        <cfvo type="num" val="1"/>
        <cfvo type="num" val="2"/>
        <cfvo type="num" val="3"/>
        <color rgb="FFF8696B"/>
        <color rgb="FFFFEB84"/>
        <color rgb="FF63BE7B"/>
      </colorScale>
    </cfRule>
  </conditionalFormatting>
  <conditionalFormatting sqref="V4">
    <cfRule type="colorScale" priority="403">
      <colorScale>
        <cfvo type="num" val="1"/>
        <cfvo type="num" val="2"/>
        <cfvo type="num" val="3"/>
        <color rgb="FFF8696B"/>
        <color rgb="FFFFEB84"/>
        <color rgb="FF63BE7B"/>
      </colorScale>
    </cfRule>
  </conditionalFormatting>
  <conditionalFormatting sqref="U4">
    <cfRule type="colorScale" priority="402">
      <colorScale>
        <cfvo type="num" val="1"/>
        <cfvo type="num" val="2"/>
        <cfvo type="num" val="3"/>
        <color rgb="FFF8696B"/>
        <color rgb="FFFFEB84"/>
        <color rgb="FF63BE7B"/>
      </colorScale>
    </cfRule>
  </conditionalFormatting>
  <conditionalFormatting sqref="V4">
    <cfRule type="colorScale" priority="401">
      <colorScale>
        <cfvo type="num" val="1"/>
        <cfvo type="num" val="2"/>
        <cfvo type="num" val="3"/>
        <color rgb="FFF8696B"/>
        <color rgb="FFFFEB84"/>
        <color rgb="FF63BE7B"/>
      </colorScale>
    </cfRule>
  </conditionalFormatting>
  <conditionalFormatting sqref="V4">
    <cfRule type="colorScale" priority="400">
      <colorScale>
        <cfvo type="num" val="1"/>
        <cfvo type="num" val="2"/>
        <cfvo type="num" val="3"/>
        <color rgb="FFF8696B"/>
        <color rgb="FFFFEB84"/>
        <color rgb="FF63BE7B"/>
      </colorScale>
    </cfRule>
  </conditionalFormatting>
  <conditionalFormatting sqref="V4">
    <cfRule type="colorScale" priority="399">
      <colorScale>
        <cfvo type="num" val="1"/>
        <cfvo type="num" val="2"/>
        <cfvo type="num" val="3"/>
        <color rgb="FFF8696B"/>
        <color rgb="FFFFEB84"/>
        <color rgb="FF63BE7B"/>
      </colorScale>
    </cfRule>
  </conditionalFormatting>
  <conditionalFormatting sqref="AB4">
    <cfRule type="colorScale" priority="398">
      <colorScale>
        <cfvo type="num" val="1"/>
        <cfvo type="num" val="2"/>
        <cfvo type="num" val="3"/>
        <color rgb="FFF8696B"/>
        <color rgb="FFFFEB84"/>
        <color rgb="FF63BE7B"/>
      </colorScale>
    </cfRule>
  </conditionalFormatting>
  <conditionalFormatting sqref="AB4">
    <cfRule type="colorScale" priority="397">
      <colorScale>
        <cfvo type="num" val="1"/>
        <cfvo type="num" val="2"/>
        <cfvo type="num" val="3"/>
        <color rgb="FFF8696B"/>
        <color rgb="FFFFEB84"/>
        <color rgb="FF63BE7B"/>
      </colorScale>
    </cfRule>
  </conditionalFormatting>
  <conditionalFormatting sqref="Z4:AD4">
    <cfRule type="colorScale" priority="396">
      <colorScale>
        <cfvo type="num" val="1"/>
        <cfvo type="num" val="2"/>
        <cfvo type="num" val="3"/>
        <color rgb="FFF8696B"/>
        <color rgb="FFFFEB84"/>
        <color rgb="FF63BE7B"/>
      </colorScale>
    </cfRule>
  </conditionalFormatting>
  <conditionalFormatting sqref="Y4:AD4">
    <cfRule type="colorScale" priority="395">
      <colorScale>
        <cfvo type="num" val="1"/>
        <cfvo type="num" val="2"/>
        <cfvo type="num" val="3"/>
        <color rgb="FFF8696B"/>
        <color rgb="FFFFEB84"/>
        <color rgb="FF63BE7B"/>
      </colorScale>
    </cfRule>
  </conditionalFormatting>
  <conditionalFormatting sqref="AC4">
    <cfRule type="colorScale" priority="394">
      <colorScale>
        <cfvo type="num" val="1"/>
        <cfvo type="num" val="2"/>
        <cfvo type="num" val="3"/>
        <color rgb="FFF8696B"/>
        <color rgb="FFFFEB84"/>
        <color rgb="FF63BE7B"/>
      </colorScale>
    </cfRule>
  </conditionalFormatting>
  <conditionalFormatting sqref="AB4">
    <cfRule type="colorScale" priority="393">
      <colorScale>
        <cfvo type="num" val="1"/>
        <cfvo type="num" val="2"/>
        <cfvo type="num" val="3"/>
        <color rgb="FFF8696B"/>
        <color rgb="FFFFEB84"/>
        <color rgb="FF63BE7B"/>
      </colorScale>
    </cfRule>
  </conditionalFormatting>
  <conditionalFormatting sqref="AC4">
    <cfRule type="colorScale" priority="392">
      <colorScale>
        <cfvo type="num" val="1"/>
        <cfvo type="num" val="2"/>
        <cfvo type="num" val="3"/>
        <color rgb="FFF8696B"/>
        <color rgb="FFFFEB84"/>
        <color rgb="FF63BE7B"/>
      </colorScale>
    </cfRule>
  </conditionalFormatting>
  <conditionalFormatting sqref="AB4">
    <cfRule type="colorScale" priority="391">
      <colorScale>
        <cfvo type="num" val="1"/>
        <cfvo type="num" val="2"/>
        <cfvo type="num" val="3"/>
        <color rgb="FFF8696B"/>
        <color rgb="FFFFEB84"/>
        <color rgb="FF63BE7B"/>
      </colorScale>
    </cfRule>
  </conditionalFormatting>
  <conditionalFormatting sqref="AC4">
    <cfRule type="colorScale" priority="390">
      <colorScale>
        <cfvo type="num" val="1"/>
        <cfvo type="num" val="2"/>
        <cfvo type="num" val="3"/>
        <color rgb="FFF8696B"/>
        <color rgb="FFFFEB84"/>
        <color rgb="FF63BE7B"/>
      </colorScale>
    </cfRule>
  </conditionalFormatting>
  <conditionalFormatting sqref="AC4">
    <cfRule type="colorScale" priority="389">
      <colorScale>
        <cfvo type="num" val="1"/>
        <cfvo type="num" val="2"/>
        <cfvo type="num" val="3"/>
        <color rgb="FFF8696B"/>
        <color rgb="FFFFEB84"/>
        <color rgb="FF63BE7B"/>
      </colorScale>
    </cfRule>
  </conditionalFormatting>
  <conditionalFormatting sqref="AC4">
    <cfRule type="colorScale" priority="388">
      <colorScale>
        <cfvo type="num" val="1"/>
        <cfvo type="num" val="2"/>
        <cfvo type="num" val="3"/>
        <color rgb="FFF8696B"/>
        <color rgb="FFFFEB84"/>
        <color rgb="FF63BE7B"/>
      </colorScale>
    </cfRule>
  </conditionalFormatting>
  <conditionalFormatting sqref="AC4">
    <cfRule type="colorScale" priority="387">
      <colorScale>
        <cfvo type="num" val="1"/>
        <cfvo type="num" val="2"/>
        <cfvo type="num" val="3"/>
        <color rgb="FFF8696B"/>
        <color rgb="FFFFEB84"/>
        <color rgb="FF63BE7B"/>
      </colorScale>
    </cfRule>
  </conditionalFormatting>
  <conditionalFormatting sqref="AC4">
    <cfRule type="colorScale" priority="386">
      <colorScale>
        <cfvo type="num" val="1"/>
        <cfvo type="num" val="2"/>
        <cfvo type="num" val="3"/>
        <color rgb="FFF8696B"/>
        <color rgb="FFFFEB84"/>
        <color rgb="FF63BE7B"/>
      </colorScale>
    </cfRule>
  </conditionalFormatting>
  <conditionalFormatting sqref="AC4">
    <cfRule type="colorScale" priority="385">
      <colorScale>
        <cfvo type="num" val="1"/>
        <cfvo type="num" val="2"/>
        <cfvo type="num" val="3"/>
        <color rgb="FFF8696B"/>
        <color rgb="FFFFEB84"/>
        <color rgb="FF63BE7B"/>
      </colorScale>
    </cfRule>
  </conditionalFormatting>
  <conditionalFormatting sqref="AC4">
    <cfRule type="colorScale" priority="384">
      <colorScale>
        <cfvo type="num" val="1"/>
        <cfvo type="num" val="2"/>
        <cfvo type="num" val="3"/>
        <color rgb="FFF8696B"/>
        <color rgb="FFFFEB84"/>
        <color rgb="FF63BE7B"/>
      </colorScale>
    </cfRule>
  </conditionalFormatting>
  <conditionalFormatting sqref="AB4">
    <cfRule type="colorScale" priority="383">
      <colorScale>
        <cfvo type="num" val="1"/>
        <cfvo type="num" val="2"/>
        <cfvo type="num" val="3"/>
        <color rgb="FFF8696B"/>
        <color rgb="FFFFEB84"/>
        <color rgb="FF63BE7B"/>
      </colorScale>
    </cfRule>
  </conditionalFormatting>
  <conditionalFormatting sqref="AC4">
    <cfRule type="colorScale" priority="382">
      <colorScale>
        <cfvo type="num" val="1"/>
        <cfvo type="num" val="2"/>
        <cfvo type="num" val="3"/>
        <color rgb="FFF8696B"/>
        <color rgb="FFFFEB84"/>
        <color rgb="FF63BE7B"/>
      </colorScale>
    </cfRule>
  </conditionalFormatting>
  <conditionalFormatting sqref="AC4">
    <cfRule type="colorScale" priority="381">
      <colorScale>
        <cfvo type="num" val="1"/>
        <cfvo type="num" val="2"/>
        <cfvo type="num" val="3"/>
        <color rgb="FFF8696B"/>
        <color rgb="FFFFEB84"/>
        <color rgb="FF63BE7B"/>
      </colorScale>
    </cfRule>
  </conditionalFormatting>
  <conditionalFormatting sqref="AC4">
    <cfRule type="colorScale" priority="380">
      <colorScale>
        <cfvo type="num" val="1"/>
        <cfvo type="num" val="2"/>
        <cfvo type="num" val="3"/>
        <color rgb="FFF8696B"/>
        <color rgb="FFFFEB84"/>
        <color rgb="FF63BE7B"/>
      </colorScale>
    </cfRule>
  </conditionalFormatting>
  <conditionalFormatting sqref="C4">
    <cfRule type="colorScale" priority="379">
      <colorScale>
        <cfvo type="num" val="1"/>
        <cfvo type="num" val="2"/>
        <cfvo type="num" val="3"/>
        <color rgb="FFF8696B"/>
        <color rgb="FFFFEB84"/>
        <color rgb="FF63BE7B"/>
      </colorScale>
    </cfRule>
  </conditionalFormatting>
  <conditionalFormatting sqref="B4">
    <cfRule type="colorScale" priority="378">
      <colorScale>
        <cfvo type="num" val="1"/>
        <cfvo type="num" val="2"/>
        <cfvo type="num" val="3"/>
        <color rgb="FFF8696B"/>
        <color rgb="FFFFEB84"/>
        <color rgb="FF63BE7B"/>
      </colorScale>
    </cfRule>
  </conditionalFormatting>
  <conditionalFormatting sqref="B4">
    <cfRule type="colorScale" priority="377">
      <colorScale>
        <cfvo type="num" val="1"/>
        <cfvo type="num" val="2"/>
        <cfvo type="num" val="3"/>
        <color rgb="FFF8696B"/>
        <color rgb="FFFFEB84"/>
        <color rgb="FF63BE7B"/>
      </colorScale>
    </cfRule>
  </conditionalFormatting>
  <conditionalFormatting sqref="B4:C4">
    <cfRule type="colorScale" priority="376">
      <colorScale>
        <cfvo type="num" val="1"/>
        <cfvo type="num" val="2"/>
        <cfvo type="num" val="3"/>
        <color rgb="FFF8696B"/>
        <color rgb="FFFFEB84"/>
        <color rgb="FF63BE7B"/>
      </colorScale>
    </cfRule>
  </conditionalFormatting>
  <conditionalFormatting sqref="C4">
    <cfRule type="colorScale" priority="375">
      <colorScale>
        <cfvo type="num" val="1"/>
        <cfvo type="num" val="2"/>
        <cfvo type="num" val="3"/>
        <color rgb="FFF8696B"/>
        <color rgb="FFFFEB84"/>
        <color rgb="FF63BE7B"/>
      </colorScale>
    </cfRule>
  </conditionalFormatting>
  <conditionalFormatting sqref="B4">
    <cfRule type="colorScale" priority="374">
      <colorScale>
        <cfvo type="num" val="1"/>
        <cfvo type="num" val="2"/>
        <cfvo type="num" val="3"/>
        <color rgb="FFF8696B"/>
        <color rgb="FFFFEB84"/>
        <color rgb="FF63BE7B"/>
      </colorScale>
    </cfRule>
  </conditionalFormatting>
  <conditionalFormatting sqref="C4">
    <cfRule type="colorScale" priority="373">
      <colorScale>
        <cfvo type="num" val="1"/>
        <cfvo type="num" val="2"/>
        <cfvo type="num" val="3"/>
        <color rgb="FFF8696B"/>
        <color rgb="FFFFEB84"/>
        <color rgb="FF63BE7B"/>
      </colorScale>
    </cfRule>
  </conditionalFormatting>
  <conditionalFormatting sqref="C4">
    <cfRule type="colorScale" priority="372">
      <colorScale>
        <cfvo type="num" val="1"/>
        <cfvo type="num" val="2"/>
        <cfvo type="num" val="3"/>
        <color rgb="FFF8696B"/>
        <color rgb="FFFFEB84"/>
        <color rgb="FF63BE7B"/>
      </colorScale>
    </cfRule>
  </conditionalFormatting>
  <conditionalFormatting sqref="B4">
    <cfRule type="colorScale" priority="371">
      <colorScale>
        <cfvo type="num" val="1"/>
        <cfvo type="num" val="2"/>
        <cfvo type="num" val="3"/>
        <color rgb="FFF8696B"/>
        <color rgb="FFFFEB84"/>
        <color rgb="FF63BE7B"/>
      </colorScale>
    </cfRule>
  </conditionalFormatting>
  <conditionalFormatting sqref="B4">
    <cfRule type="colorScale" priority="370">
      <colorScale>
        <cfvo type="num" val="1"/>
        <cfvo type="num" val="2"/>
        <cfvo type="num" val="3"/>
        <color rgb="FFF8696B"/>
        <color rgb="FFFFEB84"/>
        <color rgb="FF63BE7B"/>
      </colorScale>
    </cfRule>
  </conditionalFormatting>
  <conditionalFormatting sqref="B4">
    <cfRule type="colorScale" priority="369">
      <colorScale>
        <cfvo type="num" val="1"/>
        <cfvo type="num" val="2"/>
        <cfvo type="num" val="3"/>
        <color rgb="FFF8696B"/>
        <color rgb="FFFFEB84"/>
        <color rgb="FF63BE7B"/>
      </colorScale>
    </cfRule>
  </conditionalFormatting>
  <conditionalFormatting sqref="C4">
    <cfRule type="colorScale" priority="368">
      <colorScale>
        <cfvo type="num" val="1"/>
        <cfvo type="num" val="2"/>
        <cfvo type="num" val="3"/>
        <color rgb="FFF8696B"/>
        <color rgb="FFFFEB84"/>
        <color rgb="FF63BE7B"/>
      </colorScale>
    </cfRule>
  </conditionalFormatting>
  <conditionalFormatting sqref="C4">
    <cfRule type="colorScale" priority="367">
      <colorScale>
        <cfvo type="num" val="1"/>
        <cfvo type="num" val="2"/>
        <cfvo type="num" val="3"/>
        <color rgb="FFF8696B"/>
        <color rgb="FFFFEB84"/>
        <color rgb="FF63BE7B"/>
      </colorScale>
    </cfRule>
  </conditionalFormatting>
  <conditionalFormatting sqref="J4">
    <cfRule type="colorScale" priority="366">
      <colorScale>
        <cfvo type="num" val="1"/>
        <cfvo type="num" val="2"/>
        <cfvo type="num" val="3"/>
        <color rgb="FFF8696B"/>
        <color rgb="FFFFEB84"/>
        <color rgb="FF63BE7B"/>
      </colorScale>
    </cfRule>
  </conditionalFormatting>
  <conditionalFormatting sqref="I4">
    <cfRule type="colorScale" priority="365">
      <colorScale>
        <cfvo type="num" val="1"/>
        <cfvo type="num" val="2"/>
        <cfvo type="num" val="3"/>
        <color rgb="FFF8696B"/>
        <color rgb="FFFFEB84"/>
        <color rgb="FF63BE7B"/>
      </colorScale>
    </cfRule>
  </conditionalFormatting>
  <conditionalFormatting sqref="I4">
    <cfRule type="colorScale" priority="364">
      <colorScale>
        <cfvo type="num" val="1"/>
        <cfvo type="num" val="2"/>
        <cfvo type="num" val="3"/>
        <color rgb="FFF8696B"/>
        <color rgb="FFFFEB84"/>
        <color rgb="FF63BE7B"/>
      </colorScale>
    </cfRule>
  </conditionalFormatting>
  <conditionalFormatting sqref="I4:J4">
    <cfRule type="colorScale" priority="363">
      <colorScale>
        <cfvo type="num" val="1"/>
        <cfvo type="num" val="2"/>
        <cfvo type="num" val="3"/>
        <color rgb="FFF8696B"/>
        <color rgb="FFFFEB84"/>
        <color rgb="FF63BE7B"/>
      </colorScale>
    </cfRule>
  </conditionalFormatting>
  <conditionalFormatting sqref="J4">
    <cfRule type="colorScale" priority="362">
      <colorScale>
        <cfvo type="num" val="1"/>
        <cfvo type="num" val="2"/>
        <cfvo type="num" val="3"/>
        <color rgb="FFF8696B"/>
        <color rgb="FFFFEB84"/>
        <color rgb="FF63BE7B"/>
      </colorScale>
    </cfRule>
  </conditionalFormatting>
  <conditionalFormatting sqref="I4">
    <cfRule type="colorScale" priority="361">
      <colorScale>
        <cfvo type="num" val="1"/>
        <cfvo type="num" val="2"/>
        <cfvo type="num" val="3"/>
        <color rgb="FFF8696B"/>
        <color rgb="FFFFEB84"/>
        <color rgb="FF63BE7B"/>
      </colorScale>
    </cfRule>
  </conditionalFormatting>
  <conditionalFormatting sqref="J4">
    <cfRule type="colorScale" priority="360">
      <colorScale>
        <cfvo type="num" val="1"/>
        <cfvo type="num" val="2"/>
        <cfvo type="num" val="3"/>
        <color rgb="FFF8696B"/>
        <color rgb="FFFFEB84"/>
        <color rgb="FF63BE7B"/>
      </colorScale>
    </cfRule>
  </conditionalFormatting>
  <conditionalFormatting sqref="J4">
    <cfRule type="colorScale" priority="359">
      <colorScale>
        <cfvo type="num" val="1"/>
        <cfvo type="num" val="2"/>
        <cfvo type="num" val="3"/>
        <color rgb="FFF8696B"/>
        <color rgb="FFFFEB84"/>
        <color rgb="FF63BE7B"/>
      </colorScale>
    </cfRule>
  </conditionalFormatting>
  <conditionalFormatting sqref="I4">
    <cfRule type="colorScale" priority="358">
      <colorScale>
        <cfvo type="num" val="1"/>
        <cfvo type="num" val="2"/>
        <cfvo type="num" val="3"/>
        <color rgb="FFF8696B"/>
        <color rgb="FFFFEB84"/>
        <color rgb="FF63BE7B"/>
      </colorScale>
    </cfRule>
  </conditionalFormatting>
  <conditionalFormatting sqref="I4">
    <cfRule type="colorScale" priority="357">
      <colorScale>
        <cfvo type="num" val="1"/>
        <cfvo type="num" val="2"/>
        <cfvo type="num" val="3"/>
        <color rgb="FFF8696B"/>
        <color rgb="FFFFEB84"/>
        <color rgb="FF63BE7B"/>
      </colorScale>
    </cfRule>
  </conditionalFormatting>
  <conditionalFormatting sqref="I4">
    <cfRule type="colorScale" priority="356">
      <colorScale>
        <cfvo type="num" val="1"/>
        <cfvo type="num" val="2"/>
        <cfvo type="num" val="3"/>
        <color rgb="FFF8696B"/>
        <color rgb="FFFFEB84"/>
        <color rgb="FF63BE7B"/>
      </colorScale>
    </cfRule>
  </conditionalFormatting>
  <conditionalFormatting sqref="J4">
    <cfRule type="colorScale" priority="355">
      <colorScale>
        <cfvo type="num" val="1"/>
        <cfvo type="num" val="2"/>
        <cfvo type="num" val="3"/>
        <color rgb="FFF8696B"/>
        <color rgb="FFFFEB84"/>
        <color rgb="FF63BE7B"/>
      </colorScale>
    </cfRule>
  </conditionalFormatting>
  <conditionalFormatting sqref="J4">
    <cfRule type="colorScale" priority="354">
      <colorScale>
        <cfvo type="num" val="1"/>
        <cfvo type="num" val="2"/>
        <cfvo type="num" val="3"/>
        <color rgb="FFF8696B"/>
        <color rgb="FFFFEB84"/>
        <color rgb="FF63BE7B"/>
      </colorScale>
    </cfRule>
  </conditionalFormatting>
  <conditionalFormatting sqref="Q4">
    <cfRule type="colorScale" priority="353">
      <colorScale>
        <cfvo type="num" val="1"/>
        <cfvo type="num" val="2"/>
        <cfvo type="num" val="3"/>
        <color rgb="FFF8696B"/>
        <color rgb="FFFFEB84"/>
        <color rgb="FF63BE7B"/>
      </colorScale>
    </cfRule>
  </conditionalFormatting>
  <conditionalFormatting sqref="P4">
    <cfRule type="colorScale" priority="352">
      <colorScale>
        <cfvo type="num" val="1"/>
        <cfvo type="num" val="2"/>
        <cfvo type="num" val="3"/>
        <color rgb="FFF8696B"/>
        <color rgb="FFFFEB84"/>
        <color rgb="FF63BE7B"/>
      </colorScale>
    </cfRule>
  </conditionalFormatting>
  <conditionalFormatting sqref="P4">
    <cfRule type="colorScale" priority="351">
      <colorScale>
        <cfvo type="num" val="1"/>
        <cfvo type="num" val="2"/>
        <cfvo type="num" val="3"/>
        <color rgb="FFF8696B"/>
        <color rgb="FFFFEB84"/>
        <color rgb="FF63BE7B"/>
      </colorScale>
    </cfRule>
  </conditionalFormatting>
  <conditionalFormatting sqref="P4:Q4">
    <cfRule type="colorScale" priority="350">
      <colorScale>
        <cfvo type="num" val="1"/>
        <cfvo type="num" val="2"/>
        <cfvo type="num" val="3"/>
        <color rgb="FFF8696B"/>
        <color rgb="FFFFEB84"/>
        <color rgb="FF63BE7B"/>
      </colorScale>
    </cfRule>
  </conditionalFormatting>
  <conditionalFormatting sqref="Q4">
    <cfRule type="colorScale" priority="349">
      <colorScale>
        <cfvo type="num" val="1"/>
        <cfvo type="num" val="2"/>
        <cfvo type="num" val="3"/>
        <color rgb="FFF8696B"/>
        <color rgb="FFFFEB84"/>
        <color rgb="FF63BE7B"/>
      </colorScale>
    </cfRule>
  </conditionalFormatting>
  <conditionalFormatting sqref="P4">
    <cfRule type="colorScale" priority="348">
      <colorScale>
        <cfvo type="num" val="1"/>
        <cfvo type="num" val="2"/>
        <cfvo type="num" val="3"/>
        <color rgb="FFF8696B"/>
        <color rgb="FFFFEB84"/>
        <color rgb="FF63BE7B"/>
      </colorScale>
    </cfRule>
  </conditionalFormatting>
  <conditionalFormatting sqref="Q4">
    <cfRule type="colorScale" priority="347">
      <colorScale>
        <cfvo type="num" val="1"/>
        <cfvo type="num" val="2"/>
        <cfvo type="num" val="3"/>
        <color rgb="FFF8696B"/>
        <color rgb="FFFFEB84"/>
        <color rgb="FF63BE7B"/>
      </colorScale>
    </cfRule>
  </conditionalFormatting>
  <conditionalFormatting sqref="Q4">
    <cfRule type="colorScale" priority="346">
      <colorScale>
        <cfvo type="num" val="1"/>
        <cfvo type="num" val="2"/>
        <cfvo type="num" val="3"/>
        <color rgb="FFF8696B"/>
        <color rgb="FFFFEB84"/>
        <color rgb="FF63BE7B"/>
      </colorScale>
    </cfRule>
  </conditionalFormatting>
  <conditionalFormatting sqref="P4">
    <cfRule type="colorScale" priority="345">
      <colorScale>
        <cfvo type="num" val="1"/>
        <cfvo type="num" val="2"/>
        <cfvo type="num" val="3"/>
        <color rgb="FFF8696B"/>
        <color rgb="FFFFEB84"/>
        <color rgb="FF63BE7B"/>
      </colorScale>
    </cfRule>
  </conditionalFormatting>
  <conditionalFormatting sqref="P4">
    <cfRule type="colorScale" priority="344">
      <colorScale>
        <cfvo type="num" val="1"/>
        <cfvo type="num" val="2"/>
        <cfvo type="num" val="3"/>
        <color rgb="FFF8696B"/>
        <color rgb="FFFFEB84"/>
        <color rgb="FF63BE7B"/>
      </colorScale>
    </cfRule>
  </conditionalFormatting>
  <conditionalFormatting sqref="P4">
    <cfRule type="colorScale" priority="343">
      <colorScale>
        <cfvo type="num" val="1"/>
        <cfvo type="num" val="2"/>
        <cfvo type="num" val="3"/>
        <color rgb="FFF8696B"/>
        <color rgb="FFFFEB84"/>
        <color rgb="FF63BE7B"/>
      </colorScale>
    </cfRule>
  </conditionalFormatting>
  <conditionalFormatting sqref="Q4">
    <cfRule type="colorScale" priority="342">
      <colorScale>
        <cfvo type="num" val="1"/>
        <cfvo type="num" val="2"/>
        <cfvo type="num" val="3"/>
        <color rgb="FFF8696B"/>
        <color rgb="FFFFEB84"/>
        <color rgb="FF63BE7B"/>
      </colorScale>
    </cfRule>
  </conditionalFormatting>
  <conditionalFormatting sqref="Q4">
    <cfRule type="colorScale" priority="341">
      <colorScale>
        <cfvo type="num" val="1"/>
        <cfvo type="num" val="2"/>
        <cfvo type="num" val="3"/>
        <color rgb="FFF8696B"/>
        <color rgb="FFFFEB84"/>
        <color rgb="FF63BE7B"/>
      </colorScale>
    </cfRule>
  </conditionalFormatting>
  <conditionalFormatting sqref="X4">
    <cfRule type="colorScale" priority="340">
      <colorScale>
        <cfvo type="num" val="1"/>
        <cfvo type="num" val="2"/>
        <cfvo type="num" val="3"/>
        <color rgb="FFF8696B"/>
        <color rgb="FFFFEB84"/>
        <color rgb="FF63BE7B"/>
      </colorScale>
    </cfRule>
  </conditionalFormatting>
  <conditionalFormatting sqref="W4">
    <cfRule type="colorScale" priority="339">
      <colorScale>
        <cfvo type="num" val="1"/>
        <cfvo type="num" val="2"/>
        <cfvo type="num" val="3"/>
        <color rgb="FFF8696B"/>
        <color rgb="FFFFEB84"/>
        <color rgb="FF63BE7B"/>
      </colorScale>
    </cfRule>
  </conditionalFormatting>
  <conditionalFormatting sqref="W4">
    <cfRule type="colorScale" priority="338">
      <colorScale>
        <cfvo type="num" val="1"/>
        <cfvo type="num" val="2"/>
        <cfvo type="num" val="3"/>
        <color rgb="FFF8696B"/>
        <color rgb="FFFFEB84"/>
        <color rgb="FF63BE7B"/>
      </colorScale>
    </cfRule>
  </conditionalFormatting>
  <conditionalFormatting sqref="W4:X4">
    <cfRule type="colorScale" priority="337">
      <colorScale>
        <cfvo type="num" val="1"/>
        <cfvo type="num" val="2"/>
        <cfvo type="num" val="3"/>
        <color rgb="FFF8696B"/>
        <color rgb="FFFFEB84"/>
        <color rgb="FF63BE7B"/>
      </colorScale>
    </cfRule>
  </conditionalFormatting>
  <conditionalFormatting sqref="X4">
    <cfRule type="colorScale" priority="336">
      <colorScale>
        <cfvo type="num" val="1"/>
        <cfvo type="num" val="2"/>
        <cfvo type="num" val="3"/>
        <color rgb="FFF8696B"/>
        <color rgb="FFFFEB84"/>
        <color rgb="FF63BE7B"/>
      </colorScale>
    </cfRule>
  </conditionalFormatting>
  <conditionalFormatting sqref="W4">
    <cfRule type="colorScale" priority="335">
      <colorScale>
        <cfvo type="num" val="1"/>
        <cfvo type="num" val="2"/>
        <cfvo type="num" val="3"/>
        <color rgb="FFF8696B"/>
        <color rgb="FFFFEB84"/>
        <color rgb="FF63BE7B"/>
      </colorScale>
    </cfRule>
  </conditionalFormatting>
  <conditionalFormatting sqref="X4">
    <cfRule type="colorScale" priority="334">
      <colorScale>
        <cfvo type="num" val="1"/>
        <cfvo type="num" val="2"/>
        <cfvo type="num" val="3"/>
        <color rgb="FFF8696B"/>
        <color rgb="FFFFEB84"/>
        <color rgb="FF63BE7B"/>
      </colorScale>
    </cfRule>
  </conditionalFormatting>
  <conditionalFormatting sqref="X4">
    <cfRule type="colorScale" priority="333">
      <colorScale>
        <cfvo type="num" val="1"/>
        <cfvo type="num" val="2"/>
        <cfvo type="num" val="3"/>
        <color rgb="FFF8696B"/>
        <color rgb="FFFFEB84"/>
        <color rgb="FF63BE7B"/>
      </colorScale>
    </cfRule>
  </conditionalFormatting>
  <conditionalFormatting sqref="W4">
    <cfRule type="colorScale" priority="332">
      <colorScale>
        <cfvo type="num" val="1"/>
        <cfvo type="num" val="2"/>
        <cfvo type="num" val="3"/>
        <color rgb="FFF8696B"/>
        <color rgb="FFFFEB84"/>
        <color rgb="FF63BE7B"/>
      </colorScale>
    </cfRule>
  </conditionalFormatting>
  <conditionalFormatting sqref="W4">
    <cfRule type="colorScale" priority="331">
      <colorScale>
        <cfvo type="num" val="1"/>
        <cfvo type="num" val="2"/>
        <cfvo type="num" val="3"/>
        <color rgb="FFF8696B"/>
        <color rgb="FFFFEB84"/>
        <color rgb="FF63BE7B"/>
      </colorScale>
    </cfRule>
  </conditionalFormatting>
  <conditionalFormatting sqref="W4">
    <cfRule type="colorScale" priority="330">
      <colorScale>
        <cfvo type="num" val="1"/>
        <cfvo type="num" val="2"/>
        <cfvo type="num" val="3"/>
        <color rgb="FFF8696B"/>
        <color rgb="FFFFEB84"/>
        <color rgb="FF63BE7B"/>
      </colorScale>
    </cfRule>
  </conditionalFormatting>
  <conditionalFormatting sqref="X4">
    <cfRule type="colorScale" priority="329">
      <colorScale>
        <cfvo type="num" val="1"/>
        <cfvo type="num" val="2"/>
        <cfvo type="num" val="3"/>
        <color rgb="FFF8696B"/>
        <color rgb="FFFFEB84"/>
        <color rgb="FF63BE7B"/>
      </colorScale>
    </cfRule>
  </conditionalFormatting>
  <conditionalFormatting sqref="X4">
    <cfRule type="colorScale" priority="328">
      <colorScale>
        <cfvo type="num" val="1"/>
        <cfvo type="num" val="2"/>
        <cfvo type="num" val="3"/>
        <color rgb="FFF8696B"/>
        <color rgb="FFFFEB84"/>
        <color rgb="FF63BE7B"/>
      </colorScale>
    </cfRule>
  </conditionalFormatting>
  <conditionalFormatting sqref="AE4">
    <cfRule type="colorScale" priority="327">
      <colorScale>
        <cfvo type="num" val="1"/>
        <cfvo type="num" val="2"/>
        <cfvo type="num" val="3"/>
        <color rgb="FFF8696B"/>
        <color rgb="FFFFEB84"/>
        <color rgb="FF63BE7B"/>
      </colorScale>
    </cfRule>
  </conditionalFormatting>
  <conditionalFormatting sqref="AE4">
    <cfRule type="colorScale" priority="326">
      <colorScale>
        <cfvo type="num" val="1"/>
        <cfvo type="num" val="2"/>
        <cfvo type="num" val="3"/>
        <color rgb="FFF8696B"/>
        <color rgb="FFFFEB84"/>
        <color rgb="FF63BE7B"/>
      </colorScale>
    </cfRule>
  </conditionalFormatting>
  <conditionalFormatting sqref="AE4">
    <cfRule type="colorScale" priority="325">
      <colorScale>
        <cfvo type="num" val="1"/>
        <cfvo type="num" val="2"/>
        <cfvo type="num" val="3"/>
        <color rgb="FFF8696B"/>
        <color rgb="FFFFEB84"/>
        <color rgb="FF63BE7B"/>
      </colorScale>
    </cfRule>
  </conditionalFormatting>
  <conditionalFormatting sqref="AE4">
    <cfRule type="colorScale" priority="324">
      <colorScale>
        <cfvo type="num" val="1"/>
        <cfvo type="num" val="2"/>
        <cfvo type="num" val="3"/>
        <color rgb="FFF8696B"/>
        <color rgb="FFFFEB84"/>
        <color rgb="FF63BE7B"/>
      </colorScale>
    </cfRule>
  </conditionalFormatting>
  <conditionalFormatting sqref="AE4">
    <cfRule type="colorScale" priority="323">
      <colorScale>
        <cfvo type="num" val="1"/>
        <cfvo type="num" val="2"/>
        <cfvo type="num" val="3"/>
        <color rgb="FFF8696B"/>
        <color rgb="FFFFEB84"/>
        <color rgb="FF63BE7B"/>
      </colorScale>
    </cfRule>
  </conditionalFormatting>
  <conditionalFormatting sqref="AD4">
    <cfRule type="colorScale" priority="322">
      <colorScale>
        <cfvo type="num" val="1"/>
        <cfvo type="num" val="2"/>
        <cfvo type="num" val="3"/>
        <color rgb="FFF8696B"/>
        <color rgb="FFFFEB84"/>
        <color rgb="FF63BE7B"/>
      </colorScale>
    </cfRule>
  </conditionalFormatting>
  <conditionalFormatting sqref="AD4">
    <cfRule type="colorScale" priority="321">
      <colorScale>
        <cfvo type="num" val="1"/>
        <cfvo type="num" val="2"/>
        <cfvo type="num" val="3"/>
        <color rgb="FFF8696B"/>
        <color rgb="FFFFEB84"/>
        <color rgb="FF63BE7B"/>
      </colorScale>
    </cfRule>
  </conditionalFormatting>
  <conditionalFormatting sqref="AD4:AE4">
    <cfRule type="colorScale" priority="320">
      <colorScale>
        <cfvo type="num" val="1"/>
        <cfvo type="num" val="2"/>
        <cfvo type="num" val="3"/>
        <color rgb="FFF8696B"/>
        <color rgb="FFFFEB84"/>
        <color rgb="FF63BE7B"/>
      </colorScale>
    </cfRule>
  </conditionalFormatting>
  <conditionalFormatting sqref="AE4">
    <cfRule type="colorScale" priority="319">
      <colorScale>
        <cfvo type="num" val="1"/>
        <cfvo type="num" val="2"/>
        <cfvo type="num" val="3"/>
        <color rgb="FFF8696B"/>
        <color rgb="FFFFEB84"/>
        <color rgb="FF63BE7B"/>
      </colorScale>
    </cfRule>
  </conditionalFormatting>
  <conditionalFormatting sqref="AD4">
    <cfRule type="colorScale" priority="318">
      <colorScale>
        <cfvo type="num" val="1"/>
        <cfvo type="num" val="2"/>
        <cfvo type="num" val="3"/>
        <color rgb="FFF8696B"/>
        <color rgb="FFFFEB84"/>
        <color rgb="FF63BE7B"/>
      </colorScale>
    </cfRule>
  </conditionalFormatting>
  <conditionalFormatting sqref="AE4">
    <cfRule type="colorScale" priority="317">
      <colorScale>
        <cfvo type="num" val="1"/>
        <cfvo type="num" val="2"/>
        <cfvo type="num" val="3"/>
        <color rgb="FFF8696B"/>
        <color rgb="FFFFEB84"/>
        <color rgb="FF63BE7B"/>
      </colorScale>
    </cfRule>
  </conditionalFormatting>
  <conditionalFormatting sqref="AE4">
    <cfRule type="colorScale" priority="316">
      <colorScale>
        <cfvo type="num" val="1"/>
        <cfvo type="num" val="2"/>
        <cfvo type="num" val="3"/>
        <color rgb="FFF8696B"/>
        <color rgb="FFFFEB84"/>
        <color rgb="FF63BE7B"/>
      </colorScale>
    </cfRule>
  </conditionalFormatting>
  <conditionalFormatting sqref="AD4">
    <cfRule type="colorScale" priority="315">
      <colorScale>
        <cfvo type="num" val="1"/>
        <cfvo type="num" val="2"/>
        <cfvo type="num" val="3"/>
        <color rgb="FFF8696B"/>
        <color rgb="FFFFEB84"/>
        <color rgb="FF63BE7B"/>
      </colorScale>
    </cfRule>
  </conditionalFormatting>
  <conditionalFormatting sqref="AD4">
    <cfRule type="colorScale" priority="314">
      <colorScale>
        <cfvo type="num" val="1"/>
        <cfvo type="num" val="2"/>
        <cfvo type="num" val="3"/>
        <color rgb="FFF8696B"/>
        <color rgb="FFFFEB84"/>
        <color rgb="FF63BE7B"/>
      </colorScale>
    </cfRule>
  </conditionalFormatting>
  <conditionalFormatting sqref="AD4">
    <cfRule type="colorScale" priority="313">
      <colorScale>
        <cfvo type="num" val="1"/>
        <cfvo type="num" val="2"/>
        <cfvo type="num" val="3"/>
        <color rgb="FFF8696B"/>
        <color rgb="FFFFEB84"/>
        <color rgb="FF63BE7B"/>
      </colorScale>
    </cfRule>
  </conditionalFormatting>
  <conditionalFormatting sqref="AE4">
    <cfRule type="colorScale" priority="312">
      <colorScale>
        <cfvo type="num" val="1"/>
        <cfvo type="num" val="2"/>
        <cfvo type="num" val="3"/>
        <color rgb="FFF8696B"/>
        <color rgb="FFFFEB84"/>
        <color rgb="FF63BE7B"/>
      </colorScale>
    </cfRule>
  </conditionalFormatting>
  <conditionalFormatting sqref="AE4">
    <cfRule type="colorScale" priority="311">
      <colorScale>
        <cfvo type="num" val="1"/>
        <cfvo type="num" val="2"/>
        <cfvo type="num" val="3"/>
        <color rgb="FFF8696B"/>
        <color rgb="FFFFEB84"/>
        <color rgb="FF63BE7B"/>
      </colorScale>
    </cfRule>
  </conditionalFormatting>
  <conditionalFormatting sqref="R10">
    <cfRule type="colorScale" priority="310">
      <colorScale>
        <cfvo type="num" val="1"/>
        <cfvo type="num" val="2"/>
        <cfvo type="num" val="3"/>
        <color rgb="FFF8696B"/>
        <color rgb="FFFFEB84"/>
        <color rgb="FF63BE7B"/>
      </colorScale>
    </cfRule>
  </conditionalFormatting>
  <conditionalFormatting sqref="R10">
    <cfRule type="colorScale" priority="309">
      <colorScale>
        <cfvo type="num" val="1"/>
        <cfvo type="num" val="2"/>
        <cfvo type="num" val="3"/>
        <color rgb="FFF8696B"/>
        <color rgb="FFFFEB84"/>
        <color rgb="FF63BE7B"/>
      </colorScale>
    </cfRule>
  </conditionalFormatting>
  <conditionalFormatting sqref="Q10">
    <cfRule type="colorScale" priority="308">
      <colorScale>
        <cfvo type="num" val="1"/>
        <cfvo type="num" val="2"/>
        <cfvo type="num" val="3"/>
        <color rgb="FFF8696B"/>
        <color rgb="FFFFEB84"/>
        <color rgb="FF63BE7B"/>
      </colorScale>
    </cfRule>
  </conditionalFormatting>
  <conditionalFormatting sqref="Q10">
    <cfRule type="colorScale" priority="307">
      <colorScale>
        <cfvo type="num" val="1"/>
        <cfvo type="num" val="2"/>
        <cfvo type="num" val="3"/>
        <color rgb="FFF8696B"/>
        <color rgb="FFFFEB84"/>
        <color rgb="FF63BE7B"/>
      </colorScale>
    </cfRule>
  </conditionalFormatting>
  <conditionalFormatting sqref="Q10">
    <cfRule type="colorScale" priority="306">
      <colorScale>
        <cfvo type="num" val="1"/>
        <cfvo type="num" val="2"/>
        <cfvo type="num" val="3"/>
        <color rgb="FFF8696B"/>
        <color rgb="FFFFEB84"/>
        <color rgb="FF63BE7B"/>
      </colorScale>
    </cfRule>
  </conditionalFormatting>
  <conditionalFormatting sqref="Q10">
    <cfRule type="colorScale" priority="305">
      <colorScale>
        <cfvo type="num" val="1"/>
        <cfvo type="num" val="2"/>
        <cfvo type="num" val="3"/>
        <color rgb="FFF8696B"/>
        <color rgb="FFFFEB84"/>
        <color rgb="FF63BE7B"/>
      </colorScale>
    </cfRule>
  </conditionalFormatting>
  <conditionalFormatting sqref="Q10">
    <cfRule type="colorScale" priority="304">
      <colorScale>
        <cfvo type="num" val="1"/>
        <cfvo type="num" val="2"/>
        <cfvo type="num" val="3"/>
        <color rgb="FFF8696B"/>
        <color rgb="FFFFEB84"/>
        <color rgb="FF63BE7B"/>
      </colorScale>
    </cfRule>
  </conditionalFormatting>
  <conditionalFormatting sqref="M12">
    <cfRule type="colorScale" priority="303">
      <colorScale>
        <cfvo type="num" val="1"/>
        <cfvo type="num" val="2"/>
        <cfvo type="num" val="3"/>
        <color rgb="FFF8696B"/>
        <color rgb="FFFFEB84"/>
        <color rgb="FF63BE7B"/>
      </colorScale>
    </cfRule>
  </conditionalFormatting>
  <conditionalFormatting sqref="M12">
    <cfRule type="colorScale" priority="302">
      <colorScale>
        <cfvo type="num" val="1"/>
        <cfvo type="num" val="2"/>
        <cfvo type="num" val="3"/>
        <color rgb="FFF8696B"/>
        <color rgb="FFFFEB84"/>
        <color rgb="FF63BE7B"/>
      </colorScale>
    </cfRule>
  </conditionalFormatting>
  <conditionalFormatting sqref="M12">
    <cfRule type="colorScale" priority="301">
      <colorScale>
        <cfvo type="num" val="1"/>
        <cfvo type="num" val="2"/>
        <cfvo type="num" val="3"/>
        <color rgb="FFF8696B"/>
        <color rgb="FFFFEB84"/>
        <color rgb="FF63BE7B"/>
      </colorScale>
    </cfRule>
  </conditionalFormatting>
  <conditionalFormatting sqref="M12">
    <cfRule type="colorScale" priority="300">
      <colorScale>
        <cfvo type="num" val="1"/>
        <cfvo type="num" val="2"/>
        <cfvo type="num" val="3"/>
        <color rgb="FFF8696B"/>
        <color rgb="FFFFEB84"/>
        <color rgb="FF63BE7B"/>
      </colorScale>
    </cfRule>
  </conditionalFormatting>
  <conditionalFormatting sqref="M12">
    <cfRule type="colorScale" priority="299">
      <colorScale>
        <cfvo type="num" val="1"/>
        <cfvo type="num" val="2"/>
        <cfvo type="num" val="3"/>
        <color rgb="FFF8696B"/>
        <color rgb="FFFFEB84"/>
        <color rgb="FF63BE7B"/>
      </colorScale>
    </cfRule>
  </conditionalFormatting>
  <conditionalFormatting sqref="N12">
    <cfRule type="colorScale" priority="298">
      <colorScale>
        <cfvo type="num" val="1"/>
        <cfvo type="num" val="2"/>
        <cfvo type="num" val="3"/>
        <color rgb="FFF8696B"/>
        <color rgb="FFFFEB84"/>
        <color rgb="FF63BE7B"/>
      </colorScale>
    </cfRule>
  </conditionalFormatting>
  <conditionalFormatting sqref="N12">
    <cfRule type="colorScale" priority="297">
      <colorScale>
        <cfvo type="num" val="1"/>
        <cfvo type="num" val="2"/>
        <cfvo type="num" val="3"/>
        <color rgb="FFF8696B"/>
        <color rgb="FFFFEB84"/>
        <color rgb="FF63BE7B"/>
      </colorScale>
    </cfRule>
  </conditionalFormatting>
  <conditionalFormatting sqref="N12">
    <cfRule type="colorScale" priority="296">
      <colorScale>
        <cfvo type="num" val="1"/>
        <cfvo type="num" val="2"/>
        <cfvo type="num" val="3"/>
        <color rgb="FFF8696B"/>
        <color rgb="FFFFEB84"/>
        <color rgb="FF63BE7B"/>
      </colorScale>
    </cfRule>
  </conditionalFormatting>
  <conditionalFormatting sqref="N12">
    <cfRule type="colorScale" priority="295">
      <colorScale>
        <cfvo type="num" val="1"/>
        <cfvo type="num" val="2"/>
        <cfvo type="num" val="3"/>
        <color rgb="FFF8696B"/>
        <color rgb="FFFFEB84"/>
        <color rgb="FF63BE7B"/>
      </colorScale>
    </cfRule>
  </conditionalFormatting>
  <conditionalFormatting sqref="N12">
    <cfRule type="colorScale" priority="294">
      <colorScale>
        <cfvo type="num" val="1"/>
        <cfvo type="num" val="2"/>
        <cfvo type="num" val="3"/>
        <color rgb="FFF8696B"/>
        <color rgb="FFFFEB84"/>
        <color rgb="FF63BE7B"/>
      </colorScale>
    </cfRule>
  </conditionalFormatting>
  <conditionalFormatting sqref="I13">
    <cfRule type="colorScale" priority="293">
      <colorScale>
        <cfvo type="num" val="1"/>
        <cfvo type="num" val="2"/>
        <cfvo type="num" val="3"/>
        <color rgb="FFF8696B"/>
        <color rgb="FFFFEB84"/>
        <color rgb="FF63BE7B"/>
      </colorScale>
    </cfRule>
  </conditionalFormatting>
  <conditionalFormatting sqref="I13">
    <cfRule type="colorScale" priority="292">
      <colorScale>
        <cfvo type="num" val="1"/>
        <cfvo type="num" val="2"/>
        <cfvo type="num" val="3"/>
        <color rgb="FFF8696B"/>
        <color rgb="FFFFEB84"/>
        <color rgb="FF63BE7B"/>
      </colorScale>
    </cfRule>
  </conditionalFormatting>
  <conditionalFormatting sqref="G12">
    <cfRule type="colorScale" priority="291">
      <colorScale>
        <cfvo type="num" val="1"/>
        <cfvo type="num" val="2"/>
        <cfvo type="num" val="3"/>
        <color rgb="FFF8696B"/>
        <color rgb="FFFFEB84"/>
        <color rgb="FF63BE7B"/>
      </colorScale>
    </cfRule>
  </conditionalFormatting>
  <conditionalFormatting sqref="G12">
    <cfRule type="colorScale" priority="290">
      <colorScale>
        <cfvo type="num" val="1"/>
        <cfvo type="num" val="2"/>
        <cfvo type="num" val="3"/>
        <color rgb="FFF8696B"/>
        <color rgb="FFFFEB84"/>
        <color rgb="FF63BE7B"/>
      </colorScale>
    </cfRule>
  </conditionalFormatting>
  <conditionalFormatting sqref="G12">
    <cfRule type="colorScale" priority="289">
      <colorScale>
        <cfvo type="num" val="1"/>
        <cfvo type="num" val="2"/>
        <cfvo type="num" val="3"/>
        <color rgb="FFF8696B"/>
        <color rgb="FFFFEB84"/>
        <color rgb="FF63BE7B"/>
      </colorScale>
    </cfRule>
  </conditionalFormatting>
  <conditionalFormatting sqref="I12:K12">
    <cfRule type="colorScale" priority="288">
      <colorScale>
        <cfvo type="num" val="1"/>
        <cfvo type="num" val="2"/>
        <cfvo type="num" val="3"/>
        <color rgb="FFF8696B"/>
        <color rgb="FFFFEB84"/>
        <color rgb="FF63BE7B"/>
      </colorScale>
    </cfRule>
  </conditionalFormatting>
  <conditionalFormatting sqref="I12:K12">
    <cfRule type="colorScale" priority="287">
      <colorScale>
        <cfvo type="num" val="1"/>
        <cfvo type="num" val="2"/>
        <cfvo type="num" val="3"/>
        <color rgb="FFF8696B"/>
        <color rgb="FFFFEB84"/>
        <color rgb="FF63BE7B"/>
      </colorScale>
    </cfRule>
  </conditionalFormatting>
  <conditionalFormatting sqref="K12">
    <cfRule type="colorScale" priority="286">
      <colorScale>
        <cfvo type="num" val="1"/>
        <cfvo type="num" val="2"/>
        <cfvo type="num" val="3"/>
        <color rgb="FFF8696B"/>
        <color rgb="FFFFEB84"/>
        <color rgb="FF63BE7B"/>
      </colorScale>
    </cfRule>
  </conditionalFormatting>
  <conditionalFormatting sqref="J12">
    <cfRule type="colorScale" priority="285">
      <colorScale>
        <cfvo type="num" val="1"/>
        <cfvo type="num" val="2"/>
        <cfvo type="num" val="3"/>
        <color rgb="FFF8696B"/>
        <color rgb="FFFFEB84"/>
        <color rgb="FF63BE7B"/>
      </colorScale>
    </cfRule>
  </conditionalFormatting>
  <conditionalFormatting sqref="K12">
    <cfRule type="colorScale" priority="284">
      <colorScale>
        <cfvo type="num" val="1"/>
        <cfvo type="num" val="2"/>
        <cfvo type="num" val="3"/>
        <color rgb="FFF8696B"/>
        <color rgb="FFFFEB84"/>
        <color rgb="FF63BE7B"/>
      </colorScale>
    </cfRule>
  </conditionalFormatting>
  <conditionalFormatting sqref="K12">
    <cfRule type="colorScale" priority="283">
      <colorScale>
        <cfvo type="num" val="1"/>
        <cfvo type="num" val="2"/>
        <cfvo type="num" val="3"/>
        <color rgb="FFF8696B"/>
        <color rgb="FFFFEB84"/>
        <color rgb="FF63BE7B"/>
      </colorScale>
    </cfRule>
  </conditionalFormatting>
  <conditionalFormatting sqref="J12">
    <cfRule type="colorScale" priority="282">
      <colorScale>
        <cfvo type="num" val="1"/>
        <cfvo type="num" val="2"/>
        <cfvo type="num" val="3"/>
        <color rgb="FFF8696B"/>
        <color rgb="FFFFEB84"/>
        <color rgb="FF63BE7B"/>
      </colorScale>
    </cfRule>
  </conditionalFormatting>
  <conditionalFormatting sqref="I12">
    <cfRule type="colorScale" priority="281">
      <colorScale>
        <cfvo type="num" val="1"/>
        <cfvo type="num" val="2"/>
        <cfvo type="num" val="3"/>
        <color rgb="FFF8696B"/>
        <color rgb="FFFFEB84"/>
        <color rgb="FF63BE7B"/>
      </colorScale>
    </cfRule>
  </conditionalFormatting>
  <conditionalFormatting sqref="I12">
    <cfRule type="colorScale" priority="280">
      <colorScale>
        <cfvo type="num" val="1"/>
        <cfvo type="num" val="2"/>
        <cfvo type="num" val="3"/>
        <color rgb="FFF8696B"/>
        <color rgb="FFFFEB84"/>
        <color rgb="FF63BE7B"/>
      </colorScale>
    </cfRule>
  </conditionalFormatting>
  <conditionalFormatting sqref="I12">
    <cfRule type="colorScale" priority="279">
      <colorScale>
        <cfvo type="num" val="1"/>
        <cfvo type="num" val="2"/>
        <cfvo type="num" val="3"/>
        <color rgb="FFF8696B"/>
        <color rgb="FFFFEB84"/>
        <color rgb="FF63BE7B"/>
      </colorScale>
    </cfRule>
  </conditionalFormatting>
  <conditionalFormatting sqref="C8:G8">
    <cfRule type="colorScale" priority="278">
      <colorScale>
        <cfvo type="num" val="1"/>
        <cfvo type="num" val="2"/>
        <cfvo type="num" val="3"/>
        <color rgb="FFF8696B"/>
        <color rgb="FFFFEB84"/>
        <color rgb="FF63BE7B"/>
      </colorScale>
    </cfRule>
  </conditionalFormatting>
  <conditionalFormatting sqref="C8:G8">
    <cfRule type="colorScale" priority="277">
      <colorScale>
        <cfvo type="num" val="1"/>
        <cfvo type="num" val="2"/>
        <cfvo type="num" val="3"/>
        <color rgb="FFF8696B"/>
        <color rgb="FFFFEB84"/>
        <color rgb="FF63BE7B"/>
      </colorScale>
    </cfRule>
  </conditionalFormatting>
  <conditionalFormatting sqref="C8:G8">
    <cfRule type="colorScale" priority="276">
      <colorScale>
        <cfvo type="num" val="1"/>
        <cfvo type="num" val="2"/>
        <cfvo type="num" val="3"/>
        <color rgb="FFF8696B"/>
        <color rgb="FFFFEB84"/>
        <color rgb="FF63BE7B"/>
      </colorScale>
    </cfRule>
  </conditionalFormatting>
  <conditionalFormatting sqref="C8:G8">
    <cfRule type="colorScale" priority="275">
      <colorScale>
        <cfvo type="num" val="1"/>
        <cfvo type="num" val="2"/>
        <cfvo type="num" val="3"/>
        <color rgb="FFF8696B"/>
        <color rgb="FFFFEB84"/>
        <color rgb="FF63BE7B"/>
      </colorScale>
    </cfRule>
  </conditionalFormatting>
  <conditionalFormatting sqref="C8:G8">
    <cfRule type="colorScale" priority="274">
      <colorScale>
        <cfvo type="num" val="1"/>
        <cfvo type="num" val="2"/>
        <cfvo type="num" val="3"/>
        <color rgb="FFF8696B"/>
        <color rgb="FFFFEB84"/>
        <color rgb="FF63BE7B"/>
      </colorScale>
    </cfRule>
  </conditionalFormatting>
  <conditionalFormatting sqref="C8:G8">
    <cfRule type="colorScale" priority="273">
      <colorScale>
        <cfvo type="num" val="1"/>
        <cfvo type="num" val="2"/>
        <cfvo type="num" val="3"/>
        <color rgb="FFF8696B"/>
        <color rgb="FFFFEB84"/>
        <color rgb="FF63BE7B"/>
      </colorScale>
    </cfRule>
  </conditionalFormatting>
  <conditionalFormatting sqref="C8:G8">
    <cfRule type="colorScale" priority="272">
      <colorScale>
        <cfvo type="min" val="0"/>
        <cfvo type="percentile" val="50"/>
        <cfvo type="max" val="0"/>
        <color rgb="FFF8696B"/>
        <color rgb="FFFFEB84"/>
        <color rgb="FF63BE7B"/>
      </colorScale>
    </cfRule>
  </conditionalFormatting>
  <conditionalFormatting sqref="C8:G8">
    <cfRule type="cellIs" dxfId="3136" priority="269" operator="equal">
      <formula>1</formula>
    </cfRule>
    <cfRule type="cellIs" dxfId="3135" priority="270" operator="equal">
      <formula>3</formula>
    </cfRule>
    <cfRule type="cellIs" dxfId="3134" priority="271" operator="equal">
      <formula>2</formula>
    </cfRule>
  </conditionalFormatting>
  <conditionalFormatting sqref="C8:G8">
    <cfRule type="cellIs" dxfId="3133" priority="267" operator="equal">
      <formula>5</formula>
    </cfRule>
    <cfRule type="cellIs" dxfId="3132" priority="268" operator="equal">
      <formula>4</formula>
    </cfRule>
  </conditionalFormatting>
  <conditionalFormatting sqref="B8">
    <cfRule type="colorScale" priority="266">
      <colorScale>
        <cfvo type="num" val="1"/>
        <cfvo type="num" val="2"/>
        <cfvo type="num" val="3"/>
        <color rgb="FFF8696B"/>
        <color rgb="FFFFEB84"/>
        <color rgb="FF63BE7B"/>
      </colorScale>
    </cfRule>
  </conditionalFormatting>
  <conditionalFormatting sqref="B8">
    <cfRule type="colorScale" priority="265">
      <colorScale>
        <cfvo type="num" val="1"/>
        <cfvo type="num" val="2"/>
        <cfvo type="num" val="3"/>
        <color rgb="FFF8696B"/>
        <color rgb="FFFFEB84"/>
        <color rgb="FF63BE7B"/>
      </colorScale>
    </cfRule>
  </conditionalFormatting>
  <conditionalFormatting sqref="C6">
    <cfRule type="colorScale" priority="264">
      <colorScale>
        <cfvo type="num" val="1"/>
        <cfvo type="num" val="2"/>
        <cfvo type="num" val="3"/>
        <color rgb="FFF8696B"/>
        <color rgb="FFFFEB84"/>
        <color rgb="FF63BE7B"/>
      </colorScale>
    </cfRule>
  </conditionalFormatting>
  <conditionalFormatting sqref="C6">
    <cfRule type="colorScale" priority="263">
      <colorScale>
        <cfvo type="num" val="1"/>
        <cfvo type="num" val="2"/>
        <cfvo type="num" val="3"/>
        <color rgb="FFF8696B"/>
        <color rgb="FFFFEB84"/>
        <color rgb="FF63BE7B"/>
      </colorScale>
    </cfRule>
  </conditionalFormatting>
  <conditionalFormatting sqref="C6">
    <cfRule type="colorScale" priority="262">
      <colorScale>
        <cfvo type="min" val="0"/>
        <cfvo type="percentile" val="50"/>
        <cfvo type="max" val="0"/>
        <color rgb="FFF8696B"/>
        <color rgb="FFFFEB84"/>
        <color rgb="FF63BE7B"/>
      </colorScale>
    </cfRule>
  </conditionalFormatting>
  <conditionalFormatting sqref="C6">
    <cfRule type="cellIs" dxfId="3131" priority="259" operator="equal">
      <formula>1</formula>
    </cfRule>
    <cfRule type="cellIs" dxfId="3130" priority="260" operator="equal">
      <formula>3</formula>
    </cfRule>
    <cfRule type="cellIs" dxfId="3129" priority="261" operator="equal">
      <formula>2</formula>
    </cfRule>
  </conditionalFormatting>
  <conditionalFormatting sqref="C6">
    <cfRule type="cellIs" dxfId="3128" priority="257" operator="equal">
      <formula>5</formula>
    </cfRule>
    <cfRule type="cellIs" dxfId="3127" priority="258" operator="equal">
      <formula>4</formula>
    </cfRule>
  </conditionalFormatting>
  <conditionalFormatting sqref="I6">
    <cfRule type="colorScale" priority="256">
      <colorScale>
        <cfvo type="num" val="1"/>
        <cfvo type="num" val="2"/>
        <cfvo type="num" val="3"/>
        <color rgb="FFF8696B"/>
        <color rgb="FFFFEB84"/>
        <color rgb="FF63BE7B"/>
      </colorScale>
    </cfRule>
  </conditionalFormatting>
  <conditionalFormatting sqref="I6">
    <cfRule type="colorScale" priority="255">
      <colorScale>
        <cfvo type="num" val="1"/>
        <cfvo type="num" val="2"/>
        <cfvo type="num" val="3"/>
        <color rgb="FFF8696B"/>
        <color rgb="FFFFEB84"/>
        <color rgb="FF63BE7B"/>
      </colorScale>
    </cfRule>
  </conditionalFormatting>
  <conditionalFormatting sqref="I6">
    <cfRule type="colorScale" priority="254">
      <colorScale>
        <cfvo type="num" val="1"/>
        <cfvo type="num" val="2"/>
        <cfvo type="num" val="3"/>
        <color rgb="FFF8696B"/>
        <color rgb="FFFFEB84"/>
        <color rgb="FF63BE7B"/>
      </colorScale>
    </cfRule>
  </conditionalFormatting>
  <conditionalFormatting sqref="I6">
    <cfRule type="colorScale" priority="253">
      <colorScale>
        <cfvo type="num" val="1"/>
        <cfvo type="num" val="2"/>
        <cfvo type="num" val="3"/>
        <color rgb="FFF8696B"/>
        <color rgb="FFFFEB84"/>
        <color rgb="FF63BE7B"/>
      </colorScale>
    </cfRule>
  </conditionalFormatting>
  <conditionalFormatting sqref="I6">
    <cfRule type="colorScale" priority="252">
      <colorScale>
        <cfvo type="num" val="1"/>
        <cfvo type="num" val="2"/>
        <cfvo type="num" val="3"/>
        <color rgb="FFF8696B"/>
        <color rgb="FFFFEB84"/>
        <color rgb="FF63BE7B"/>
      </colorScale>
    </cfRule>
  </conditionalFormatting>
  <conditionalFormatting sqref="I6">
    <cfRule type="colorScale" priority="251">
      <colorScale>
        <cfvo type="num" val="1"/>
        <cfvo type="num" val="2"/>
        <cfvo type="num" val="3"/>
        <color rgb="FFF8696B"/>
        <color rgb="FFFFEB84"/>
        <color rgb="FF63BE7B"/>
      </colorScale>
    </cfRule>
  </conditionalFormatting>
  <conditionalFormatting sqref="I6">
    <cfRule type="colorScale" priority="250">
      <colorScale>
        <cfvo type="min" val="0"/>
        <cfvo type="percentile" val="50"/>
        <cfvo type="max" val="0"/>
        <color rgb="FFF8696B"/>
        <color rgb="FFFFEB84"/>
        <color rgb="FF63BE7B"/>
      </colorScale>
    </cfRule>
  </conditionalFormatting>
  <conditionalFormatting sqref="I6">
    <cfRule type="cellIs" dxfId="3126" priority="247" operator="equal">
      <formula>1</formula>
    </cfRule>
    <cfRule type="cellIs" dxfId="3125" priority="248" operator="equal">
      <formula>3</formula>
    </cfRule>
    <cfRule type="cellIs" dxfId="3124" priority="249" operator="equal">
      <formula>2</formula>
    </cfRule>
  </conditionalFormatting>
  <conditionalFormatting sqref="I6">
    <cfRule type="cellIs" dxfId="3123" priority="245" operator="equal">
      <formula>5</formula>
    </cfRule>
    <cfRule type="cellIs" dxfId="3122" priority="246" operator="equal">
      <formula>4</formula>
    </cfRule>
  </conditionalFormatting>
  <conditionalFormatting sqref="I8">
    <cfRule type="colorScale" priority="244">
      <colorScale>
        <cfvo type="num" val="1"/>
        <cfvo type="num" val="2"/>
        <cfvo type="num" val="3"/>
        <color rgb="FFF8696B"/>
        <color rgb="FFFFEB84"/>
        <color rgb="FF63BE7B"/>
      </colorScale>
    </cfRule>
  </conditionalFormatting>
  <conditionalFormatting sqref="I8">
    <cfRule type="colorScale" priority="243">
      <colorScale>
        <cfvo type="num" val="1"/>
        <cfvo type="num" val="2"/>
        <cfvo type="num" val="3"/>
        <color rgb="FFF8696B"/>
        <color rgb="FFFFEB84"/>
        <color rgb="FF63BE7B"/>
      </colorScale>
    </cfRule>
  </conditionalFormatting>
  <conditionalFormatting sqref="I8">
    <cfRule type="colorScale" priority="242">
      <colorScale>
        <cfvo type="min" val="0"/>
        <cfvo type="percentile" val="50"/>
        <cfvo type="max" val="0"/>
        <color rgb="FFF8696B"/>
        <color rgb="FFFFEB84"/>
        <color rgb="FF63BE7B"/>
      </colorScale>
    </cfRule>
  </conditionalFormatting>
  <conditionalFormatting sqref="I8">
    <cfRule type="cellIs" dxfId="3121" priority="239" operator="equal">
      <formula>1</formula>
    </cfRule>
    <cfRule type="cellIs" dxfId="3120" priority="240" operator="equal">
      <formula>3</formula>
    </cfRule>
    <cfRule type="cellIs" dxfId="3119" priority="241" operator="equal">
      <formula>2</formula>
    </cfRule>
  </conditionalFormatting>
  <conditionalFormatting sqref="I8">
    <cfRule type="cellIs" dxfId="3118" priority="237" operator="equal">
      <formula>5</formula>
    </cfRule>
    <cfRule type="cellIs" dxfId="3117" priority="238" operator="equal">
      <formula>4</formula>
    </cfRule>
  </conditionalFormatting>
  <conditionalFormatting sqref="F12">
    <cfRule type="colorScale" priority="236">
      <colorScale>
        <cfvo type="num" val="1"/>
        <cfvo type="num" val="2"/>
        <cfvo type="num" val="3"/>
        <color rgb="FFF8696B"/>
        <color rgb="FFFFEB84"/>
        <color rgb="FF63BE7B"/>
      </colorScale>
    </cfRule>
  </conditionalFormatting>
  <conditionalFormatting sqref="F12">
    <cfRule type="colorScale" priority="235">
      <colorScale>
        <cfvo type="num" val="1"/>
        <cfvo type="num" val="2"/>
        <cfvo type="num" val="3"/>
        <color rgb="FFF8696B"/>
        <color rgb="FFFFEB84"/>
        <color rgb="FF63BE7B"/>
      </colorScale>
    </cfRule>
  </conditionalFormatting>
  <conditionalFormatting sqref="F12">
    <cfRule type="colorScale" priority="234">
      <colorScale>
        <cfvo type="num" val="1"/>
        <cfvo type="num" val="2"/>
        <cfvo type="num" val="3"/>
        <color rgb="FFF8696B"/>
        <color rgb="FFFFEB84"/>
        <color rgb="FF63BE7B"/>
      </colorScale>
    </cfRule>
  </conditionalFormatting>
  <conditionalFormatting sqref="F12">
    <cfRule type="colorScale" priority="233">
      <colorScale>
        <cfvo type="num" val="1"/>
        <cfvo type="num" val="2"/>
        <cfvo type="num" val="3"/>
        <color rgb="FFF8696B"/>
        <color rgb="FFFFEB84"/>
        <color rgb="FF63BE7B"/>
      </colorScale>
    </cfRule>
  </conditionalFormatting>
  <conditionalFormatting sqref="F12">
    <cfRule type="colorScale" priority="232">
      <colorScale>
        <cfvo type="num" val="1"/>
        <cfvo type="num" val="2"/>
        <cfvo type="num" val="3"/>
        <color rgb="FFF8696B"/>
        <color rgb="FFFFEB84"/>
        <color rgb="FF63BE7B"/>
      </colorScale>
    </cfRule>
  </conditionalFormatting>
  <conditionalFormatting sqref="F12">
    <cfRule type="colorScale" priority="231">
      <colorScale>
        <cfvo type="num" val="1"/>
        <cfvo type="num" val="2"/>
        <cfvo type="num" val="3"/>
        <color rgb="FFF8696B"/>
        <color rgb="FFFFEB84"/>
        <color rgb="FF63BE7B"/>
      </colorScale>
    </cfRule>
  </conditionalFormatting>
  <conditionalFormatting sqref="F12">
    <cfRule type="colorScale" priority="230">
      <colorScale>
        <cfvo type="min" val="0"/>
        <cfvo type="percentile" val="50"/>
        <cfvo type="max" val="0"/>
        <color rgb="FFF8696B"/>
        <color rgb="FFFFEB84"/>
        <color rgb="FF63BE7B"/>
      </colorScale>
    </cfRule>
  </conditionalFormatting>
  <conditionalFormatting sqref="F12">
    <cfRule type="cellIs" dxfId="3116" priority="227" operator="equal">
      <formula>1</formula>
    </cfRule>
    <cfRule type="cellIs" dxfId="3115" priority="228" operator="equal">
      <formula>3</formula>
    </cfRule>
    <cfRule type="cellIs" dxfId="3114" priority="229" operator="equal">
      <formula>2</formula>
    </cfRule>
  </conditionalFormatting>
  <conditionalFormatting sqref="F12">
    <cfRule type="cellIs" dxfId="3113" priority="225" operator="equal">
      <formula>5</formula>
    </cfRule>
    <cfRule type="cellIs" dxfId="3112" priority="226" operator="equal">
      <formula>4</formula>
    </cfRule>
  </conditionalFormatting>
  <conditionalFormatting sqref="H12">
    <cfRule type="colorScale" priority="224">
      <colorScale>
        <cfvo type="num" val="1"/>
        <cfvo type="num" val="2"/>
        <cfvo type="num" val="3"/>
        <color rgb="FFF8696B"/>
        <color rgb="FFFFEB84"/>
        <color rgb="FF63BE7B"/>
      </colorScale>
    </cfRule>
  </conditionalFormatting>
  <conditionalFormatting sqref="H12">
    <cfRule type="colorScale" priority="223">
      <colorScale>
        <cfvo type="num" val="1"/>
        <cfvo type="num" val="2"/>
        <cfvo type="num" val="3"/>
        <color rgb="FFF8696B"/>
        <color rgb="FFFFEB84"/>
        <color rgb="FF63BE7B"/>
      </colorScale>
    </cfRule>
  </conditionalFormatting>
  <conditionalFormatting sqref="H12">
    <cfRule type="colorScale" priority="222">
      <colorScale>
        <cfvo type="num" val="1"/>
        <cfvo type="num" val="2"/>
        <cfvo type="num" val="3"/>
        <color rgb="FFF8696B"/>
        <color rgb="FFFFEB84"/>
        <color rgb="FF63BE7B"/>
      </colorScale>
    </cfRule>
  </conditionalFormatting>
  <conditionalFormatting sqref="H12">
    <cfRule type="colorScale" priority="221">
      <colorScale>
        <cfvo type="num" val="1"/>
        <cfvo type="num" val="2"/>
        <cfvo type="num" val="3"/>
        <color rgb="FFF8696B"/>
        <color rgb="FFFFEB84"/>
        <color rgb="FF63BE7B"/>
      </colorScale>
    </cfRule>
  </conditionalFormatting>
  <conditionalFormatting sqref="H12">
    <cfRule type="colorScale" priority="220">
      <colorScale>
        <cfvo type="num" val="1"/>
        <cfvo type="num" val="2"/>
        <cfvo type="num" val="3"/>
        <color rgb="FFF8696B"/>
        <color rgb="FFFFEB84"/>
        <color rgb="FF63BE7B"/>
      </colorScale>
    </cfRule>
  </conditionalFormatting>
  <conditionalFormatting sqref="H12">
    <cfRule type="colorScale" priority="219">
      <colorScale>
        <cfvo type="num" val="1"/>
        <cfvo type="num" val="2"/>
        <cfvo type="num" val="3"/>
        <color rgb="FFF8696B"/>
        <color rgb="FFFFEB84"/>
        <color rgb="FF63BE7B"/>
      </colorScale>
    </cfRule>
  </conditionalFormatting>
  <conditionalFormatting sqref="H12">
    <cfRule type="colorScale" priority="218">
      <colorScale>
        <cfvo type="min" val="0"/>
        <cfvo type="percentile" val="50"/>
        <cfvo type="max" val="0"/>
        <color rgb="FFF8696B"/>
        <color rgb="FFFFEB84"/>
        <color rgb="FF63BE7B"/>
      </colorScale>
    </cfRule>
  </conditionalFormatting>
  <conditionalFormatting sqref="H12">
    <cfRule type="cellIs" dxfId="3111" priority="215" operator="equal">
      <formula>1</formula>
    </cfRule>
    <cfRule type="cellIs" dxfId="3110" priority="216" operator="equal">
      <formula>3</formula>
    </cfRule>
    <cfRule type="cellIs" dxfId="3109" priority="217" operator="equal">
      <formula>2</formula>
    </cfRule>
  </conditionalFormatting>
  <conditionalFormatting sqref="H12">
    <cfRule type="cellIs" dxfId="3108" priority="213" operator="equal">
      <formula>5</formula>
    </cfRule>
    <cfRule type="cellIs" dxfId="3107" priority="214" operator="equal">
      <formula>4</formula>
    </cfRule>
  </conditionalFormatting>
  <conditionalFormatting sqref="H6">
    <cfRule type="colorScale" priority="212">
      <colorScale>
        <cfvo type="num" val="1"/>
        <cfvo type="num" val="2"/>
        <cfvo type="num" val="3"/>
        <color rgb="FFF8696B"/>
        <color rgb="FFFFEB84"/>
        <color rgb="FF63BE7B"/>
      </colorScale>
    </cfRule>
  </conditionalFormatting>
  <conditionalFormatting sqref="H6">
    <cfRule type="colorScale" priority="211">
      <colorScale>
        <cfvo type="num" val="1"/>
        <cfvo type="num" val="2"/>
        <cfvo type="num" val="3"/>
        <color rgb="FFF8696B"/>
        <color rgb="FFFFEB84"/>
        <color rgb="FF63BE7B"/>
      </colorScale>
    </cfRule>
  </conditionalFormatting>
  <conditionalFormatting sqref="H6">
    <cfRule type="colorScale" priority="210">
      <colorScale>
        <cfvo type="min" val="0"/>
        <cfvo type="percentile" val="50"/>
        <cfvo type="max" val="0"/>
        <color rgb="FFF8696B"/>
        <color rgb="FFFFEB84"/>
        <color rgb="FF63BE7B"/>
      </colorScale>
    </cfRule>
  </conditionalFormatting>
  <conditionalFormatting sqref="H6">
    <cfRule type="cellIs" dxfId="3106" priority="207" operator="equal">
      <formula>1</formula>
    </cfRule>
    <cfRule type="cellIs" dxfId="3105" priority="208" operator="equal">
      <formula>3</formula>
    </cfRule>
    <cfRule type="cellIs" dxfId="3104" priority="209" operator="equal">
      <formula>2</formula>
    </cfRule>
  </conditionalFormatting>
  <conditionalFormatting sqref="H6">
    <cfRule type="cellIs" dxfId="3103" priority="205" operator="equal">
      <formula>5</formula>
    </cfRule>
    <cfRule type="cellIs" dxfId="3102" priority="206" operator="equal">
      <formula>4</formula>
    </cfRule>
  </conditionalFormatting>
  <conditionalFormatting sqref="I14">
    <cfRule type="colorScale" priority="204">
      <colorScale>
        <cfvo type="num" val="1"/>
        <cfvo type="num" val="2"/>
        <cfvo type="num" val="3"/>
        <color rgb="FFF8696B"/>
        <color rgb="FFFFEB84"/>
        <color rgb="FF63BE7B"/>
      </colorScale>
    </cfRule>
  </conditionalFormatting>
  <conditionalFormatting sqref="I14">
    <cfRule type="colorScale" priority="203">
      <colorScale>
        <cfvo type="num" val="1"/>
        <cfvo type="num" val="2"/>
        <cfvo type="num" val="3"/>
        <color rgb="FFF8696B"/>
        <color rgb="FFFFEB84"/>
        <color rgb="FF63BE7B"/>
      </colorScale>
    </cfRule>
  </conditionalFormatting>
  <conditionalFormatting sqref="I14">
    <cfRule type="colorScale" priority="202">
      <colorScale>
        <cfvo type="min" val="0"/>
        <cfvo type="percentile" val="50"/>
        <cfvo type="max" val="0"/>
        <color rgb="FFF8696B"/>
        <color rgb="FFFFEB84"/>
        <color rgb="FF63BE7B"/>
      </colorScale>
    </cfRule>
  </conditionalFormatting>
  <conditionalFormatting sqref="I14">
    <cfRule type="cellIs" dxfId="3101" priority="199" operator="equal">
      <formula>1</formula>
    </cfRule>
    <cfRule type="cellIs" dxfId="3100" priority="200" operator="equal">
      <formula>3</formula>
    </cfRule>
    <cfRule type="cellIs" dxfId="3099" priority="201" operator="equal">
      <formula>2</formula>
    </cfRule>
  </conditionalFormatting>
  <conditionalFormatting sqref="I14">
    <cfRule type="cellIs" dxfId="3098" priority="197" operator="equal">
      <formula>5</formula>
    </cfRule>
    <cfRule type="cellIs" dxfId="3097" priority="198" operator="equal">
      <formula>4</formula>
    </cfRule>
  </conditionalFormatting>
  <conditionalFormatting sqref="J8">
    <cfRule type="colorScale" priority="196">
      <colorScale>
        <cfvo type="num" val="1"/>
        <cfvo type="num" val="2"/>
        <cfvo type="num" val="3"/>
        <color rgb="FFF8696B"/>
        <color rgb="FFFFEB84"/>
        <color rgb="FF63BE7B"/>
      </colorScale>
    </cfRule>
  </conditionalFormatting>
  <conditionalFormatting sqref="J8">
    <cfRule type="colorScale" priority="195">
      <colorScale>
        <cfvo type="num" val="1"/>
        <cfvo type="num" val="2"/>
        <cfvo type="num" val="3"/>
        <color rgb="FFF8696B"/>
        <color rgb="FFFFEB84"/>
        <color rgb="FF63BE7B"/>
      </colorScale>
    </cfRule>
  </conditionalFormatting>
  <conditionalFormatting sqref="J8">
    <cfRule type="colorScale" priority="194">
      <colorScale>
        <cfvo type="num" val="1"/>
        <cfvo type="num" val="2"/>
        <cfvo type="num" val="3"/>
        <color rgb="FFF8696B"/>
        <color rgb="FFFFEB84"/>
        <color rgb="FF63BE7B"/>
      </colorScale>
    </cfRule>
  </conditionalFormatting>
  <conditionalFormatting sqref="J8">
    <cfRule type="colorScale" priority="193">
      <colorScale>
        <cfvo type="num" val="1"/>
        <cfvo type="num" val="2"/>
        <cfvo type="num" val="3"/>
        <color rgb="FFF8696B"/>
        <color rgb="FFFFEB84"/>
        <color rgb="FF63BE7B"/>
      </colorScale>
    </cfRule>
  </conditionalFormatting>
  <conditionalFormatting sqref="J8">
    <cfRule type="colorScale" priority="192">
      <colorScale>
        <cfvo type="num" val="1"/>
        <cfvo type="num" val="2"/>
        <cfvo type="num" val="3"/>
        <color rgb="FFF8696B"/>
        <color rgb="FFFFEB84"/>
        <color rgb="FF63BE7B"/>
      </colorScale>
    </cfRule>
  </conditionalFormatting>
  <conditionalFormatting sqref="J8">
    <cfRule type="colorScale" priority="191">
      <colorScale>
        <cfvo type="num" val="1"/>
        <cfvo type="num" val="2"/>
        <cfvo type="num" val="3"/>
        <color rgb="FFF8696B"/>
        <color rgb="FFFFEB84"/>
        <color rgb="FF63BE7B"/>
      </colorScale>
    </cfRule>
  </conditionalFormatting>
  <conditionalFormatting sqref="J8">
    <cfRule type="colorScale" priority="190">
      <colorScale>
        <cfvo type="min" val="0"/>
        <cfvo type="percentile" val="50"/>
        <cfvo type="max" val="0"/>
        <color rgb="FFF8696B"/>
        <color rgb="FFFFEB84"/>
        <color rgb="FF63BE7B"/>
      </colorScale>
    </cfRule>
  </conditionalFormatting>
  <conditionalFormatting sqref="J8">
    <cfRule type="cellIs" dxfId="3096" priority="187" operator="equal">
      <formula>1</formula>
    </cfRule>
    <cfRule type="cellIs" dxfId="3095" priority="188" operator="equal">
      <formula>3</formula>
    </cfRule>
    <cfRule type="cellIs" dxfId="3094" priority="189" operator="equal">
      <formula>2</formula>
    </cfRule>
  </conditionalFormatting>
  <conditionalFormatting sqref="J8">
    <cfRule type="cellIs" dxfId="3093" priority="185" operator="equal">
      <formula>5</formula>
    </cfRule>
    <cfRule type="cellIs" dxfId="3092" priority="186" operator="equal">
      <formula>4</formula>
    </cfRule>
  </conditionalFormatting>
  <conditionalFormatting sqref="J10">
    <cfRule type="colorScale" priority="184">
      <colorScale>
        <cfvo type="num" val="1"/>
        <cfvo type="num" val="2"/>
        <cfvo type="num" val="3"/>
        <color rgb="FFF8696B"/>
        <color rgb="FFFFEB84"/>
        <color rgb="FF63BE7B"/>
      </colorScale>
    </cfRule>
  </conditionalFormatting>
  <conditionalFormatting sqref="J10">
    <cfRule type="colorScale" priority="183">
      <colorScale>
        <cfvo type="num" val="1"/>
        <cfvo type="num" val="2"/>
        <cfvo type="num" val="3"/>
        <color rgb="FFF8696B"/>
        <color rgb="FFFFEB84"/>
        <color rgb="FF63BE7B"/>
      </colorScale>
    </cfRule>
  </conditionalFormatting>
  <conditionalFormatting sqref="J10">
    <cfRule type="colorScale" priority="182">
      <colorScale>
        <cfvo type="min" val="0"/>
        <cfvo type="percentile" val="50"/>
        <cfvo type="max" val="0"/>
        <color rgb="FFF8696B"/>
        <color rgb="FFFFEB84"/>
        <color rgb="FF63BE7B"/>
      </colorScale>
    </cfRule>
  </conditionalFormatting>
  <conditionalFormatting sqref="J10">
    <cfRule type="cellIs" dxfId="3091" priority="179" operator="equal">
      <formula>1</formula>
    </cfRule>
    <cfRule type="cellIs" dxfId="3090" priority="180" operator="equal">
      <formula>3</formula>
    </cfRule>
    <cfRule type="cellIs" dxfId="3089" priority="181" operator="equal">
      <formula>2</formula>
    </cfRule>
  </conditionalFormatting>
  <conditionalFormatting sqref="J10">
    <cfRule type="cellIs" dxfId="3088" priority="177" operator="equal">
      <formula>5</formula>
    </cfRule>
    <cfRule type="cellIs" dxfId="3087" priority="178" operator="equal">
      <formula>4</formula>
    </cfRule>
  </conditionalFormatting>
  <conditionalFormatting sqref="M6">
    <cfRule type="colorScale" priority="176">
      <colorScale>
        <cfvo type="num" val="1"/>
        <cfvo type="num" val="2"/>
        <cfvo type="num" val="3"/>
        <color rgb="FFF8696B"/>
        <color rgb="FFFFEB84"/>
        <color rgb="FF63BE7B"/>
      </colorScale>
    </cfRule>
  </conditionalFormatting>
  <conditionalFormatting sqref="M6">
    <cfRule type="colorScale" priority="175">
      <colorScale>
        <cfvo type="num" val="1"/>
        <cfvo type="num" val="2"/>
        <cfvo type="num" val="3"/>
        <color rgb="FFF8696B"/>
        <color rgb="FFFFEB84"/>
        <color rgb="FF63BE7B"/>
      </colorScale>
    </cfRule>
  </conditionalFormatting>
  <conditionalFormatting sqref="M6">
    <cfRule type="colorScale" priority="174">
      <colorScale>
        <cfvo type="num" val="1"/>
        <cfvo type="num" val="2"/>
        <cfvo type="num" val="3"/>
        <color rgb="FFF8696B"/>
        <color rgb="FFFFEB84"/>
        <color rgb="FF63BE7B"/>
      </colorScale>
    </cfRule>
  </conditionalFormatting>
  <conditionalFormatting sqref="M6">
    <cfRule type="colorScale" priority="173">
      <colorScale>
        <cfvo type="num" val="1"/>
        <cfvo type="num" val="2"/>
        <cfvo type="num" val="3"/>
        <color rgb="FFF8696B"/>
        <color rgb="FFFFEB84"/>
        <color rgb="FF63BE7B"/>
      </colorScale>
    </cfRule>
  </conditionalFormatting>
  <conditionalFormatting sqref="M6">
    <cfRule type="colorScale" priority="172">
      <colorScale>
        <cfvo type="num" val="1"/>
        <cfvo type="num" val="2"/>
        <cfvo type="num" val="3"/>
        <color rgb="FFF8696B"/>
        <color rgb="FFFFEB84"/>
        <color rgb="FF63BE7B"/>
      </colorScale>
    </cfRule>
  </conditionalFormatting>
  <conditionalFormatting sqref="M6">
    <cfRule type="colorScale" priority="171">
      <colorScale>
        <cfvo type="num" val="1"/>
        <cfvo type="num" val="2"/>
        <cfvo type="num" val="3"/>
        <color rgb="FFF8696B"/>
        <color rgb="FFFFEB84"/>
        <color rgb="FF63BE7B"/>
      </colorScale>
    </cfRule>
  </conditionalFormatting>
  <conditionalFormatting sqref="M6">
    <cfRule type="colorScale" priority="170">
      <colorScale>
        <cfvo type="min" val="0"/>
        <cfvo type="percentile" val="50"/>
        <cfvo type="max" val="0"/>
        <color rgb="FFF8696B"/>
        <color rgb="FFFFEB84"/>
        <color rgb="FF63BE7B"/>
      </colorScale>
    </cfRule>
  </conditionalFormatting>
  <conditionalFormatting sqref="M6">
    <cfRule type="cellIs" dxfId="3086" priority="167" operator="equal">
      <formula>1</formula>
    </cfRule>
    <cfRule type="cellIs" dxfId="3085" priority="168" operator="equal">
      <formula>3</formula>
    </cfRule>
    <cfRule type="cellIs" dxfId="3084" priority="169" operator="equal">
      <formula>2</formula>
    </cfRule>
  </conditionalFormatting>
  <conditionalFormatting sqref="M6">
    <cfRule type="cellIs" dxfId="3083" priority="165" operator="equal">
      <formula>5</formula>
    </cfRule>
    <cfRule type="cellIs" dxfId="3082" priority="166" operator="equal">
      <formula>4</formula>
    </cfRule>
  </conditionalFormatting>
  <conditionalFormatting sqref="M8">
    <cfRule type="colorScale" priority="164">
      <colorScale>
        <cfvo type="num" val="1"/>
        <cfvo type="num" val="2"/>
        <cfvo type="num" val="3"/>
        <color rgb="FFF8696B"/>
        <color rgb="FFFFEB84"/>
        <color rgb="FF63BE7B"/>
      </colorScale>
    </cfRule>
  </conditionalFormatting>
  <conditionalFormatting sqref="M8">
    <cfRule type="colorScale" priority="163">
      <colorScale>
        <cfvo type="num" val="1"/>
        <cfvo type="num" val="2"/>
        <cfvo type="num" val="3"/>
        <color rgb="FFF8696B"/>
        <color rgb="FFFFEB84"/>
        <color rgb="FF63BE7B"/>
      </colorScale>
    </cfRule>
  </conditionalFormatting>
  <conditionalFormatting sqref="M8">
    <cfRule type="colorScale" priority="162">
      <colorScale>
        <cfvo type="min" val="0"/>
        <cfvo type="percentile" val="50"/>
        <cfvo type="max" val="0"/>
        <color rgb="FFF8696B"/>
        <color rgb="FFFFEB84"/>
        <color rgb="FF63BE7B"/>
      </colorScale>
    </cfRule>
  </conditionalFormatting>
  <conditionalFormatting sqref="M8">
    <cfRule type="cellIs" dxfId="3081" priority="159" operator="equal">
      <formula>1</formula>
    </cfRule>
    <cfRule type="cellIs" dxfId="3080" priority="160" operator="equal">
      <formula>3</formula>
    </cfRule>
    <cfRule type="cellIs" dxfId="3079" priority="161" operator="equal">
      <formula>2</formula>
    </cfRule>
  </conditionalFormatting>
  <conditionalFormatting sqref="M8">
    <cfRule type="cellIs" dxfId="3078" priority="157" operator="equal">
      <formula>5</formula>
    </cfRule>
    <cfRule type="cellIs" dxfId="3077" priority="158" operator="equal">
      <formula>4</formula>
    </cfRule>
  </conditionalFormatting>
  <conditionalFormatting sqref="P8">
    <cfRule type="colorScale" priority="156">
      <colorScale>
        <cfvo type="num" val="1"/>
        <cfvo type="num" val="2"/>
        <cfvo type="num" val="3"/>
        <color rgb="FFF8696B"/>
        <color rgb="FFFFEB84"/>
        <color rgb="FF63BE7B"/>
      </colorScale>
    </cfRule>
  </conditionalFormatting>
  <conditionalFormatting sqref="P8">
    <cfRule type="colorScale" priority="155">
      <colorScale>
        <cfvo type="num" val="1"/>
        <cfvo type="num" val="2"/>
        <cfvo type="num" val="3"/>
        <color rgb="FFF8696B"/>
        <color rgb="FFFFEB84"/>
        <color rgb="FF63BE7B"/>
      </colorScale>
    </cfRule>
  </conditionalFormatting>
  <conditionalFormatting sqref="P8">
    <cfRule type="colorScale" priority="154">
      <colorScale>
        <cfvo type="num" val="1"/>
        <cfvo type="num" val="2"/>
        <cfvo type="num" val="3"/>
        <color rgb="FFF8696B"/>
        <color rgb="FFFFEB84"/>
        <color rgb="FF63BE7B"/>
      </colorScale>
    </cfRule>
  </conditionalFormatting>
  <conditionalFormatting sqref="P8">
    <cfRule type="colorScale" priority="153">
      <colorScale>
        <cfvo type="num" val="1"/>
        <cfvo type="num" val="2"/>
        <cfvo type="num" val="3"/>
        <color rgb="FFF8696B"/>
        <color rgb="FFFFEB84"/>
        <color rgb="FF63BE7B"/>
      </colorScale>
    </cfRule>
  </conditionalFormatting>
  <conditionalFormatting sqref="P8">
    <cfRule type="colorScale" priority="152">
      <colorScale>
        <cfvo type="num" val="1"/>
        <cfvo type="num" val="2"/>
        <cfvo type="num" val="3"/>
        <color rgb="FFF8696B"/>
        <color rgb="FFFFEB84"/>
        <color rgb="FF63BE7B"/>
      </colorScale>
    </cfRule>
  </conditionalFormatting>
  <conditionalFormatting sqref="P8">
    <cfRule type="colorScale" priority="151">
      <colorScale>
        <cfvo type="num" val="1"/>
        <cfvo type="num" val="2"/>
        <cfvo type="num" val="3"/>
        <color rgb="FFF8696B"/>
        <color rgb="FFFFEB84"/>
        <color rgb="FF63BE7B"/>
      </colorScale>
    </cfRule>
  </conditionalFormatting>
  <conditionalFormatting sqref="P8">
    <cfRule type="colorScale" priority="150">
      <colorScale>
        <cfvo type="min" val="0"/>
        <cfvo type="percentile" val="50"/>
        <cfvo type="max" val="0"/>
        <color rgb="FFF8696B"/>
        <color rgb="FFFFEB84"/>
        <color rgb="FF63BE7B"/>
      </colorScale>
    </cfRule>
  </conditionalFormatting>
  <conditionalFormatting sqref="P8">
    <cfRule type="cellIs" dxfId="3076" priority="147" operator="equal">
      <formula>1</formula>
    </cfRule>
    <cfRule type="cellIs" dxfId="3075" priority="148" operator="equal">
      <formula>3</formula>
    </cfRule>
    <cfRule type="cellIs" dxfId="3074" priority="149" operator="equal">
      <formula>2</formula>
    </cfRule>
  </conditionalFormatting>
  <conditionalFormatting sqref="P8">
    <cfRule type="cellIs" dxfId="3073" priority="145" operator="equal">
      <formula>5</formula>
    </cfRule>
    <cfRule type="cellIs" dxfId="3072" priority="146" operator="equal">
      <formula>4</formula>
    </cfRule>
  </conditionalFormatting>
  <conditionalFormatting sqref="P10">
    <cfRule type="colorScale" priority="144">
      <colorScale>
        <cfvo type="num" val="1"/>
        <cfvo type="num" val="2"/>
        <cfvo type="num" val="3"/>
        <color rgb="FFF8696B"/>
        <color rgb="FFFFEB84"/>
        <color rgb="FF63BE7B"/>
      </colorScale>
    </cfRule>
  </conditionalFormatting>
  <conditionalFormatting sqref="P10">
    <cfRule type="colorScale" priority="143">
      <colorScale>
        <cfvo type="num" val="1"/>
        <cfvo type="num" val="2"/>
        <cfvo type="num" val="3"/>
        <color rgb="FFF8696B"/>
        <color rgb="FFFFEB84"/>
        <color rgb="FF63BE7B"/>
      </colorScale>
    </cfRule>
  </conditionalFormatting>
  <conditionalFormatting sqref="P10">
    <cfRule type="colorScale" priority="142">
      <colorScale>
        <cfvo type="min" val="0"/>
        <cfvo type="percentile" val="50"/>
        <cfvo type="max" val="0"/>
        <color rgb="FFF8696B"/>
        <color rgb="FFFFEB84"/>
        <color rgb="FF63BE7B"/>
      </colorScale>
    </cfRule>
  </conditionalFormatting>
  <conditionalFormatting sqref="P10">
    <cfRule type="cellIs" dxfId="3071" priority="139" operator="equal">
      <formula>1</formula>
    </cfRule>
    <cfRule type="cellIs" dxfId="3070" priority="140" operator="equal">
      <formula>3</formula>
    </cfRule>
    <cfRule type="cellIs" dxfId="3069" priority="141" operator="equal">
      <formula>2</formula>
    </cfRule>
  </conditionalFormatting>
  <conditionalFormatting sqref="P10">
    <cfRule type="cellIs" dxfId="3068" priority="137" operator="equal">
      <formula>5</formula>
    </cfRule>
    <cfRule type="cellIs" dxfId="3067" priority="138" operator="equal">
      <formula>4</formula>
    </cfRule>
  </conditionalFormatting>
  <conditionalFormatting sqref="U14">
    <cfRule type="colorScale" priority="136">
      <colorScale>
        <cfvo type="num" val="1"/>
        <cfvo type="num" val="2"/>
        <cfvo type="num" val="3"/>
        <color rgb="FFF8696B"/>
        <color rgb="FFFFEB84"/>
        <color rgb="FF63BE7B"/>
      </colorScale>
    </cfRule>
  </conditionalFormatting>
  <conditionalFormatting sqref="U14">
    <cfRule type="colorScale" priority="135">
      <colorScale>
        <cfvo type="num" val="1"/>
        <cfvo type="num" val="2"/>
        <cfvo type="num" val="3"/>
        <color rgb="FFF8696B"/>
        <color rgb="FFFFEB84"/>
        <color rgb="FF63BE7B"/>
      </colorScale>
    </cfRule>
  </conditionalFormatting>
  <conditionalFormatting sqref="U14">
    <cfRule type="colorScale" priority="134">
      <colorScale>
        <cfvo type="num" val="1"/>
        <cfvo type="num" val="2"/>
        <cfvo type="num" val="3"/>
        <color rgb="FFF8696B"/>
        <color rgb="FFFFEB84"/>
        <color rgb="FF63BE7B"/>
      </colorScale>
    </cfRule>
  </conditionalFormatting>
  <conditionalFormatting sqref="U14">
    <cfRule type="colorScale" priority="133">
      <colorScale>
        <cfvo type="num" val="1"/>
        <cfvo type="num" val="2"/>
        <cfvo type="num" val="3"/>
        <color rgb="FFF8696B"/>
        <color rgb="FFFFEB84"/>
        <color rgb="FF63BE7B"/>
      </colorScale>
    </cfRule>
  </conditionalFormatting>
  <conditionalFormatting sqref="U14">
    <cfRule type="colorScale" priority="132">
      <colorScale>
        <cfvo type="num" val="1"/>
        <cfvo type="num" val="2"/>
        <cfvo type="num" val="3"/>
        <color rgb="FFF8696B"/>
        <color rgb="FFFFEB84"/>
        <color rgb="FF63BE7B"/>
      </colorScale>
    </cfRule>
  </conditionalFormatting>
  <conditionalFormatting sqref="U14">
    <cfRule type="colorScale" priority="131">
      <colorScale>
        <cfvo type="num" val="1"/>
        <cfvo type="num" val="2"/>
        <cfvo type="num" val="3"/>
        <color rgb="FFF8696B"/>
        <color rgb="FFFFEB84"/>
        <color rgb="FF63BE7B"/>
      </colorScale>
    </cfRule>
  </conditionalFormatting>
  <conditionalFormatting sqref="U14">
    <cfRule type="colorScale" priority="130">
      <colorScale>
        <cfvo type="min" val="0"/>
        <cfvo type="percentile" val="50"/>
        <cfvo type="max" val="0"/>
        <color rgb="FFF8696B"/>
        <color rgb="FFFFEB84"/>
        <color rgb="FF63BE7B"/>
      </colorScale>
    </cfRule>
  </conditionalFormatting>
  <conditionalFormatting sqref="U14">
    <cfRule type="cellIs" dxfId="3066" priority="127" operator="equal">
      <formula>1</formula>
    </cfRule>
    <cfRule type="cellIs" dxfId="3065" priority="128" operator="equal">
      <formula>3</formula>
    </cfRule>
    <cfRule type="cellIs" dxfId="3064" priority="129" operator="equal">
      <formula>2</formula>
    </cfRule>
  </conditionalFormatting>
  <conditionalFormatting sqref="U14">
    <cfRule type="cellIs" dxfId="3063" priority="125" operator="equal">
      <formula>5</formula>
    </cfRule>
    <cfRule type="cellIs" dxfId="3062" priority="126" operator="equal">
      <formula>4</formula>
    </cfRule>
  </conditionalFormatting>
  <conditionalFormatting sqref="U8">
    <cfRule type="colorScale" priority="124">
      <colorScale>
        <cfvo type="num" val="1"/>
        <cfvo type="num" val="2"/>
        <cfvo type="num" val="3"/>
        <color rgb="FFF8696B"/>
        <color rgb="FFFFEB84"/>
        <color rgb="FF63BE7B"/>
      </colorScale>
    </cfRule>
  </conditionalFormatting>
  <conditionalFormatting sqref="U8">
    <cfRule type="colorScale" priority="123">
      <colorScale>
        <cfvo type="num" val="1"/>
        <cfvo type="num" val="2"/>
        <cfvo type="num" val="3"/>
        <color rgb="FFF8696B"/>
        <color rgb="FFFFEB84"/>
        <color rgb="FF63BE7B"/>
      </colorScale>
    </cfRule>
  </conditionalFormatting>
  <conditionalFormatting sqref="U8">
    <cfRule type="colorScale" priority="122">
      <colorScale>
        <cfvo type="min" val="0"/>
        <cfvo type="percentile" val="50"/>
        <cfvo type="max" val="0"/>
        <color rgb="FFF8696B"/>
        <color rgb="FFFFEB84"/>
        <color rgb="FF63BE7B"/>
      </colorScale>
    </cfRule>
  </conditionalFormatting>
  <conditionalFormatting sqref="U8">
    <cfRule type="cellIs" dxfId="3061" priority="119" operator="equal">
      <formula>1</formula>
    </cfRule>
    <cfRule type="cellIs" dxfId="3060" priority="120" operator="equal">
      <formula>3</formula>
    </cfRule>
    <cfRule type="cellIs" dxfId="3059" priority="121" operator="equal">
      <formula>2</formula>
    </cfRule>
  </conditionalFormatting>
  <conditionalFormatting sqref="U8">
    <cfRule type="cellIs" dxfId="3058" priority="117" operator="equal">
      <formula>5</formula>
    </cfRule>
    <cfRule type="cellIs" dxfId="3057" priority="118" operator="equal">
      <formula>4</formula>
    </cfRule>
  </conditionalFormatting>
  <conditionalFormatting sqref="W14">
    <cfRule type="colorScale" priority="116">
      <colorScale>
        <cfvo type="num" val="1"/>
        <cfvo type="num" val="2"/>
        <cfvo type="num" val="3"/>
        <color rgb="FFF8696B"/>
        <color rgb="FFFFEB84"/>
        <color rgb="FF63BE7B"/>
      </colorScale>
    </cfRule>
  </conditionalFormatting>
  <conditionalFormatting sqref="W14">
    <cfRule type="colorScale" priority="115">
      <colorScale>
        <cfvo type="num" val="1"/>
        <cfvo type="num" val="2"/>
        <cfvo type="num" val="3"/>
        <color rgb="FFF8696B"/>
        <color rgb="FFFFEB84"/>
        <color rgb="FF63BE7B"/>
      </colorScale>
    </cfRule>
  </conditionalFormatting>
  <conditionalFormatting sqref="W14">
    <cfRule type="colorScale" priority="114">
      <colorScale>
        <cfvo type="num" val="1"/>
        <cfvo type="num" val="2"/>
        <cfvo type="num" val="3"/>
        <color rgb="FFF8696B"/>
        <color rgb="FFFFEB84"/>
        <color rgb="FF63BE7B"/>
      </colorScale>
    </cfRule>
  </conditionalFormatting>
  <conditionalFormatting sqref="W14">
    <cfRule type="colorScale" priority="113">
      <colorScale>
        <cfvo type="num" val="1"/>
        <cfvo type="num" val="2"/>
        <cfvo type="num" val="3"/>
        <color rgb="FFF8696B"/>
        <color rgb="FFFFEB84"/>
        <color rgb="FF63BE7B"/>
      </colorScale>
    </cfRule>
  </conditionalFormatting>
  <conditionalFormatting sqref="W14">
    <cfRule type="colorScale" priority="112">
      <colorScale>
        <cfvo type="num" val="1"/>
        <cfvo type="num" val="2"/>
        <cfvo type="num" val="3"/>
        <color rgb="FFF8696B"/>
        <color rgb="FFFFEB84"/>
        <color rgb="FF63BE7B"/>
      </colorScale>
    </cfRule>
  </conditionalFormatting>
  <conditionalFormatting sqref="W14">
    <cfRule type="colorScale" priority="111">
      <colorScale>
        <cfvo type="num" val="1"/>
        <cfvo type="num" val="2"/>
        <cfvo type="num" val="3"/>
        <color rgb="FFF8696B"/>
        <color rgb="FFFFEB84"/>
        <color rgb="FF63BE7B"/>
      </colorScale>
    </cfRule>
  </conditionalFormatting>
  <conditionalFormatting sqref="W14">
    <cfRule type="colorScale" priority="110">
      <colorScale>
        <cfvo type="min" val="0"/>
        <cfvo type="percentile" val="50"/>
        <cfvo type="max" val="0"/>
        <color rgb="FFF8696B"/>
        <color rgb="FFFFEB84"/>
        <color rgb="FF63BE7B"/>
      </colorScale>
    </cfRule>
  </conditionalFormatting>
  <conditionalFormatting sqref="W14">
    <cfRule type="cellIs" dxfId="3056" priority="107" operator="equal">
      <formula>1</formula>
    </cfRule>
    <cfRule type="cellIs" dxfId="3055" priority="108" operator="equal">
      <formula>3</formula>
    </cfRule>
    <cfRule type="cellIs" dxfId="3054" priority="109" operator="equal">
      <formula>2</formula>
    </cfRule>
  </conditionalFormatting>
  <conditionalFormatting sqref="W14">
    <cfRule type="cellIs" dxfId="3053" priority="105" operator="equal">
      <formula>5</formula>
    </cfRule>
    <cfRule type="cellIs" dxfId="3052" priority="106" operator="equal">
      <formula>4</formula>
    </cfRule>
  </conditionalFormatting>
  <conditionalFormatting sqref="W10">
    <cfRule type="colorScale" priority="104">
      <colorScale>
        <cfvo type="num" val="1"/>
        <cfvo type="num" val="2"/>
        <cfvo type="num" val="3"/>
        <color rgb="FFF8696B"/>
        <color rgb="FFFFEB84"/>
        <color rgb="FF63BE7B"/>
      </colorScale>
    </cfRule>
  </conditionalFormatting>
  <conditionalFormatting sqref="W10">
    <cfRule type="colorScale" priority="103">
      <colorScale>
        <cfvo type="num" val="1"/>
        <cfvo type="num" val="2"/>
        <cfvo type="num" val="3"/>
        <color rgb="FFF8696B"/>
        <color rgb="FFFFEB84"/>
        <color rgb="FF63BE7B"/>
      </colorScale>
    </cfRule>
  </conditionalFormatting>
  <conditionalFormatting sqref="W10">
    <cfRule type="colorScale" priority="102">
      <colorScale>
        <cfvo type="min" val="0"/>
        <cfvo type="percentile" val="50"/>
        <cfvo type="max" val="0"/>
        <color rgb="FFF8696B"/>
        <color rgb="FFFFEB84"/>
        <color rgb="FF63BE7B"/>
      </colorScale>
    </cfRule>
  </conditionalFormatting>
  <conditionalFormatting sqref="W10">
    <cfRule type="cellIs" dxfId="3051" priority="99" operator="equal">
      <formula>1</formula>
    </cfRule>
    <cfRule type="cellIs" dxfId="3050" priority="100" operator="equal">
      <formula>3</formula>
    </cfRule>
    <cfRule type="cellIs" dxfId="3049" priority="101" operator="equal">
      <formula>2</formula>
    </cfRule>
  </conditionalFormatting>
  <conditionalFormatting sqref="W10">
    <cfRule type="cellIs" dxfId="3048" priority="97" operator="equal">
      <formula>5</formula>
    </cfRule>
    <cfRule type="cellIs" dxfId="3047" priority="98" operator="equal">
      <formula>4</formula>
    </cfRule>
  </conditionalFormatting>
  <conditionalFormatting sqref="AE10">
    <cfRule type="colorScale" priority="96">
      <colorScale>
        <cfvo type="num" val="1"/>
        <cfvo type="num" val="2"/>
        <cfvo type="num" val="3"/>
        <color rgb="FFF8696B"/>
        <color rgb="FFFFEB84"/>
        <color rgb="FF63BE7B"/>
      </colorScale>
    </cfRule>
  </conditionalFormatting>
  <conditionalFormatting sqref="AE10">
    <cfRule type="colorScale" priority="95">
      <colorScale>
        <cfvo type="num" val="1"/>
        <cfvo type="num" val="2"/>
        <cfvo type="num" val="3"/>
        <color rgb="FFF8696B"/>
        <color rgb="FFFFEB84"/>
        <color rgb="FF63BE7B"/>
      </colorScale>
    </cfRule>
  </conditionalFormatting>
  <conditionalFormatting sqref="AE10">
    <cfRule type="colorScale" priority="94">
      <colorScale>
        <cfvo type="num" val="1"/>
        <cfvo type="num" val="2"/>
        <cfvo type="num" val="3"/>
        <color rgb="FFF8696B"/>
        <color rgb="FFFFEB84"/>
        <color rgb="FF63BE7B"/>
      </colorScale>
    </cfRule>
  </conditionalFormatting>
  <conditionalFormatting sqref="AE10">
    <cfRule type="colorScale" priority="93">
      <colorScale>
        <cfvo type="num" val="1"/>
        <cfvo type="num" val="2"/>
        <cfvo type="num" val="3"/>
        <color rgb="FFF8696B"/>
        <color rgb="FFFFEB84"/>
        <color rgb="FF63BE7B"/>
      </colorScale>
    </cfRule>
  </conditionalFormatting>
  <conditionalFormatting sqref="AE10">
    <cfRule type="colorScale" priority="92">
      <colorScale>
        <cfvo type="num" val="1"/>
        <cfvo type="num" val="2"/>
        <cfvo type="num" val="3"/>
        <color rgb="FFF8696B"/>
        <color rgb="FFFFEB84"/>
        <color rgb="FF63BE7B"/>
      </colorScale>
    </cfRule>
  </conditionalFormatting>
  <conditionalFormatting sqref="AE10">
    <cfRule type="colorScale" priority="91">
      <colorScale>
        <cfvo type="num" val="1"/>
        <cfvo type="num" val="2"/>
        <cfvo type="num" val="3"/>
        <color rgb="FFF8696B"/>
        <color rgb="FFFFEB84"/>
        <color rgb="FF63BE7B"/>
      </colorScale>
    </cfRule>
  </conditionalFormatting>
  <conditionalFormatting sqref="AE10">
    <cfRule type="colorScale" priority="90">
      <colorScale>
        <cfvo type="min" val="0"/>
        <cfvo type="percentile" val="50"/>
        <cfvo type="max" val="0"/>
        <color rgb="FFF8696B"/>
        <color rgb="FFFFEB84"/>
        <color rgb="FF63BE7B"/>
      </colorScale>
    </cfRule>
  </conditionalFormatting>
  <conditionalFormatting sqref="AE10">
    <cfRule type="cellIs" dxfId="3046" priority="87" operator="equal">
      <formula>1</formula>
    </cfRule>
    <cfRule type="cellIs" dxfId="3045" priority="88" operator="equal">
      <formula>3</formula>
    </cfRule>
    <cfRule type="cellIs" dxfId="3044" priority="89" operator="equal">
      <formula>2</formula>
    </cfRule>
  </conditionalFormatting>
  <conditionalFormatting sqref="AE10">
    <cfRule type="cellIs" dxfId="3043" priority="85" operator="equal">
      <formula>5</formula>
    </cfRule>
    <cfRule type="cellIs" dxfId="3042" priority="86" operator="equal">
      <formula>4</formula>
    </cfRule>
  </conditionalFormatting>
  <conditionalFormatting sqref="AE14">
    <cfRule type="colorScale" priority="84">
      <colorScale>
        <cfvo type="num" val="1"/>
        <cfvo type="num" val="2"/>
        <cfvo type="num" val="3"/>
        <color rgb="FFF8696B"/>
        <color rgb="FFFFEB84"/>
        <color rgb="FF63BE7B"/>
      </colorScale>
    </cfRule>
  </conditionalFormatting>
  <conditionalFormatting sqref="AE14">
    <cfRule type="colorScale" priority="83">
      <colorScale>
        <cfvo type="num" val="1"/>
        <cfvo type="num" val="2"/>
        <cfvo type="num" val="3"/>
        <color rgb="FFF8696B"/>
        <color rgb="FFFFEB84"/>
        <color rgb="FF63BE7B"/>
      </colorScale>
    </cfRule>
  </conditionalFormatting>
  <conditionalFormatting sqref="AE14">
    <cfRule type="colorScale" priority="82">
      <colorScale>
        <cfvo type="min" val="0"/>
        <cfvo type="percentile" val="50"/>
        <cfvo type="max" val="0"/>
        <color rgb="FFF8696B"/>
        <color rgb="FFFFEB84"/>
        <color rgb="FF63BE7B"/>
      </colorScale>
    </cfRule>
  </conditionalFormatting>
  <conditionalFormatting sqref="AE14">
    <cfRule type="cellIs" dxfId="3041" priority="79" operator="equal">
      <formula>1</formula>
    </cfRule>
    <cfRule type="cellIs" dxfId="3040" priority="80" operator="equal">
      <formula>3</formula>
    </cfRule>
    <cfRule type="cellIs" dxfId="3039" priority="81" operator="equal">
      <formula>2</formula>
    </cfRule>
  </conditionalFormatting>
  <conditionalFormatting sqref="AE14">
    <cfRule type="cellIs" dxfId="3038" priority="77" operator="equal">
      <formula>5</formula>
    </cfRule>
    <cfRule type="cellIs" dxfId="3037" priority="78" operator="equal">
      <formula>4</formula>
    </cfRule>
  </conditionalFormatting>
  <conditionalFormatting sqref="AF12">
    <cfRule type="colorScale" priority="76">
      <colorScale>
        <cfvo type="num" val="1"/>
        <cfvo type="num" val="2"/>
        <cfvo type="num" val="3"/>
        <color rgb="FFF8696B"/>
        <color rgb="FFFFEB84"/>
        <color rgb="FF63BE7B"/>
      </colorScale>
    </cfRule>
  </conditionalFormatting>
  <conditionalFormatting sqref="AF12">
    <cfRule type="colorScale" priority="75">
      <colorScale>
        <cfvo type="num" val="1"/>
        <cfvo type="num" val="2"/>
        <cfvo type="num" val="3"/>
        <color rgb="FFF8696B"/>
        <color rgb="FFFFEB84"/>
        <color rgb="FF63BE7B"/>
      </colorScale>
    </cfRule>
  </conditionalFormatting>
  <conditionalFormatting sqref="AF12">
    <cfRule type="colorScale" priority="74">
      <colorScale>
        <cfvo type="num" val="1"/>
        <cfvo type="num" val="2"/>
        <cfvo type="num" val="3"/>
        <color rgb="FFF8696B"/>
        <color rgb="FFFFEB84"/>
        <color rgb="FF63BE7B"/>
      </colorScale>
    </cfRule>
  </conditionalFormatting>
  <conditionalFormatting sqref="AF12">
    <cfRule type="colorScale" priority="73">
      <colorScale>
        <cfvo type="num" val="1"/>
        <cfvo type="num" val="2"/>
        <cfvo type="num" val="3"/>
        <color rgb="FFF8696B"/>
        <color rgb="FFFFEB84"/>
        <color rgb="FF63BE7B"/>
      </colorScale>
    </cfRule>
  </conditionalFormatting>
  <conditionalFormatting sqref="AF12">
    <cfRule type="colorScale" priority="72">
      <colorScale>
        <cfvo type="num" val="1"/>
        <cfvo type="num" val="2"/>
        <cfvo type="num" val="3"/>
        <color rgb="FFF8696B"/>
        <color rgb="FFFFEB84"/>
        <color rgb="FF63BE7B"/>
      </colorScale>
    </cfRule>
  </conditionalFormatting>
  <conditionalFormatting sqref="AF12">
    <cfRule type="colorScale" priority="71">
      <colorScale>
        <cfvo type="num" val="1"/>
        <cfvo type="num" val="2"/>
        <cfvo type="num" val="3"/>
        <color rgb="FFF8696B"/>
        <color rgb="FFFFEB84"/>
        <color rgb="FF63BE7B"/>
      </colorScale>
    </cfRule>
  </conditionalFormatting>
  <conditionalFormatting sqref="AF12">
    <cfRule type="colorScale" priority="70">
      <colorScale>
        <cfvo type="min" val="0"/>
        <cfvo type="percentile" val="50"/>
        <cfvo type="max" val="0"/>
        <color rgb="FFF8696B"/>
        <color rgb="FFFFEB84"/>
        <color rgb="FF63BE7B"/>
      </colorScale>
    </cfRule>
  </conditionalFormatting>
  <conditionalFormatting sqref="AF12">
    <cfRule type="cellIs" dxfId="3036" priority="67" operator="equal">
      <formula>1</formula>
    </cfRule>
    <cfRule type="cellIs" dxfId="3035" priority="68" operator="equal">
      <formula>3</formula>
    </cfRule>
    <cfRule type="cellIs" dxfId="3034" priority="69" operator="equal">
      <formula>2</formula>
    </cfRule>
  </conditionalFormatting>
  <conditionalFormatting sqref="AF12">
    <cfRule type="cellIs" dxfId="3033" priority="65" operator="equal">
      <formula>5</formula>
    </cfRule>
    <cfRule type="cellIs" dxfId="3032" priority="66" operator="equal">
      <formula>4</formula>
    </cfRule>
  </conditionalFormatting>
  <conditionalFormatting sqref="AF6">
    <cfRule type="colorScale" priority="64">
      <colorScale>
        <cfvo type="num" val="1"/>
        <cfvo type="num" val="2"/>
        <cfvo type="num" val="3"/>
        <color rgb="FFF8696B"/>
        <color rgb="FFFFEB84"/>
        <color rgb="FF63BE7B"/>
      </colorScale>
    </cfRule>
  </conditionalFormatting>
  <conditionalFormatting sqref="AF6">
    <cfRule type="colorScale" priority="63">
      <colorScale>
        <cfvo type="num" val="1"/>
        <cfvo type="num" val="2"/>
        <cfvo type="num" val="3"/>
        <color rgb="FFF8696B"/>
        <color rgb="FFFFEB84"/>
        <color rgb="FF63BE7B"/>
      </colorScale>
    </cfRule>
  </conditionalFormatting>
  <conditionalFormatting sqref="AF6">
    <cfRule type="colorScale" priority="62">
      <colorScale>
        <cfvo type="min" val="0"/>
        <cfvo type="percentile" val="50"/>
        <cfvo type="max" val="0"/>
        <color rgb="FFF8696B"/>
        <color rgb="FFFFEB84"/>
        <color rgb="FF63BE7B"/>
      </colorScale>
    </cfRule>
  </conditionalFormatting>
  <conditionalFormatting sqref="AF6">
    <cfRule type="cellIs" dxfId="3031" priority="59" operator="equal">
      <formula>1</formula>
    </cfRule>
    <cfRule type="cellIs" dxfId="3030" priority="60" operator="equal">
      <formula>3</formula>
    </cfRule>
    <cfRule type="cellIs" dxfId="3029" priority="61" operator="equal">
      <formula>2</formula>
    </cfRule>
  </conditionalFormatting>
  <conditionalFormatting sqref="AF6">
    <cfRule type="cellIs" dxfId="3028" priority="57" operator="equal">
      <formula>5</formula>
    </cfRule>
    <cfRule type="cellIs" dxfId="3027" priority="58" operator="equal">
      <formula>4</formula>
    </cfRule>
  </conditionalFormatting>
  <conditionalFormatting sqref="M14">
    <cfRule type="colorScale" priority="56">
      <colorScale>
        <cfvo type="num" val="1"/>
        <cfvo type="num" val="2"/>
        <cfvo type="num" val="3"/>
        <color rgb="FFF8696B"/>
        <color rgb="FFFFEB84"/>
        <color rgb="FF63BE7B"/>
      </colorScale>
    </cfRule>
  </conditionalFormatting>
  <conditionalFormatting sqref="M14">
    <cfRule type="colorScale" priority="55">
      <colorScale>
        <cfvo type="num" val="1"/>
        <cfvo type="num" val="2"/>
        <cfvo type="num" val="3"/>
        <color rgb="FFF8696B"/>
        <color rgb="FFFFEB84"/>
        <color rgb="FF63BE7B"/>
      </colorScale>
    </cfRule>
  </conditionalFormatting>
  <conditionalFormatting sqref="M14">
    <cfRule type="colorScale" priority="54">
      <colorScale>
        <cfvo type="min" val="0"/>
        <cfvo type="percentile" val="50"/>
        <cfvo type="max" val="0"/>
        <color rgb="FFF8696B"/>
        <color rgb="FFFFEB84"/>
        <color rgb="FF63BE7B"/>
      </colorScale>
    </cfRule>
  </conditionalFormatting>
  <conditionalFormatting sqref="M14">
    <cfRule type="cellIs" dxfId="3026" priority="51" operator="equal">
      <formula>1</formula>
    </cfRule>
    <cfRule type="cellIs" dxfId="3025" priority="52" operator="equal">
      <formula>3</formula>
    </cfRule>
    <cfRule type="cellIs" dxfId="3024" priority="53" operator="equal">
      <formula>2</formula>
    </cfRule>
  </conditionalFormatting>
  <conditionalFormatting sqref="M14">
    <cfRule type="cellIs" dxfId="3023" priority="49" operator="equal">
      <formula>5</formula>
    </cfRule>
    <cfRule type="cellIs" dxfId="3022" priority="50" operator="equal">
      <formula>4</formula>
    </cfRule>
  </conditionalFormatting>
  <conditionalFormatting sqref="S14">
    <cfRule type="colorScale" priority="48">
      <colorScale>
        <cfvo type="num" val="1"/>
        <cfvo type="num" val="2"/>
        <cfvo type="num" val="3"/>
        <color rgb="FFF8696B"/>
        <color rgb="FFFFEB84"/>
        <color rgb="FF63BE7B"/>
      </colorScale>
    </cfRule>
  </conditionalFormatting>
  <conditionalFormatting sqref="S14">
    <cfRule type="colorScale" priority="47">
      <colorScale>
        <cfvo type="num" val="1"/>
        <cfvo type="num" val="2"/>
        <cfvo type="num" val="3"/>
        <color rgb="FFF8696B"/>
        <color rgb="FFFFEB84"/>
        <color rgb="FF63BE7B"/>
      </colorScale>
    </cfRule>
  </conditionalFormatting>
  <conditionalFormatting sqref="S14">
    <cfRule type="colorScale" priority="46">
      <colorScale>
        <cfvo type="num" val="1"/>
        <cfvo type="num" val="2"/>
        <cfvo type="num" val="3"/>
        <color rgb="FFF8696B"/>
        <color rgb="FFFFEB84"/>
        <color rgb="FF63BE7B"/>
      </colorScale>
    </cfRule>
  </conditionalFormatting>
  <conditionalFormatting sqref="S14">
    <cfRule type="colorScale" priority="45">
      <colorScale>
        <cfvo type="num" val="1"/>
        <cfvo type="num" val="2"/>
        <cfvo type="num" val="3"/>
        <color rgb="FFF8696B"/>
        <color rgb="FFFFEB84"/>
        <color rgb="FF63BE7B"/>
      </colorScale>
    </cfRule>
  </conditionalFormatting>
  <conditionalFormatting sqref="S14">
    <cfRule type="colorScale" priority="44">
      <colorScale>
        <cfvo type="num" val="1"/>
        <cfvo type="num" val="2"/>
        <cfvo type="num" val="3"/>
        <color rgb="FFF8696B"/>
        <color rgb="FFFFEB84"/>
        <color rgb="FF63BE7B"/>
      </colorScale>
    </cfRule>
  </conditionalFormatting>
  <conditionalFormatting sqref="S14">
    <cfRule type="colorScale" priority="43">
      <colorScale>
        <cfvo type="num" val="1"/>
        <cfvo type="num" val="2"/>
        <cfvo type="num" val="3"/>
        <color rgb="FFF8696B"/>
        <color rgb="FFFFEB84"/>
        <color rgb="FF63BE7B"/>
      </colorScale>
    </cfRule>
  </conditionalFormatting>
  <conditionalFormatting sqref="S14">
    <cfRule type="colorScale" priority="42">
      <colorScale>
        <cfvo type="num" val="1"/>
        <cfvo type="num" val="2"/>
        <cfvo type="num" val="3"/>
        <color rgb="FFF8696B"/>
        <color rgb="FFFFEB84"/>
        <color rgb="FF63BE7B"/>
      </colorScale>
    </cfRule>
  </conditionalFormatting>
  <conditionalFormatting sqref="S14">
    <cfRule type="colorScale" priority="41">
      <colorScale>
        <cfvo type="num" val="1"/>
        <cfvo type="num" val="2"/>
        <cfvo type="num" val="3"/>
        <color rgb="FFF8696B"/>
        <color rgb="FFFFEB84"/>
        <color rgb="FF63BE7B"/>
      </colorScale>
    </cfRule>
  </conditionalFormatting>
  <conditionalFormatting sqref="S14">
    <cfRule type="colorScale" priority="40">
      <colorScale>
        <cfvo type="num" val="1"/>
        <cfvo type="num" val="2"/>
        <cfvo type="num" val="3"/>
        <color rgb="FFF8696B"/>
        <color rgb="FFFFEB84"/>
        <color rgb="FF63BE7B"/>
      </colorScale>
    </cfRule>
  </conditionalFormatting>
  <conditionalFormatting sqref="S14">
    <cfRule type="colorScale" priority="39">
      <colorScale>
        <cfvo type="num" val="1"/>
        <cfvo type="num" val="2"/>
        <cfvo type="num" val="3"/>
        <color rgb="FFF8696B"/>
        <color rgb="FFFFEB84"/>
        <color rgb="FF63BE7B"/>
      </colorScale>
    </cfRule>
  </conditionalFormatting>
  <conditionalFormatting sqref="S14">
    <cfRule type="colorScale" priority="38">
      <colorScale>
        <cfvo type="num" val="1"/>
        <cfvo type="num" val="2"/>
        <cfvo type="num" val="3"/>
        <color rgb="FFF8696B"/>
        <color rgb="FFFFEB84"/>
        <color rgb="FF63BE7B"/>
      </colorScale>
    </cfRule>
  </conditionalFormatting>
  <conditionalFormatting sqref="S14">
    <cfRule type="colorScale" priority="37">
      <colorScale>
        <cfvo type="num" val="1"/>
        <cfvo type="num" val="2"/>
        <cfvo type="num" val="3"/>
        <color rgb="FFF8696B"/>
        <color rgb="FFFFEB84"/>
        <color rgb="FF63BE7B"/>
      </colorScale>
    </cfRule>
  </conditionalFormatting>
  <conditionalFormatting sqref="S14">
    <cfRule type="colorScale" priority="36">
      <colorScale>
        <cfvo type="num" val="1"/>
        <cfvo type="num" val="2"/>
        <cfvo type="num" val="3"/>
        <color rgb="FFF8696B"/>
        <color rgb="FFFFEB84"/>
        <color rgb="FF63BE7B"/>
      </colorScale>
    </cfRule>
  </conditionalFormatting>
  <conditionalFormatting sqref="S14">
    <cfRule type="colorScale" priority="35">
      <colorScale>
        <cfvo type="num" val="1"/>
        <cfvo type="num" val="2"/>
        <cfvo type="num" val="3"/>
        <color rgb="FFF8696B"/>
        <color rgb="FFFFEB84"/>
        <color rgb="FF63BE7B"/>
      </colorScale>
    </cfRule>
  </conditionalFormatting>
  <conditionalFormatting sqref="S14">
    <cfRule type="colorScale" priority="34">
      <colorScale>
        <cfvo type="num" val="1"/>
        <cfvo type="num" val="2"/>
        <cfvo type="num" val="3"/>
        <color rgb="FFF8696B"/>
        <color rgb="FFFFEB84"/>
        <color rgb="FF63BE7B"/>
      </colorScale>
    </cfRule>
  </conditionalFormatting>
  <conditionalFormatting sqref="S14">
    <cfRule type="colorScale" priority="33">
      <colorScale>
        <cfvo type="num" val="1"/>
        <cfvo type="num" val="2"/>
        <cfvo type="num" val="3"/>
        <color rgb="FFF8696B"/>
        <color rgb="FFFFEB84"/>
        <color rgb="FF63BE7B"/>
      </colorScale>
    </cfRule>
  </conditionalFormatting>
  <conditionalFormatting sqref="S14">
    <cfRule type="colorScale" priority="32">
      <colorScale>
        <cfvo type="num" val="1"/>
        <cfvo type="num" val="2"/>
        <cfvo type="num" val="3"/>
        <color rgb="FFF8696B"/>
        <color rgb="FFFFEB84"/>
        <color rgb="FF63BE7B"/>
      </colorScale>
    </cfRule>
  </conditionalFormatting>
  <conditionalFormatting sqref="S14">
    <cfRule type="colorScale" priority="31">
      <colorScale>
        <cfvo type="num" val="1"/>
        <cfvo type="num" val="2"/>
        <cfvo type="num" val="3"/>
        <color rgb="FFF8696B"/>
        <color rgb="FFFFEB84"/>
        <color rgb="FF63BE7B"/>
      </colorScale>
    </cfRule>
  </conditionalFormatting>
  <conditionalFormatting sqref="S14">
    <cfRule type="colorScale" priority="30">
      <colorScale>
        <cfvo type="num" val="1"/>
        <cfvo type="num" val="2"/>
        <cfvo type="num" val="3"/>
        <color rgb="FFF8696B"/>
        <color rgb="FFFFEB84"/>
        <color rgb="FF63BE7B"/>
      </colorScale>
    </cfRule>
  </conditionalFormatting>
  <conditionalFormatting sqref="S14">
    <cfRule type="colorScale" priority="29">
      <colorScale>
        <cfvo type="num" val="1"/>
        <cfvo type="num" val="2"/>
        <cfvo type="num" val="3"/>
        <color rgb="FFF8696B"/>
        <color rgb="FFFFEB84"/>
        <color rgb="FF63BE7B"/>
      </colorScale>
    </cfRule>
  </conditionalFormatting>
  <conditionalFormatting sqref="S14">
    <cfRule type="colorScale" priority="28">
      <colorScale>
        <cfvo type="num" val="1"/>
        <cfvo type="num" val="2"/>
        <cfvo type="num" val="3"/>
        <color rgb="FFF8696B"/>
        <color rgb="FFFFEB84"/>
        <color rgb="FF63BE7B"/>
      </colorScale>
    </cfRule>
  </conditionalFormatting>
  <conditionalFormatting sqref="S14">
    <cfRule type="colorScale" priority="27">
      <colorScale>
        <cfvo type="num" val="1"/>
        <cfvo type="num" val="2"/>
        <cfvo type="num" val="3"/>
        <color rgb="FFF8696B"/>
        <color rgb="FFFFEB84"/>
        <color rgb="FF63BE7B"/>
      </colorScale>
    </cfRule>
  </conditionalFormatting>
  <conditionalFormatting sqref="H10">
    <cfRule type="colorScale" priority="26">
      <colorScale>
        <cfvo type="num" val="1"/>
        <cfvo type="num" val="2"/>
        <cfvo type="num" val="3"/>
        <color rgb="FFF8696B"/>
        <color rgb="FFFFEB84"/>
        <color rgb="FF63BE7B"/>
      </colorScale>
    </cfRule>
  </conditionalFormatting>
  <conditionalFormatting sqref="H10">
    <cfRule type="colorScale" priority="25">
      <colorScale>
        <cfvo type="num" val="1"/>
        <cfvo type="num" val="2"/>
        <cfvo type="num" val="3"/>
        <color rgb="FFF8696B"/>
        <color rgb="FFFFEB84"/>
        <color rgb="FF63BE7B"/>
      </colorScale>
    </cfRule>
  </conditionalFormatting>
  <conditionalFormatting sqref="H10">
    <cfRule type="colorScale" priority="24">
      <colorScale>
        <cfvo type="num" val="1"/>
        <cfvo type="num" val="2"/>
        <cfvo type="num" val="3"/>
        <color rgb="FFF8696B"/>
        <color rgb="FFFFEB84"/>
        <color rgb="FF63BE7B"/>
      </colorScale>
    </cfRule>
  </conditionalFormatting>
  <conditionalFormatting sqref="H10">
    <cfRule type="colorScale" priority="23">
      <colorScale>
        <cfvo type="num" val="1"/>
        <cfvo type="num" val="2"/>
        <cfvo type="num" val="3"/>
        <color rgb="FFF8696B"/>
        <color rgb="FFFFEB84"/>
        <color rgb="FF63BE7B"/>
      </colorScale>
    </cfRule>
  </conditionalFormatting>
  <conditionalFormatting sqref="B10">
    <cfRule type="colorScale" priority="22">
      <colorScale>
        <cfvo type="num" val="1"/>
        <cfvo type="num" val="2"/>
        <cfvo type="num" val="3"/>
        <color rgb="FFF8696B"/>
        <color rgb="FFFFEB84"/>
        <color rgb="FF63BE7B"/>
      </colorScale>
    </cfRule>
  </conditionalFormatting>
  <conditionalFormatting sqref="B10">
    <cfRule type="colorScale" priority="21">
      <colorScale>
        <cfvo type="num" val="1"/>
        <cfvo type="num" val="2"/>
        <cfvo type="num" val="3"/>
        <color rgb="FFF8696B"/>
        <color rgb="FFFFEB84"/>
        <color rgb="FF63BE7B"/>
      </colorScale>
    </cfRule>
  </conditionalFormatting>
  <conditionalFormatting sqref="I10">
    <cfRule type="colorScale" priority="20">
      <colorScale>
        <cfvo type="num" val="1"/>
        <cfvo type="num" val="2"/>
        <cfvo type="num" val="3"/>
        <color rgb="FFF8696B"/>
        <color rgb="FFFFEB84"/>
        <color rgb="FF63BE7B"/>
      </colorScale>
    </cfRule>
  </conditionalFormatting>
  <conditionalFormatting sqref="I10">
    <cfRule type="colorScale" priority="19">
      <colorScale>
        <cfvo type="num" val="1"/>
        <cfvo type="num" val="2"/>
        <cfvo type="num" val="3"/>
        <color rgb="FFF8696B"/>
        <color rgb="FFFFEB84"/>
        <color rgb="FF63BE7B"/>
      </colorScale>
    </cfRule>
  </conditionalFormatting>
  <conditionalFormatting sqref="I10">
    <cfRule type="colorScale" priority="18">
      <colorScale>
        <cfvo type="min" val="0"/>
        <cfvo type="percentile" val="50"/>
        <cfvo type="max" val="0"/>
        <color rgb="FFF8696B"/>
        <color rgb="FFFFEB84"/>
        <color rgb="FF63BE7B"/>
      </colorScale>
    </cfRule>
  </conditionalFormatting>
  <conditionalFormatting sqref="I10">
    <cfRule type="cellIs" dxfId="3021" priority="15" operator="equal">
      <formula>1</formula>
    </cfRule>
    <cfRule type="cellIs" dxfId="3020" priority="16" operator="equal">
      <formula>3</formula>
    </cfRule>
    <cfRule type="cellIs" dxfId="3019" priority="17" operator="equal">
      <formula>2</formula>
    </cfRule>
  </conditionalFormatting>
  <conditionalFormatting sqref="I10">
    <cfRule type="cellIs" dxfId="3018" priority="13" operator="equal">
      <formula>5</formula>
    </cfRule>
    <cfRule type="cellIs" dxfId="3017" priority="14" operator="equal">
      <formula>4</formula>
    </cfRule>
  </conditionalFormatting>
  <conditionalFormatting sqref="C10:G10">
    <cfRule type="colorScale" priority="12">
      <colorScale>
        <cfvo type="num" val="1"/>
        <cfvo type="num" val="2"/>
        <cfvo type="num" val="3"/>
        <color rgb="FFF8696B"/>
        <color rgb="FFFFEB84"/>
        <color rgb="FF63BE7B"/>
      </colorScale>
    </cfRule>
  </conditionalFormatting>
  <conditionalFormatting sqref="C10:G10">
    <cfRule type="colorScale" priority="11">
      <colorScale>
        <cfvo type="num" val="1"/>
        <cfvo type="num" val="2"/>
        <cfvo type="num" val="3"/>
        <color rgb="FFF8696B"/>
        <color rgb="FFFFEB84"/>
        <color rgb="FF63BE7B"/>
      </colorScale>
    </cfRule>
  </conditionalFormatting>
  <conditionalFormatting sqref="C10:G10">
    <cfRule type="colorScale" priority="10">
      <colorScale>
        <cfvo type="num" val="1"/>
        <cfvo type="num" val="2"/>
        <cfvo type="num" val="3"/>
        <color rgb="FFF8696B"/>
        <color rgb="FFFFEB84"/>
        <color rgb="FF63BE7B"/>
      </colorScale>
    </cfRule>
  </conditionalFormatting>
  <conditionalFormatting sqref="C10:G10">
    <cfRule type="colorScale" priority="9">
      <colorScale>
        <cfvo type="num" val="1"/>
        <cfvo type="num" val="2"/>
        <cfvo type="num" val="3"/>
        <color rgb="FFF8696B"/>
        <color rgb="FFFFEB84"/>
        <color rgb="FF63BE7B"/>
      </colorScale>
    </cfRule>
  </conditionalFormatting>
  <conditionalFormatting sqref="C10:G10">
    <cfRule type="colorScale" priority="8">
      <colorScale>
        <cfvo type="num" val="1"/>
        <cfvo type="num" val="2"/>
        <cfvo type="num" val="3"/>
        <color rgb="FFF8696B"/>
        <color rgb="FFFFEB84"/>
        <color rgb="FF63BE7B"/>
      </colorScale>
    </cfRule>
  </conditionalFormatting>
  <conditionalFormatting sqref="C10:G10">
    <cfRule type="colorScale" priority="7">
      <colorScale>
        <cfvo type="num" val="1"/>
        <cfvo type="num" val="2"/>
        <cfvo type="num" val="3"/>
        <color rgb="FFF8696B"/>
        <color rgb="FFFFEB84"/>
        <color rgb="FF63BE7B"/>
      </colorScale>
    </cfRule>
  </conditionalFormatting>
  <conditionalFormatting sqref="C10:G10">
    <cfRule type="colorScale" priority="6">
      <colorScale>
        <cfvo type="min" val="0"/>
        <cfvo type="percentile" val="50"/>
        <cfvo type="max" val="0"/>
        <color rgb="FFF8696B"/>
        <color rgb="FFFFEB84"/>
        <color rgb="FF63BE7B"/>
      </colorScale>
    </cfRule>
  </conditionalFormatting>
  <conditionalFormatting sqref="C10:G10">
    <cfRule type="cellIs" dxfId="3016" priority="3" operator="equal">
      <formula>1</formula>
    </cfRule>
    <cfRule type="cellIs" dxfId="3015" priority="4" operator="equal">
      <formula>3</formula>
    </cfRule>
    <cfRule type="cellIs" dxfId="3014" priority="5" operator="equal">
      <formula>2</formula>
    </cfRule>
  </conditionalFormatting>
  <conditionalFormatting sqref="C10:G10">
    <cfRule type="cellIs" dxfId="3013" priority="1" operator="equal">
      <formula>5</formula>
    </cfRule>
    <cfRule type="cellIs" dxfId="3012" priority="2" operator="equal">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Sheet1</vt:lpstr>
      <vt:lpstr>Sheet3</vt:lpstr>
      <vt:lpstr>Sheet2</vt:lpstr>
      <vt:lpstr>Sheet4</vt:lpstr>
      <vt:lpstr>Sheet1!Print_Area</vt:lpstr>
      <vt:lpstr>Sheet2!Print_Area</vt:lpstr>
      <vt:lpstr>Sheet3!Print_Area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eladiong</cp:lastModifiedBy>
  <cp:lastPrinted>2025-07-31T03:09:16Z</cp:lastPrinted>
  <dcterms:created xsi:type="dcterms:W3CDTF">2023-02-06T04:19:29Z</dcterms:created>
  <dcterms:modified xsi:type="dcterms:W3CDTF">2025-07-31T03:45:40Z</dcterms:modified>
</cp:coreProperties>
</file>